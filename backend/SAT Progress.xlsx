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0d80fe49f2140/Projects/AOT-Network Refreshment  - 119250133 (CO-OP)/15. Template and Form/"/>
    </mc:Choice>
  </mc:AlternateContent>
  <xr:revisionPtr revIDLastSave="8226" documentId="13_ncr:1_{24F0A03A-BF93-476E-979C-6EA6F9010A42}" xr6:coauthVersionLast="47" xr6:coauthVersionMax="47" xr10:uidLastSave="{98BAE20F-446D-4318-A0BB-984642A1B1CD}"/>
  <bookViews>
    <workbookView xWindow="-108" yWindow="-108" windowWidth="23256" windowHeight="13896" tabRatio="923" firstSheet="21" activeTab="27" xr2:uid="{44148F8A-1367-4033-B27F-9D73DC980FA4}"/>
  </bookViews>
  <sheets>
    <sheet name="Dashboard-Site Prep." sheetId="38" r:id="rId1"/>
    <sheet name="Dashboard-LAN" sheetId="30" r:id="rId2"/>
    <sheet name="Dashboard-WL" sheetId="37" r:id="rId3"/>
    <sheet name="HQ" sheetId="23" r:id="rId4"/>
    <sheet name="HQ-WL" sheetId="31" r:id="rId5"/>
    <sheet name="HQ-PW" sheetId="41" r:id="rId6"/>
    <sheet name="HQ-รายสัปดาห์" sheetId="49" r:id="rId7"/>
    <sheet name="HQ-รายวัน" sheetId="50" r:id="rId8"/>
    <sheet name="HQ-กราฟรายสัปดาห์" sheetId="51" r:id="rId9"/>
    <sheet name="HQ-กราฟรายวัน" sheetId="52" r:id="rId10"/>
    <sheet name="SVB" sheetId="28" r:id="rId11"/>
    <sheet name="SVB-รายสัปดาห์" sheetId="47" r:id="rId12"/>
    <sheet name="SVB-รายสัปดาห์ทั้งหมด" sheetId="53" r:id="rId13"/>
    <sheet name="SVB-WL" sheetId="32" r:id="rId14"/>
    <sheet name="SVB-PW" sheetId="40" r:id="rId15"/>
    <sheet name="SVB-กราฟรายสัปดาห์" sheetId="48" r:id="rId16"/>
    <sheet name="SVB-กราฟแยก Fabric" sheetId="54" r:id="rId17"/>
    <sheet name="SVB-กราฟทุก Fabric" sheetId="55" r:id="rId18"/>
    <sheet name="SVB-Coring" sheetId="56" r:id="rId19"/>
    <sheet name="SVB-Coring-รายสัปดาห์" sheetId="59" r:id="rId20"/>
    <sheet name="SVB-Coring-กราฟรายสัปดาห์" sheetId="60" r:id="rId21"/>
    <sheet name="HKT" sheetId="61" r:id="rId22"/>
    <sheet name="HKT-WL" sheetId="33" r:id="rId23"/>
    <sheet name="HKT-PW" sheetId="42" r:id="rId24"/>
    <sheet name="CNX" sheetId="29" r:id="rId25"/>
    <sheet name="CNX-WL" sheetId="34" r:id="rId26"/>
    <sheet name="CNX-PW" sheetId="39" r:id="rId27"/>
    <sheet name="CEI" sheetId="62" r:id="rId28"/>
    <sheet name="CEI-WL" sheetId="36" r:id="rId29"/>
    <sheet name="CEI-PW" sheetId="44" r:id="rId30"/>
    <sheet name="HDY" sheetId="63" r:id="rId31"/>
    <sheet name="HDY-WL" sheetId="35" r:id="rId32"/>
    <sheet name="HDY-PW" sheetId="43" r:id="rId33"/>
    <sheet name="Coring" sheetId="45" r:id="rId34"/>
    <sheet name="SVB (OLD)" sheetId="46" r:id="rId35"/>
    <sheet name="HKT (OLD)" sheetId="27" r:id="rId36"/>
    <sheet name="HDY (OLD)" sheetId="26" r:id="rId37"/>
    <sheet name="CEI (Old)" sheetId="24" r:id="rId38"/>
  </sheets>
  <definedNames>
    <definedName name="_xlnm._FilterDatabase" localSheetId="37" hidden="1">'CEI (Old)'!$A$1:$E$34</definedName>
    <definedName name="_xlnm._FilterDatabase" localSheetId="29" hidden="1">'CEI-PW'!$A$1:$E$17</definedName>
    <definedName name="_xlnm._FilterDatabase" localSheetId="28" hidden="1">'CEI-WL'!$A$1:$D$1</definedName>
    <definedName name="_xlnm._FilterDatabase" localSheetId="24" hidden="1">CNX!$A$1:$V$49</definedName>
    <definedName name="_xlnm._FilterDatabase" localSheetId="26" hidden="1">'CNX-PW'!$A$1:$E$11</definedName>
    <definedName name="_xlnm._FilterDatabase" localSheetId="25" hidden="1">'CNX-WL'!$A$1:$D$1</definedName>
    <definedName name="_xlnm._FilterDatabase" localSheetId="36" hidden="1">'HDY (OLD)'!$A$1:$E$45</definedName>
    <definedName name="_xlnm._FilterDatabase" localSheetId="32" hidden="1">'HDY-PW'!$A$1:$E$24</definedName>
    <definedName name="_xlnm._FilterDatabase" localSheetId="31" hidden="1">'HDY-WL'!$A$1:$D$1</definedName>
    <definedName name="_xlnm._FilterDatabase" localSheetId="21" hidden="1">HKT!$A$1:$V$103</definedName>
    <definedName name="_xlnm._FilterDatabase" localSheetId="35" hidden="1">'HKT (OLD)'!$A$1:$F$95</definedName>
    <definedName name="_xlnm._FilterDatabase" localSheetId="23" hidden="1">'HKT-PW'!$A$1:$E$57</definedName>
    <definedName name="_xlnm._FilterDatabase" localSheetId="22" hidden="1">'HKT-WL'!$A$1:$L$1</definedName>
    <definedName name="_xlnm._FilterDatabase" localSheetId="3" hidden="1">HQ!$A$1:$U$96</definedName>
    <definedName name="_xlnm._FilterDatabase" localSheetId="5" hidden="1">'HQ-PW'!$A$1:$E$32</definedName>
    <definedName name="_xlnm._FilterDatabase" localSheetId="4" hidden="1">'HQ-WL'!$A$1:$K$1</definedName>
    <definedName name="_xlnm._FilterDatabase" localSheetId="10" hidden="1">SVB!$M$1:$Q$738</definedName>
    <definedName name="_xlnm._FilterDatabase" localSheetId="34" hidden="1">'SVB (OLD)'!$A$1:$E$730</definedName>
    <definedName name="_xlnm._FilterDatabase" localSheetId="18" hidden="1">'SVB-Coring'!$N$1:$Q$40</definedName>
    <definedName name="_xlnm._FilterDatabase" localSheetId="14" hidden="1">'SVB-PW'!$A$1:$N$97</definedName>
    <definedName name="_xlnm._FilterDatabase" localSheetId="13" hidden="1">'SVB-WL'!$A$2:$D$2</definedName>
    <definedName name="_xlnm.Print_Area" localSheetId="29">'CEI-PW'!$A$1:$N$20</definedName>
    <definedName name="_xlnm.Print_Area" localSheetId="26">'CNX-PW'!$A$1:$N$14</definedName>
    <definedName name="_xlnm.Print_Area" localSheetId="1">'Dashboard-LAN'!$A$1:$G$40</definedName>
    <definedName name="_xlnm.Print_Area" localSheetId="0">'Dashboard-Site Prep.'!$A$1:$G$34</definedName>
    <definedName name="_xlnm.Print_Area" localSheetId="2">'Dashboard-WL'!$A$1:$G$40</definedName>
    <definedName name="_xlnm.Print_Area" localSheetId="32">'HDY-PW'!$A$1:$N$27</definedName>
    <definedName name="_xlnm.Print_Area" localSheetId="23">'HKT-PW'!$A$1:$N$60</definedName>
    <definedName name="_xlnm.Print_Area" localSheetId="5">'HQ-PW'!$A$1:$N$35</definedName>
    <definedName name="_xlnm.Print_Area" localSheetId="14">'SVB-PW'!$A$1:$W$98</definedName>
    <definedName name="_xlnm.Print_Titles" localSheetId="14">'SVB-PW'!$1:$1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3" i="62" l="1"/>
  <c r="U33" i="62"/>
  <c r="T33" i="62"/>
  <c r="S33" i="62"/>
  <c r="V32" i="62"/>
  <c r="U32" i="62"/>
  <c r="T32" i="62"/>
  <c r="S32" i="62"/>
  <c r="V31" i="62"/>
  <c r="U31" i="62"/>
  <c r="T31" i="62"/>
  <c r="S31" i="62"/>
  <c r="V30" i="62"/>
  <c r="U30" i="62"/>
  <c r="T30" i="62"/>
  <c r="S30" i="62"/>
  <c r="V29" i="62"/>
  <c r="U29" i="62"/>
  <c r="T29" i="62"/>
  <c r="S29" i="62"/>
  <c r="V28" i="62"/>
  <c r="U28" i="62"/>
  <c r="T28" i="62"/>
  <c r="S28" i="62"/>
  <c r="V27" i="62"/>
  <c r="U27" i="62"/>
  <c r="T27" i="62"/>
  <c r="S27" i="62"/>
  <c r="V26" i="62"/>
  <c r="U26" i="62"/>
  <c r="T26" i="62"/>
  <c r="S26" i="62"/>
  <c r="V25" i="62"/>
  <c r="U25" i="62"/>
  <c r="T25" i="62"/>
  <c r="S25" i="62"/>
  <c r="V24" i="62"/>
  <c r="U24" i="62"/>
  <c r="T24" i="62"/>
  <c r="S24" i="62"/>
  <c r="V23" i="62"/>
  <c r="U23" i="62"/>
  <c r="T23" i="62"/>
  <c r="S23" i="62"/>
  <c r="V22" i="62"/>
  <c r="U22" i="62"/>
  <c r="T22" i="62"/>
  <c r="S22" i="62"/>
  <c r="V21" i="62"/>
  <c r="U21" i="62"/>
  <c r="T21" i="62"/>
  <c r="S21" i="62"/>
  <c r="V20" i="62"/>
  <c r="U20" i="62"/>
  <c r="T20" i="62"/>
  <c r="S20" i="62"/>
  <c r="V19" i="62"/>
  <c r="U19" i="62"/>
  <c r="T19" i="62"/>
  <c r="S19" i="62"/>
  <c r="V18" i="62"/>
  <c r="U18" i="62"/>
  <c r="T18" i="62"/>
  <c r="S18" i="62"/>
  <c r="V17" i="62"/>
  <c r="U17" i="62"/>
  <c r="T17" i="62"/>
  <c r="S17" i="62"/>
  <c r="V16" i="62"/>
  <c r="U16" i="62"/>
  <c r="T16" i="62"/>
  <c r="S16" i="62"/>
  <c r="V15" i="62"/>
  <c r="U15" i="62"/>
  <c r="T15" i="62"/>
  <c r="S15" i="62"/>
  <c r="V14" i="62"/>
  <c r="U14" i="62"/>
  <c r="T14" i="62"/>
  <c r="S14" i="62"/>
  <c r="V13" i="62"/>
  <c r="U13" i="62"/>
  <c r="T13" i="62"/>
  <c r="S13" i="62"/>
  <c r="V12" i="62"/>
  <c r="U12" i="62"/>
  <c r="T12" i="62"/>
  <c r="S12" i="62"/>
  <c r="V11" i="62"/>
  <c r="U11" i="62"/>
  <c r="T11" i="62"/>
  <c r="S11" i="62"/>
  <c r="V10" i="62"/>
  <c r="U10" i="62"/>
  <c r="T10" i="62"/>
  <c r="S10" i="62"/>
  <c r="V9" i="62"/>
  <c r="U9" i="62"/>
  <c r="T9" i="62"/>
  <c r="S9" i="62"/>
  <c r="V8" i="62"/>
  <c r="U8" i="62"/>
  <c r="T8" i="62"/>
  <c r="S8" i="62"/>
  <c r="V7" i="62"/>
  <c r="U7" i="62"/>
  <c r="T7" i="62"/>
  <c r="S7" i="62"/>
  <c r="V6" i="62"/>
  <c r="U6" i="62"/>
  <c r="T6" i="62"/>
  <c r="S6" i="62"/>
  <c r="V5" i="62"/>
  <c r="U5" i="62"/>
  <c r="T5" i="62"/>
  <c r="S5" i="62"/>
  <c r="V4" i="62"/>
  <c r="U4" i="62"/>
  <c r="T4" i="62"/>
  <c r="S4" i="62"/>
  <c r="V3" i="62"/>
  <c r="U3" i="62"/>
  <c r="T3" i="62"/>
  <c r="S3" i="62"/>
  <c r="V2" i="62"/>
  <c r="U2" i="62"/>
  <c r="T2" i="62"/>
  <c r="S2" i="62"/>
  <c r="Q3" i="62"/>
  <c r="Q4" i="62"/>
  <c r="Q5" i="62"/>
  <c r="Q6" i="62"/>
  <c r="Q7" i="62"/>
  <c r="Q8" i="62"/>
  <c r="Q9" i="62"/>
  <c r="Q10" i="62"/>
  <c r="Q11" i="62"/>
  <c r="Q12" i="62"/>
  <c r="Q13" i="62"/>
  <c r="Q14" i="62"/>
  <c r="Q15" i="62"/>
  <c r="Q16" i="62"/>
  <c r="Q17" i="62"/>
  <c r="Q18" i="62"/>
  <c r="Q19" i="62"/>
  <c r="Q20" i="62"/>
  <c r="Q21" i="62"/>
  <c r="Q22" i="62"/>
  <c r="Q23" i="62"/>
  <c r="Q24" i="62"/>
  <c r="Q25" i="62"/>
  <c r="Q26" i="62"/>
  <c r="Q27" i="62"/>
  <c r="Q28" i="62"/>
  <c r="Q29" i="62"/>
  <c r="Q30" i="62"/>
  <c r="Q31" i="62"/>
  <c r="Q32" i="62"/>
  <c r="Q33" i="62"/>
  <c r="Q2" i="62"/>
  <c r="Q2" i="29"/>
  <c r="T2" i="29"/>
  <c r="S2" i="29" l="1"/>
  <c r="V2" i="29"/>
  <c r="U2" i="29"/>
  <c r="V48" i="29"/>
  <c r="U48" i="29"/>
  <c r="T48" i="29"/>
  <c r="S48" i="29"/>
  <c r="V47" i="29"/>
  <c r="U47" i="29"/>
  <c r="T47" i="29"/>
  <c r="S47" i="29"/>
  <c r="V46" i="29"/>
  <c r="U46" i="29"/>
  <c r="T46" i="29"/>
  <c r="S46" i="29"/>
  <c r="V45" i="29"/>
  <c r="U45" i="29"/>
  <c r="T45" i="29"/>
  <c r="S45" i="29"/>
  <c r="V44" i="29"/>
  <c r="U44" i="29"/>
  <c r="T44" i="29"/>
  <c r="S44" i="29"/>
  <c r="V43" i="29"/>
  <c r="U43" i="29"/>
  <c r="T43" i="29"/>
  <c r="S43" i="29"/>
  <c r="V42" i="29"/>
  <c r="U42" i="29"/>
  <c r="T42" i="29"/>
  <c r="S42" i="29"/>
  <c r="V41" i="29"/>
  <c r="U41" i="29"/>
  <c r="T41" i="29"/>
  <c r="S41" i="29"/>
  <c r="V40" i="29"/>
  <c r="U40" i="29"/>
  <c r="T40" i="29"/>
  <c r="S40" i="29"/>
  <c r="V39" i="29"/>
  <c r="U39" i="29"/>
  <c r="T39" i="29"/>
  <c r="S39" i="29"/>
  <c r="V38" i="29"/>
  <c r="U38" i="29"/>
  <c r="T38" i="29"/>
  <c r="S38" i="29"/>
  <c r="V37" i="29"/>
  <c r="U37" i="29"/>
  <c r="T37" i="29"/>
  <c r="S37" i="29"/>
  <c r="V36" i="29"/>
  <c r="U36" i="29"/>
  <c r="T36" i="29"/>
  <c r="S36" i="29"/>
  <c r="V35" i="29"/>
  <c r="U35" i="29"/>
  <c r="T35" i="29"/>
  <c r="S35" i="29"/>
  <c r="V34" i="29"/>
  <c r="U34" i="29"/>
  <c r="T34" i="29"/>
  <c r="S34" i="29"/>
  <c r="V33" i="29"/>
  <c r="U33" i="29"/>
  <c r="T33" i="29"/>
  <c r="S33" i="29"/>
  <c r="V32" i="29"/>
  <c r="U32" i="29"/>
  <c r="T32" i="29"/>
  <c r="S32" i="29"/>
  <c r="V31" i="29"/>
  <c r="U31" i="29"/>
  <c r="T31" i="29"/>
  <c r="S31" i="29"/>
  <c r="V30" i="29"/>
  <c r="U30" i="29"/>
  <c r="T30" i="29"/>
  <c r="S30" i="29"/>
  <c r="V29" i="29"/>
  <c r="U29" i="29"/>
  <c r="T29" i="29"/>
  <c r="S29" i="29"/>
  <c r="V28" i="29"/>
  <c r="U28" i="29"/>
  <c r="T28" i="29"/>
  <c r="S28" i="29"/>
  <c r="V27" i="29"/>
  <c r="U27" i="29"/>
  <c r="T27" i="29"/>
  <c r="S27" i="29"/>
  <c r="V26" i="29"/>
  <c r="U26" i="29"/>
  <c r="T26" i="29"/>
  <c r="S26" i="29"/>
  <c r="V25" i="29"/>
  <c r="U25" i="29"/>
  <c r="T25" i="29"/>
  <c r="S25" i="29"/>
  <c r="V24" i="29"/>
  <c r="U24" i="29"/>
  <c r="T24" i="29"/>
  <c r="S24" i="29"/>
  <c r="V23" i="29"/>
  <c r="U23" i="29"/>
  <c r="T23" i="29"/>
  <c r="S23" i="29"/>
  <c r="V22" i="29"/>
  <c r="U22" i="29"/>
  <c r="T22" i="29"/>
  <c r="S22" i="29"/>
  <c r="V21" i="29"/>
  <c r="U21" i="29"/>
  <c r="T21" i="29"/>
  <c r="S21" i="29"/>
  <c r="V20" i="29"/>
  <c r="U20" i="29"/>
  <c r="T20" i="29"/>
  <c r="S20" i="29"/>
  <c r="V19" i="29"/>
  <c r="U19" i="29"/>
  <c r="T19" i="29"/>
  <c r="S19" i="29"/>
  <c r="V18" i="29"/>
  <c r="U18" i="29"/>
  <c r="T18" i="29"/>
  <c r="S18" i="29"/>
  <c r="V17" i="29"/>
  <c r="U17" i="29"/>
  <c r="T17" i="29"/>
  <c r="S17" i="29"/>
  <c r="V16" i="29"/>
  <c r="U16" i="29"/>
  <c r="T16" i="29"/>
  <c r="S16" i="29"/>
  <c r="V15" i="29"/>
  <c r="U15" i="29"/>
  <c r="T15" i="29"/>
  <c r="S15" i="29"/>
  <c r="V14" i="29"/>
  <c r="U14" i="29"/>
  <c r="T14" i="29"/>
  <c r="S14" i="29"/>
  <c r="V13" i="29"/>
  <c r="U13" i="29"/>
  <c r="T13" i="29"/>
  <c r="S13" i="29"/>
  <c r="V12" i="29"/>
  <c r="U12" i="29"/>
  <c r="T12" i="29"/>
  <c r="S12" i="29"/>
  <c r="V11" i="29"/>
  <c r="U11" i="29"/>
  <c r="T11" i="29"/>
  <c r="S11" i="29"/>
  <c r="V10" i="29"/>
  <c r="U10" i="29"/>
  <c r="T10" i="29"/>
  <c r="S10" i="29"/>
  <c r="V9" i="29"/>
  <c r="U9" i="29"/>
  <c r="T9" i="29"/>
  <c r="S9" i="29"/>
  <c r="V8" i="29"/>
  <c r="U8" i="29"/>
  <c r="T8" i="29"/>
  <c r="S8" i="29"/>
  <c r="V7" i="29"/>
  <c r="U7" i="29"/>
  <c r="T7" i="29"/>
  <c r="S7" i="29"/>
  <c r="V6" i="29"/>
  <c r="U6" i="29"/>
  <c r="T6" i="29"/>
  <c r="S6" i="29"/>
  <c r="V5" i="29"/>
  <c r="U5" i="29"/>
  <c r="T5" i="29"/>
  <c r="S5" i="29"/>
  <c r="V4" i="29"/>
  <c r="U4" i="29"/>
  <c r="T4" i="29"/>
  <c r="S4" i="29"/>
  <c r="V3" i="29"/>
  <c r="U3" i="29"/>
  <c r="T3" i="29"/>
  <c r="S3" i="29"/>
  <c r="P49" i="29"/>
  <c r="O49" i="29"/>
  <c r="N49" i="29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8" i="23"/>
  <c r="Q101" i="61"/>
  <c r="Q93" i="61"/>
  <c r="Q92" i="61"/>
  <c r="U68" i="61"/>
  <c r="V68" i="61"/>
  <c r="U69" i="61"/>
  <c r="V69" i="61"/>
  <c r="T68" i="61"/>
  <c r="T69" i="61"/>
  <c r="S68" i="61"/>
  <c r="S69" i="61"/>
  <c r="Q68" i="61"/>
  <c r="Q69" i="61"/>
  <c r="Q51" i="61"/>
  <c r="Q52" i="61"/>
  <c r="V51" i="61"/>
  <c r="V52" i="61"/>
  <c r="U51" i="61"/>
  <c r="U52" i="61"/>
  <c r="T50" i="61"/>
  <c r="T51" i="61"/>
  <c r="T52" i="61"/>
  <c r="M107" i="61"/>
  <c r="O104" i="61"/>
  <c r="N104" i="61"/>
  <c r="N103" i="61"/>
  <c r="O103" i="61"/>
  <c r="P103" i="61"/>
  <c r="P104" i="61"/>
  <c r="M93" i="23"/>
  <c r="M94" i="23"/>
  <c r="N91" i="23"/>
  <c r="N90" i="23"/>
  <c r="F103" i="61"/>
  <c r="G103" i="61"/>
  <c r="V89" i="23"/>
  <c r="V88" i="23"/>
  <c r="V87" i="23"/>
  <c r="V85" i="23"/>
  <c r="V84" i="23"/>
  <c r="V83" i="23"/>
  <c r="V82" i="23"/>
  <c r="V81" i="23"/>
  <c r="V80" i="23"/>
  <c r="V79" i="23"/>
  <c r="V78" i="23"/>
  <c r="V77" i="23"/>
  <c r="V76" i="23"/>
  <c r="V75" i="23"/>
  <c r="V74" i="23"/>
  <c r="V73" i="23"/>
  <c r="V72" i="23"/>
  <c r="V71" i="23"/>
  <c r="V70" i="23"/>
  <c r="V69" i="23"/>
  <c r="V68" i="23"/>
  <c r="V67" i="23"/>
  <c r="V66" i="23"/>
  <c r="V65" i="23"/>
  <c r="V64" i="23"/>
  <c r="V63" i="23"/>
  <c r="V62" i="23"/>
  <c r="V61" i="23"/>
  <c r="V60" i="23"/>
  <c r="V59" i="23"/>
  <c r="V58" i="23"/>
  <c r="V52" i="23"/>
  <c r="V53" i="23"/>
  <c r="V54" i="23"/>
  <c r="V55" i="23"/>
  <c r="V56" i="23"/>
  <c r="V57" i="23"/>
  <c r="V51" i="23"/>
  <c r="V50" i="23"/>
  <c r="V49" i="23"/>
  <c r="V48" i="23"/>
  <c r="V47" i="23"/>
  <c r="V46" i="23"/>
  <c r="V45" i="23"/>
  <c r="V44" i="23"/>
  <c r="V43" i="23"/>
  <c r="V42" i="23"/>
  <c r="V41" i="23"/>
  <c r="V40" i="23"/>
  <c r="V39" i="23"/>
  <c r="V38" i="23"/>
  <c r="V37" i="23"/>
  <c r="V36" i="23"/>
  <c r="V35" i="23"/>
  <c r="V34" i="23"/>
  <c r="V33" i="23"/>
  <c r="V32" i="23"/>
  <c r="V31" i="23"/>
  <c r="V30" i="23"/>
  <c r="V29" i="23"/>
  <c r="V28" i="23"/>
  <c r="V27" i="23"/>
  <c r="V26" i="23"/>
  <c r="V25" i="23"/>
  <c r="V24" i="23"/>
  <c r="V23" i="23"/>
  <c r="V22" i="23"/>
  <c r="V21" i="23"/>
  <c r="V20" i="23"/>
  <c r="V19" i="23"/>
  <c r="V18" i="23"/>
  <c r="V17" i="23"/>
  <c r="V6" i="23"/>
  <c r="V7" i="23"/>
  <c r="V8" i="23"/>
  <c r="V9" i="23"/>
  <c r="V10" i="23"/>
  <c r="V11" i="23"/>
  <c r="V12" i="23"/>
  <c r="V13" i="23"/>
  <c r="V14" i="23"/>
  <c r="V15" i="23"/>
  <c r="V16" i="23"/>
  <c r="V5" i="23"/>
  <c r="V4" i="61"/>
  <c r="V5" i="61"/>
  <c r="V6" i="61"/>
  <c r="V7" i="61"/>
  <c r="V8" i="61"/>
  <c r="V9" i="61"/>
  <c r="V10" i="61"/>
  <c r="V11" i="61"/>
  <c r="V12" i="61"/>
  <c r="V13" i="61"/>
  <c r="V14" i="61"/>
  <c r="V15" i="61"/>
  <c r="V16" i="61"/>
  <c r="V17" i="61"/>
  <c r="V18" i="61"/>
  <c r="V19" i="61"/>
  <c r="V20" i="61"/>
  <c r="V21" i="61"/>
  <c r="V22" i="61"/>
  <c r="V23" i="61"/>
  <c r="V24" i="61"/>
  <c r="V25" i="61"/>
  <c r="V26" i="61"/>
  <c r="V27" i="61"/>
  <c r="V28" i="61"/>
  <c r="V29" i="61"/>
  <c r="V30" i="61"/>
  <c r="V31" i="61"/>
  <c r="V32" i="61"/>
  <c r="V33" i="61"/>
  <c r="V34" i="61"/>
  <c r="V35" i="61"/>
  <c r="V36" i="61"/>
  <c r="V37" i="61"/>
  <c r="V38" i="61"/>
  <c r="V39" i="61"/>
  <c r="V40" i="61"/>
  <c r="V41" i="61"/>
  <c r="V42" i="61"/>
  <c r="V43" i="61"/>
  <c r="V44" i="61"/>
  <c r="V45" i="61"/>
  <c r="V46" i="61"/>
  <c r="V47" i="61"/>
  <c r="V48" i="61"/>
  <c r="V49" i="61"/>
  <c r="V50" i="61"/>
  <c r="V53" i="61"/>
  <c r="V54" i="61"/>
  <c r="V55" i="61"/>
  <c r="V56" i="61"/>
  <c r="V57" i="61"/>
  <c r="V58" i="61"/>
  <c r="V59" i="61"/>
  <c r="V60" i="61"/>
  <c r="V61" i="61"/>
  <c r="V62" i="61"/>
  <c r="V63" i="61"/>
  <c r="V64" i="61"/>
  <c r="V65" i="61"/>
  <c r="V66" i="61"/>
  <c r="V67" i="61"/>
  <c r="V70" i="61"/>
  <c r="V71" i="61"/>
  <c r="V72" i="61"/>
  <c r="V73" i="61"/>
  <c r="V74" i="61"/>
  <c r="V75" i="61"/>
  <c r="V76" i="61"/>
  <c r="V77" i="61"/>
  <c r="V78" i="61"/>
  <c r="V79" i="61"/>
  <c r="V80" i="61"/>
  <c r="V81" i="61"/>
  <c r="V82" i="61"/>
  <c r="V83" i="61"/>
  <c r="V84" i="61"/>
  <c r="V85" i="61"/>
  <c r="V86" i="61"/>
  <c r="V87" i="61"/>
  <c r="V88" i="61"/>
  <c r="V89" i="61"/>
  <c r="V90" i="61"/>
  <c r="V91" i="61"/>
  <c r="V92" i="61"/>
  <c r="V93" i="61"/>
  <c r="V94" i="61"/>
  <c r="V95" i="61"/>
  <c r="V96" i="61"/>
  <c r="V97" i="61"/>
  <c r="V100" i="61"/>
  <c r="V101" i="61"/>
  <c r="V102" i="61"/>
  <c r="V3" i="61"/>
  <c r="N96" i="23"/>
  <c r="U4" i="61"/>
  <c r="U5" i="61"/>
  <c r="U6" i="61"/>
  <c r="U7" i="61"/>
  <c r="U8" i="61"/>
  <c r="U9" i="61"/>
  <c r="U10" i="61"/>
  <c r="U11" i="61"/>
  <c r="U12" i="61"/>
  <c r="U13" i="61"/>
  <c r="U14" i="61"/>
  <c r="U15" i="61"/>
  <c r="U16" i="61"/>
  <c r="U17" i="61"/>
  <c r="U18" i="61"/>
  <c r="U19" i="61"/>
  <c r="U20" i="61"/>
  <c r="U21" i="61"/>
  <c r="U22" i="61"/>
  <c r="U23" i="61"/>
  <c r="U24" i="61"/>
  <c r="U25" i="61"/>
  <c r="U26" i="61"/>
  <c r="U27" i="61"/>
  <c r="U28" i="61"/>
  <c r="U29" i="61"/>
  <c r="U30" i="61"/>
  <c r="U31" i="61"/>
  <c r="U32" i="61"/>
  <c r="U33" i="61"/>
  <c r="U34" i="61"/>
  <c r="U35" i="61"/>
  <c r="U36" i="61"/>
  <c r="U37" i="61"/>
  <c r="U38" i="61"/>
  <c r="U39" i="61"/>
  <c r="U40" i="61"/>
  <c r="U41" i="61"/>
  <c r="U42" i="61"/>
  <c r="U43" i="61"/>
  <c r="U44" i="61"/>
  <c r="U45" i="61"/>
  <c r="U46" i="61"/>
  <c r="U47" i="61"/>
  <c r="U48" i="61"/>
  <c r="U49" i="61"/>
  <c r="U50" i="61"/>
  <c r="U53" i="61"/>
  <c r="U54" i="61"/>
  <c r="U55" i="61"/>
  <c r="U56" i="61"/>
  <c r="U57" i="61"/>
  <c r="U58" i="61"/>
  <c r="U59" i="61"/>
  <c r="U60" i="61"/>
  <c r="U61" i="61"/>
  <c r="U62" i="61"/>
  <c r="U63" i="61"/>
  <c r="U64" i="61"/>
  <c r="U65" i="61"/>
  <c r="U66" i="61"/>
  <c r="U67" i="61"/>
  <c r="U70" i="61"/>
  <c r="U71" i="61"/>
  <c r="U72" i="61"/>
  <c r="U73" i="61"/>
  <c r="U74" i="61"/>
  <c r="U75" i="61"/>
  <c r="U76" i="61"/>
  <c r="U77" i="61"/>
  <c r="U78" i="61"/>
  <c r="U79" i="61"/>
  <c r="U80" i="61"/>
  <c r="U81" i="61"/>
  <c r="U82" i="61"/>
  <c r="U83" i="61"/>
  <c r="U84" i="61"/>
  <c r="U85" i="61"/>
  <c r="U86" i="61"/>
  <c r="U87" i="61"/>
  <c r="U88" i="61"/>
  <c r="U89" i="61"/>
  <c r="U90" i="61"/>
  <c r="U91" i="61"/>
  <c r="U92" i="61"/>
  <c r="U93" i="61"/>
  <c r="U94" i="61"/>
  <c r="U95" i="61"/>
  <c r="U96" i="61"/>
  <c r="U97" i="61"/>
  <c r="U100" i="61"/>
  <c r="U101" i="61"/>
  <c r="U102" i="61"/>
  <c r="U3" i="61"/>
  <c r="T4" i="61"/>
  <c r="T5" i="61"/>
  <c r="T6" i="61"/>
  <c r="T7" i="61"/>
  <c r="T8" i="61"/>
  <c r="T9" i="61"/>
  <c r="T10" i="61"/>
  <c r="T11" i="61"/>
  <c r="T12" i="61"/>
  <c r="T13" i="61"/>
  <c r="T14" i="61"/>
  <c r="T15" i="61"/>
  <c r="T16" i="61"/>
  <c r="T17" i="61"/>
  <c r="T18" i="61"/>
  <c r="T19" i="61"/>
  <c r="T20" i="61"/>
  <c r="T21" i="61"/>
  <c r="T22" i="61"/>
  <c r="T23" i="61"/>
  <c r="T24" i="61"/>
  <c r="T25" i="61"/>
  <c r="T26" i="61"/>
  <c r="T27" i="61"/>
  <c r="T28" i="61"/>
  <c r="T29" i="61"/>
  <c r="T30" i="61"/>
  <c r="T31" i="61"/>
  <c r="T32" i="61"/>
  <c r="T33" i="61"/>
  <c r="T34" i="61"/>
  <c r="T35" i="61"/>
  <c r="T36" i="61"/>
  <c r="T37" i="61"/>
  <c r="T38" i="61"/>
  <c r="T39" i="61"/>
  <c r="T40" i="61"/>
  <c r="T41" i="61"/>
  <c r="T42" i="61"/>
  <c r="T43" i="61"/>
  <c r="T44" i="61"/>
  <c r="T45" i="61"/>
  <c r="T46" i="61"/>
  <c r="T47" i="61"/>
  <c r="T48" i="61"/>
  <c r="T49" i="61"/>
  <c r="T53" i="61"/>
  <c r="T54" i="61"/>
  <c r="T55" i="61"/>
  <c r="T56" i="61"/>
  <c r="T57" i="61"/>
  <c r="T58" i="61"/>
  <c r="T59" i="61"/>
  <c r="T60" i="61"/>
  <c r="T61" i="61"/>
  <c r="T62" i="61"/>
  <c r="T63" i="61"/>
  <c r="T64" i="61"/>
  <c r="T65" i="61"/>
  <c r="T66" i="61"/>
  <c r="T67" i="61"/>
  <c r="T70" i="61"/>
  <c r="T71" i="61"/>
  <c r="T72" i="61"/>
  <c r="T73" i="61"/>
  <c r="T74" i="61"/>
  <c r="T75" i="61"/>
  <c r="T76" i="61"/>
  <c r="T77" i="61"/>
  <c r="T78" i="61"/>
  <c r="T79" i="61"/>
  <c r="T80" i="61"/>
  <c r="T81" i="61"/>
  <c r="T82" i="61"/>
  <c r="T83" i="61"/>
  <c r="T84" i="61"/>
  <c r="T85" i="61"/>
  <c r="T86" i="61"/>
  <c r="T87" i="61"/>
  <c r="T88" i="61"/>
  <c r="T89" i="61"/>
  <c r="T90" i="61"/>
  <c r="T91" i="61"/>
  <c r="T92" i="61"/>
  <c r="T93" i="61"/>
  <c r="T94" i="61"/>
  <c r="T95" i="61"/>
  <c r="T96" i="61"/>
  <c r="T97" i="61"/>
  <c r="T100" i="61"/>
  <c r="T101" i="61"/>
  <c r="T102" i="61"/>
  <c r="T3" i="61"/>
  <c r="S4" i="61"/>
  <c r="S5" i="61"/>
  <c r="S6" i="61"/>
  <c r="S7" i="61"/>
  <c r="S8" i="61"/>
  <c r="S9" i="61"/>
  <c r="S10" i="61"/>
  <c r="S11" i="61"/>
  <c r="S12" i="61"/>
  <c r="S13" i="61"/>
  <c r="S14" i="61"/>
  <c r="S15" i="61"/>
  <c r="S16" i="61"/>
  <c r="S17" i="61"/>
  <c r="S18" i="61"/>
  <c r="S19" i="61"/>
  <c r="S20" i="61"/>
  <c r="S21" i="61"/>
  <c r="S22" i="61"/>
  <c r="S23" i="61"/>
  <c r="S24" i="61"/>
  <c r="S25" i="61"/>
  <c r="S26" i="61"/>
  <c r="S27" i="61"/>
  <c r="S28" i="61"/>
  <c r="S29" i="61"/>
  <c r="S30" i="61"/>
  <c r="S31" i="61"/>
  <c r="S32" i="61"/>
  <c r="S33" i="61"/>
  <c r="S34" i="61"/>
  <c r="S35" i="61"/>
  <c r="S36" i="61"/>
  <c r="S37" i="61"/>
  <c r="S38" i="61"/>
  <c r="S39" i="61"/>
  <c r="S40" i="61"/>
  <c r="S41" i="61"/>
  <c r="S42" i="61"/>
  <c r="S43" i="61"/>
  <c r="S44" i="61"/>
  <c r="S45" i="61"/>
  <c r="S46" i="61"/>
  <c r="S47" i="61"/>
  <c r="S48" i="61"/>
  <c r="S49" i="61"/>
  <c r="S50" i="61"/>
  <c r="S52" i="61"/>
  <c r="S53" i="61"/>
  <c r="S54" i="61"/>
  <c r="S55" i="61"/>
  <c r="S56" i="61"/>
  <c r="S57" i="61"/>
  <c r="S58" i="61"/>
  <c r="S59" i="61"/>
  <c r="S60" i="61"/>
  <c r="S61" i="61"/>
  <c r="S62" i="61"/>
  <c r="S63" i="61"/>
  <c r="S64" i="61"/>
  <c r="S65" i="61"/>
  <c r="S66" i="61"/>
  <c r="S67" i="61"/>
  <c r="S70" i="61"/>
  <c r="S71" i="61"/>
  <c r="S72" i="61"/>
  <c r="S73" i="61"/>
  <c r="S74" i="61"/>
  <c r="S75" i="61"/>
  <c r="S76" i="61"/>
  <c r="S77" i="61"/>
  <c r="S78" i="61"/>
  <c r="S79" i="61"/>
  <c r="S80" i="61"/>
  <c r="S81" i="61"/>
  <c r="S82" i="61"/>
  <c r="S83" i="61"/>
  <c r="S84" i="61"/>
  <c r="S85" i="61"/>
  <c r="S86" i="61"/>
  <c r="S87" i="61"/>
  <c r="S88" i="61"/>
  <c r="S89" i="61"/>
  <c r="S90" i="61"/>
  <c r="S91" i="61"/>
  <c r="S92" i="61"/>
  <c r="S93" i="61"/>
  <c r="S94" i="61"/>
  <c r="S95" i="61"/>
  <c r="S96" i="61"/>
  <c r="S97" i="61"/>
  <c r="S100" i="61"/>
  <c r="S101" i="61"/>
  <c r="S102" i="61"/>
  <c r="S3" i="61"/>
  <c r="Q102" i="61"/>
  <c r="Q100" i="61"/>
  <c r="Q17" i="61"/>
  <c r="Q18" i="61"/>
  <c r="Q19" i="61"/>
  <c r="Q20" i="61"/>
  <c r="Q21" i="61"/>
  <c r="Q22" i="61"/>
  <c r="Q23" i="61"/>
  <c r="Q24" i="61"/>
  <c r="Q25" i="61"/>
  <c r="Q26" i="61"/>
  <c r="Q27" i="61"/>
  <c r="Q28" i="61"/>
  <c r="Q29" i="61"/>
  <c r="Q30" i="61"/>
  <c r="Q31" i="61"/>
  <c r="Q32" i="61"/>
  <c r="Q34" i="61"/>
  <c r="Q35" i="61"/>
  <c r="Q36" i="61"/>
  <c r="Q37" i="61"/>
  <c r="Q38" i="61"/>
  <c r="Q39" i="61"/>
  <c r="Q40" i="61"/>
  <c r="Q41" i="61"/>
  <c r="Q42" i="61"/>
  <c r="Q43" i="61"/>
  <c r="Q44" i="61"/>
  <c r="Q45" i="61"/>
  <c r="Q46" i="61"/>
  <c r="Q47" i="61"/>
  <c r="Q48" i="61"/>
  <c r="Q49" i="61"/>
  <c r="Q50" i="61"/>
  <c r="Q53" i="61"/>
  <c r="Q54" i="61"/>
  <c r="Q55" i="61"/>
  <c r="Q56" i="61"/>
  <c r="Q57" i="61"/>
  <c r="Q58" i="61"/>
  <c r="Q59" i="61"/>
  <c r="Q60" i="61"/>
  <c r="Q61" i="61"/>
  <c r="Q62" i="61"/>
  <c r="Q63" i="61"/>
  <c r="Q64" i="61"/>
  <c r="Q65" i="61"/>
  <c r="Q66" i="61"/>
  <c r="Q67" i="61"/>
  <c r="Q70" i="61"/>
  <c r="Q71" i="61"/>
  <c r="Q72" i="61"/>
  <c r="Q73" i="61"/>
  <c r="Q74" i="61"/>
  <c r="Q75" i="61"/>
  <c r="Q76" i="61"/>
  <c r="Q77" i="61"/>
  <c r="Q78" i="61"/>
  <c r="Q79" i="61"/>
  <c r="Q80" i="61"/>
  <c r="Q81" i="61"/>
  <c r="Q82" i="61"/>
  <c r="Q83" i="61"/>
  <c r="Q84" i="61"/>
  <c r="Q85" i="61"/>
  <c r="Q86" i="61"/>
  <c r="Q87" i="61"/>
  <c r="Q88" i="61"/>
  <c r="Q89" i="61"/>
  <c r="Q90" i="61"/>
  <c r="Q91" i="61"/>
  <c r="Q94" i="61"/>
  <c r="Q95" i="61"/>
  <c r="Q96" i="61"/>
  <c r="Q97" i="61"/>
  <c r="Q3" i="61"/>
  <c r="Q4" i="61"/>
  <c r="Q5" i="61"/>
  <c r="Q6" i="61"/>
  <c r="Q7" i="61"/>
  <c r="Q8" i="61"/>
  <c r="Q9" i="61"/>
  <c r="Q10" i="61"/>
  <c r="Q11" i="61"/>
  <c r="Q12" i="61"/>
  <c r="Q13" i="61"/>
  <c r="Q14" i="61"/>
  <c r="Q15" i="61"/>
  <c r="Q16" i="61"/>
  <c r="T117" i="31"/>
  <c r="T116" i="31"/>
  <c r="T115" i="31"/>
  <c r="T114" i="31"/>
  <c r="T113" i="31"/>
  <c r="T112" i="31"/>
  <c r="T108" i="31"/>
  <c r="T109" i="31"/>
  <c r="T110" i="31"/>
  <c r="T111" i="31"/>
  <c r="T107" i="31"/>
  <c r="T101" i="31"/>
  <c r="T102" i="31"/>
  <c r="T103" i="31"/>
  <c r="T104" i="31"/>
  <c r="T105" i="31"/>
  <c r="T106" i="31"/>
  <c r="T100" i="31"/>
  <c r="T99" i="31"/>
  <c r="T95" i="31"/>
  <c r="T96" i="31"/>
  <c r="T97" i="31"/>
  <c r="T98" i="31"/>
  <c r="T94" i="31"/>
  <c r="T89" i="31"/>
  <c r="T90" i="31"/>
  <c r="T91" i="31"/>
  <c r="T92" i="31"/>
  <c r="T93" i="31"/>
  <c r="T88" i="31"/>
  <c r="T85" i="31"/>
  <c r="T86" i="31"/>
  <c r="T87" i="31"/>
  <c r="T84" i="31"/>
  <c r="T75" i="31"/>
  <c r="T76" i="31"/>
  <c r="T77" i="31"/>
  <c r="T78" i="31"/>
  <c r="T79" i="31"/>
  <c r="T80" i="31"/>
  <c r="T81" i="31"/>
  <c r="T82" i="31"/>
  <c r="T83" i="31"/>
  <c r="T74" i="31"/>
  <c r="T67" i="31"/>
  <c r="T68" i="31"/>
  <c r="T69" i="31"/>
  <c r="T70" i="31"/>
  <c r="T71" i="31"/>
  <c r="T72" i="31"/>
  <c r="T73" i="31"/>
  <c r="T66" i="31"/>
  <c r="T51" i="31"/>
  <c r="T52" i="31"/>
  <c r="T53" i="31"/>
  <c r="T54" i="31"/>
  <c r="T55" i="31"/>
  <c r="T56" i="31"/>
  <c r="T57" i="31"/>
  <c r="T58" i="31"/>
  <c r="T59" i="31"/>
  <c r="T60" i="31"/>
  <c r="T61" i="31"/>
  <c r="T62" i="31"/>
  <c r="T63" i="31"/>
  <c r="T64" i="31"/>
  <c r="T65" i="31"/>
  <c r="T50" i="31"/>
  <c r="T40" i="31"/>
  <c r="T41" i="31"/>
  <c r="T42" i="31"/>
  <c r="T43" i="31"/>
  <c r="T44" i="31"/>
  <c r="T45" i="31"/>
  <c r="T46" i="31"/>
  <c r="T47" i="31"/>
  <c r="T48" i="31"/>
  <c r="T49" i="31"/>
  <c r="T39" i="31"/>
  <c r="T36" i="31"/>
  <c r="T37" i="31"/>
  <c r="T38" i="31"/>
  <c r="T35" i="31"/>
  <c r="T28" i="31"/>
  <c r="T29" i="31"/>
  <c r="T30" i="31"/>
  <c r="T31" i="31"/>
  <c r="T32" i="31"/>
  <c r="T33" i="31"/>
  <c r="T34" i="31"/>
  <c r="T27" i="31"/>
  <c r="T12" i="31"/>
  <c r="T13" i="31"/>
  <c r="T14" i="31"/>
  <c r="T15" i="31"/>
  <c r="T16" i="31"/>
  <c r="T17" i="31"/>
  <c r="T18" i="31"/>
  <c r="T19" i="31"/>
  <c r="T20" i="31"/>
  <c r="T21" i="31"/>
  <c r="T22" i="31"/>
  <c r="T23" i="31"/>
  <c r="T24" i="31"/>
  <c r="T25" i="31"/>
  <c r="T26" i="31"/>
  <c r="T11" i="31"/>
  <c r="T3" i="31"/>
  <c r="T4" i="31"/>
  <c r="T5" i="31"/>
  <c r="T6" i="31"/>
  <c r="T7" i="31"/>
  <c r="T8" i="31"/>
  <c r="T9" i="31"/>
  <c r="T10" i="31"/>
  <c r="T2" i="31"/>
  <c r="P91" i="23"/>
  <c r="CU7" i="50" a="1"/>
  <c r="CU7" i="50" s="1"/>
  <c r="BJ4" i="50"/>
  <c r="C4" i="50"/>
  <c r="C4" i="52" s="1"/>
  <c r="D4" i="50"/>
  <c r="D4" i="52" s="1"/>
  <c r="E4" i="50"/>
  <c r="E4" i="52" s="1"/>
  <c r="F4" i="50"/>
  <c r="F4" i="52" s="1"/>
  <c r="G4" i="50"/>
  <c r="G4" i="52" s="1"/>
  <c r="H4" i="50"/>
  <c r="H4" i="52" s="1"/>
  <c r="I4" i="50"/>
  <c r="I4" i="52" s="1"/>
  <c r="J4" i="50"/>
  <c r="J4" i="52" s="1"/>
  <c r="K4" i="50"/>
  <c r="K4" i="52" s="1"/>
  <c r="L4" i="50"/>
  <c r="L4" i="52" s="1"/>
  <c r="M4" i="50"/>
  <c r="M4" i="52" s="1"/>
  <c r="N4" i="50"/>
  <c r="N4" i="52" s="1"/>
  <c r="O4" i="50"/>
  <c r="O4" i="52" s="1"/>
  <c r="P4" i="50"/>
  <c r="P4" i="52" s="1"/>
  <c r="Q4" i="50"/>
  <c r="Q4" i="52" s="1"/>
  <c r="R4" i="50"/>
  <c r="R4" i="52" s="1"/>
  <c r="S4" i="50"/>
  <c r="S4" i="52" s="1"/>
  <c r="T4" i="50"/>
  <c r="T4" i="52" s="1"/>
  <c r="U4" i="50"/>
  <c r="U4" i="52" s="1"/>
  <c r="V4" i="50"/>
  <c r="V4" i="52" s="1"/>
  <c r="W4" i="50"/>
  <c r="W4" i="52" s="1"/>
  <c r="X4" i="50"/>
  <c r="X4" i="52" s="1"/>
  <c r="Y4" i="50"/>
  <c r="Y4" i="52" s="1"/>
  <c r="Z4" i="50"/>
  <c r="Z4" i="52" s="1"/>
  <c r="AA4" i="50"/>
  <c r="AA4" i="52" s="1"/>
  <c r="AB4" i="50"/>
  <c r="AB4" i="52" s="1"/>
  <c r="AC4" i="50"/>
  <c r="AC4" i="52" s="1"/>
  <c r="AD4" i="50"/>
  <c r="AD4" i="52" s="1"/>
  <c r="AE4" i="50"/>
  <c r="AE4" i="52" s="1"/>
  <c r="AF4" i="50"/>
  <c r="AF4" i="52" s="1"/>
  <c r="AG4" i="50"/>
  <c r="AG4" i="52" s="1"/>
  <c r="AH4" i="50"/>
  <c r="AH4" i="52" s="1"/>
  <c r="AI4" i="50"/>
  <c r="AI4" i="52" s="1"/>
  <c r="AJ4" i="50"/>
  <c r="AJ4" i="52" s="1"/>
  <c r="AK4" i="50"/>
  <c r="AK4" i="52" s="1"/>
  <c r="AL4" i="50"/>
  <c r="AL4" i="52" s="1"/>
  <c r="AM4" i="50"/>
  <c r="AM4" i="52" s="1"/>
  <c r="AN4" i="50"/>
  <c r="AN4" i="52" s="1"/>
  <c r="AO4" i="50"/>
  <c r="AO4" i="52" s="1"/>
  <c r="AP4" i="50"/>
  <c r="AP4" i="52" s="1"/>
  <c r="AQ4" i="50"/>
  <c r="AQ4" i="52" s="1"/>
  <c r="AR4" i="50"/>
  <c r="AR4" i="52" s="1"/>
  <c r="AS4" i="50"/>
  <c r="AS4" i="52" s="1"/>
  <c r="AT4" i="50"/>
  <c r="AT4" i="52" s="1"/>
  <c r="AU4" i="50"/>
  <c r="AU4" i="52" s="1"/>
  <c r="AV4" i="50"/>
  <c r="AV4" i="52" s="1"/>
  <c r="AW4" i="50"/>
  <c r="AW4" i="52" s="1"/>
  <c r="AX4" i="50"/>
  <c r="AX4" i="52" s="1"/>
  <c r="AY4" i="50"/>
  <c r="AY4" i="52" s="1"/>
  <c r="AZ4" i="50"/>
  <c r="AZ4" i="52" s="1"/>
  <c r="BA4" i="50"/>
  <c r="BA4" i="52" s="1"/>
  <c r="BB4" i="50"/>
  <c r="BB4" i="52" s="1"/>
  <c r="BC4" i="50"/>
  <c r="BC4" i="52" s="1"/>
  <c r="BD4" i="50"/>
  <c r="BD4" i="52" s="1"/>
  <c r="BE4" i="50"/>
  <c r="BE4" i="52" s="1"/>
  <c r="BF4" i="50"/>
  <c r="BF4" i="52" s="1"/>
  <c r="BG4" i="50"/>
  <c r="BG4" i="52" s="1"/>
  <c r="BH4" i="50"/>
  <c r="BH4" i="52" s="1"/>
  <c r="BI4" i="50"/>
  <c r="BI4" i="52" s="1"/>
  <c r="BK4" i="50"/>
  <c r="BL4" i="50"/>
  <c r="BM4" i="50"/>
  <c r="BN4" i="50"/>
  <c r="BO4" i="50"/>
  <c r="BP4" i="50"/>
  <c r="BQ4" i="50"/>
  <c r="BR4" i="50"/>
  <c r="BS4" i="50"/>
  <c r="BT4" i="50"/>
  <c r="BU4" i="50"/>
  <c r="BV4" i="50"/>
  <c r="BW4" i="50"/>
  <c r="BX4" i="50"/>
  <c r="BY4" i="50"/>
  <c r="BZ4" i="50"/>
  <c r="CA4" i="50"/>
  <c r="CB4" i="50"/>
  <c r="CC4" i="50"/>
  <c r="CD4" i="50"/>
  <c r="CE4" i="50"/>
  <c r="CF4" i="50"/>
  <c r="CG4" i="50"/>
  <c r="CH4" i="50"/>
  <c r="CI4" i="50"/>
  <c r="CJ4" i="50"/>
  <c r="CK4" i="50"/>
  <c r="CL4" i="50"/>
  <c r="CM4" i="50"/>
  <c r="CN4" i="50"/>
  <c r="CO4" i="50"/>
  <c r="CP4" i="50"/>
  <c r="CQ4" i="50"/>
  <c r="CR4" i="50"/>
  <c r="CS4" i="50"/>
  <c r="CT4" i="50"/>
  <c r="B4" i="50"/>
  <c r="J5" i="50"/>
  <c r="K5" i="50"/>
  <c r="L5" i="50"/>
  <c r="M5" i="50"/>
  <c r="N5" i="50"/>
  <c r="O5" i="50"/>
  <c r="P5" i="50"/>
  <c r="Q5" i="50"/>
  <c r="R5" i="50"/>
  <c r="S5" i="50"/>
  <c r="T5" i="50"/>
  <c r="U5" i="50"/>
  <c r="V5" i="50"/>
  <c r="W5" i="50"/>
  <c r="X5" i="50"/>
  <c r="Y5" i="50"/>
  <c r="Z5" i="50"/>
  <c r="AA5" i="50"/>
  <c r="AB5" i="50"/>
  <c r="AC5" i="50"/>
  <c r="AD5" i="50"/>
  <c r="AE5" i="50"/>
  <c r="AF5" i="50"/>
  <c r="AG5" i="50"/>
  <c r="AH5" i="50"/>
  <c r="AI5" i="50"/>
  <c r="AJ5" i="50"/>
  <c r="AK5" i="50"/>
  <c r="AL5" i="50"/>
  <c r="AM5" i="50"/>
  <c r="AN5" i="50"/>
  <c r="AO5" i="50"/>
  <c r="AP5" i="50"/>
  <c r="AQ5" i="50"/>
  <c r="AR5" i="50"/>
  <c r="AS5" i="50"/>
  <c r="AT5" i="50"/>
  <c r="AU5" i="50"/>
  <c r="AV5" i="50"/>
  <c r="AW5" i="50"/>
  <c r="AX5" i="50"/>
  <c r="AY5" i="50"/>
  <c r="AZ5" i="50"/>
  <c r="BA5" i="50"/>
  <c r="BB5" i="50"/>
  <c r="BC5" i="50"/>
  <c r="BD5" i="50"/>
  <c r="BE5" i="50"/>
  <c r="BF5" i="50"/>
  <c r="BG5" i="50"/>
  <c r="BH5" i="50"/>
  <c r="BI5" i="50"/>
  <c r="BJ5" i="50"/>
  <c r="BK5" i="50"/>
  <c r="BL5" i="50"/>
  <c r="BM5" i="50"/>
  <c r="BN5" i="50"/>
  <c r="BO5" i="50"/>
  <c r="BP5" i="50"/>
  <c r="BQ5" i="50"/>
  <c r="BR5" i="50"/>
  <c r="BS5" i="50"/>
  <c r="BT5" i="50"/>
  <c r="BU5" i="50"/>
  <c r="BV5" i="50"/>
  <c r="BW5" i="50"/>
  <c r="BX5" i="50"/>
  <c r="BY5" i="50"/>
  <c r="BZ5" i="50"/>
  <c r="CA5" i="50"/>
  <c r="CB5" i="50"/>
  <c r="CC5" i="50"/>
  <c r="CD5" i="50"/>
  <c r="CE5" i="50"/>
  <c r="CF5" i="50"/>
  <c r="CG5" i="50"/>
  <c r="CH5" i="50"/>
  <c r="CI5" i="50"/>
  <c r="CJ5" i="50"/>
  <c r="CK5" i="50"/>
  <c r="CL5" i="50"/>
  <c r="CM5" i="50"/>
  <c r="CN5" i="50"/>
  <c r="CO5" i="50"/>
  <c r="CP5" i="50"/>
  <c r="CQ5" i="50"/>
  <c r="CR5" i="50"/>
  <c r="CS5" i="50"/>
  <c r="CT5" i="50"/>
  <c r="C5" i="50"/>
  <c r="D5" i="50"/>
  <c r="E5" i="50"/>
  <c r="F5" i="50"/>
  <c r="G5" i="50"/>
  <c r="H5" i="50"/>
  <c r="I5" i="50"/>
  <c r="B5" i="50"/>
  <c r="CT17" i="50" a="1"/>
  <c r="CT17" i="50" s="1"/>
  <c r="CJ22" i="50" a="1"/>
  <c r="CJ22" i="50" s="1"/>
  <c r="CK22" i="50" a="1"/>
  <c r="CK22" i="50" s="1"/>
  <c r="CL22" i="50" a="1"/>
  <c r="CL22" i="50" s="1"/>
  <c r="CM22" i="50" a="1"/>
  <c r="CM22" i="50" s="1"/>
  <c r="CN22" i="50" a="1"/>
  <c r="CN22" i="50" s="1"/>
  <c r="CO22" i="50" a="1"/>
  <c r="CO22" i="50" s="1"/>
  <c r="CP22" i="50" a="1"/>
  <c r="CP22" i="50" s="1"/>
  <c r="CQ22" i="50" a="1"/>
  <c r="CQ22" i="50" s="1"/>
  <c r="CR22" i="50" a="1"/>
  <c r="CR22" i="50" s="1"/>
  <c r="CS22" i="50" a="1"/>
  <c r="CS22" i="50" s="1"/>
  <c r="CT22" i="50" a="1"/>
  <c r="CT22" i="50" s="1"/>
  <c r="BJ7" i="50" a="1"/>
  <c r="BJ7" i="50" s="1"/>
  <c r="BK7" i="50" a="1"/>
  <c r="BK7" i="50" s="1"/>
  <c r="BM7" i="50" a="1"/>
  <c r="BM7" i="50" s="1"/>
  <c r="BN7" i="50" a="1"/>
  <c r="BN7" i="50" s="1"/>
  <c r="BO7" i="50" a="1"/>
  <c r="BO7" i="50" s="1"/>
  <c r="BP7" i="50" a="1"/>
  <c r="BP7" i="50" s="1"/>
  <c r="BT7" i="50" a="1"/>
  <c r="BT7" i="50" s="1"/>
  <c r="BU7" i="50" a="1"/>
  <c r="BU7" i="50" s="1"/>
  <c r="BV7" i="50" a="1"/>
  <c r="BV7" i="50" s="1"/>
  <c r="BW7" i="50" a="1"/>
  <c r="BW7" i="50" s="1"/>
  <c r="BX7" i="50" a="1"/>
  <c r="BX7" i="50" s="1"/>
  <c r="BY7" i="50" a="1"/>
  <c r="BY7" i="50" s="1"/>
  <c r="BZ7" i="50" a="1"/>
  <c r="BZ7" i="50" s="1"/>
  <c r="CA7" i="50" a="1"/>
  <c r="CA7" i="50" s="1"/>
  <c r="CC7" i="50" a="1"/>
  <c r="CC7" i="50" s="1"/>
  <c r="CD7" i="50" a="1"/>
  <c r="CD7" i="50" s="1"/>
  <c r="CE7" i="50" a="1"/>
  <c r="CE7" i="50" s="1"/>
  <c r="CG7" i="50" a="1"/>
  <c r="CG7" i="50" s="1"/>
  <c r="BJ12" i="50" a="1"/>
  <c r="BJ12" i="50" s="1"/>
  <c r="BK12" i="50" a="1"/>
  <c r="BK12" i="50" s="1"/>
  <c r="BL12" i="50" a="1"/>
  <c r="BL12" i="50" s="1"/>
  <c r="BM12" i="50" a="1"/>
  <c r="BM12" i="50" s="1"/>
  <c r="BN12" i="50" a="1"/>
  <c r="BN12" i="50" s="1"/>
  <c r="BO12" i="50" a="1"/>
  <c r="BO12" i="50" s="1"/>
  <c r="BP12" i="50" a="1"/>
  <c r="BP12" i="50" s="1"/>
  <c r="BQ12" i="50" a="1"/>
  <c r="BQ12" i="50" s="1"/>
  <c r="BR12" i="50" a="1"/>
  <c r="BR12" i="50" s="1"/>
  <c r="BS12" i="50" a="1"/>
  <c r="BS12" i="50" s="1"/>
  <c r="BT12" i="50" a="1"/>
  <c r="BT12" i="50" s="1"/>
  <c r="CA12" i="50" a="1"/>
  <c r="CA12" i="50" s="1"/>
  <c r="CB12" i="50" a="1"/>
  <c r="CB12" i="50" s="1"/>
  <c r="CC12" i="50" a="1"/>
  <c r="CC12" i="50" s="1"/>
  <c r="CD12" i="50" a="1"/>
  <c r="CD12" i="50" s="1"/>
  <c r="CE12" i="50" a="1"/>
  <c r="CE12" i="50" s="1"/>
  <c r="CF12" i="50" a="1"/>
  <c r="CF12" i="50" s="1"/>
  <c r="CG12" i="50" a="1"/>
  <c r="CG12" i="50" s="1"/>
  <c r="CH12" i="50" a="1"/>
  <c r="CH12" i="50" s="1"/>
  <c r="CI12" i="50" a="1"/>
  <c r="CI12" i="50" s="1"/>
  <c r="BJ17" i="50" a="1"/>
  <c r="BJ17" i="50" s="1"/>
  <c r="BK17" i="50" a="1"/>
  <c r="BK17" i="50" s="1"/>
  <c r="BL17" i="50" a="1"/>
  <c r="BL17" i="50" s="1"/>
  <c r="BM17" i="50" a="1"/>
  <c r="BM17" i="50" s="1"/>
  <c r="BN17" i="50" a="1"/>
  <c r="BN17" i="50" s="1"/>
  <c r="BO17" i="50" a="1"/>
  <c r="BO17" i="50" s="1"/>
  <c r="BP17" i="50" a="1"/>
  <c r="BP17" i="50" s="1"/>
  <c r="BQ17" i="50" a="1"/>
  <c r="BQ17" i="50" s="1"/>
  <c r="BR17" i="50" a="1"/>
  <c r="BR17" i="50" s="1"/>
  <c r="BS17" i="50" a="1"/>
  <c r="BS17" i="50" s="1"/>
  <c r="BT17" i="50" a="1"/>
  <c r="BT17" i="50" s="1"/>
  <c r="BU17" i="50" a="1"/>
  <c r="BU17" i="50" s="1"/>
  <c r="BV17" i="50" a="1"/>
  <c r="BV17" i="50" s="1"/>
  <c r="BW17" i="50" a="1"/>
  <c r="BW17" i="50" s="1"/>
  <c r="BX17" i="50" a="1"/>
  <c r="BX17" i="50" s="1"/>
  <c r="BY17" i="50" a="1"/>
  <c r="BY17" i="50" s="1"/>
  <c r="BZ17" i="50" a="1"/>
  <c r="BZ17" i="50" s="1"/>
  <c r="CA17" i="50" a="1"/>
  <c r="CA17" i="50" s="1"/>
  <c r="CB17" i="50" a="1"/>
  <c r="CB17" i="50" s="1"/>
  <c r="CC17" i="50" a="1"/>
  <c r="CC17" i="50" s="1"/>
  <c r="CD17" i="50" a="1"/>
  <c r="CD17" i="50" s="1"/>
  <c r="CE17" i="50" a="1"/>
  <c r="CE17" i="50" s="1"/>
  <c r="CF17" i="50" a="1"/>
  <c r="CF17" i="50" s="1"/>
  <c r="CG17" i="50" a="1"/>
  <c r="CG17" i="50" s="1"/>
  <c r="CH17" i="50" a="1"/>
  <c r="CH17" i="50" s="1"/>
  <c r="CI17" i="50" a="1"/>
  <c r="CI17" i="50" s="1"/>
  <c r="BJ22" i="50" a="1"/>
  <c r="BJ22" i="50" s="1"/>
  <c r="BK22" i="50" a="1"/>
  <c r="BK22" i="50" s="1"/>
  <c r="BL22" i="50" a="1"/>
  <c r="BL22" i="50" s="1"/>
  <c r="BM22" i="50" a="1"/>
  <c r="BM22" i="50" s="1"/>
  <c r="BN22" i="50" a="1"/>
  <c r="BN22" i="50" s="1"/>
  <c r="BO22" i="50" a="1"/>
  <c r="BO22" i="50" s="1"/>
  <c r="BP22" i="50" a="1"/>
  <c r="BP22" i="50" s="1"/>
  <c r="BQ22" i="50" a="1"/>
  <c r="BQ22" i="50" s="1"/>
  <c r="BR22" i="50" a="1"/>
  <c r="BR22" i="50" s="1"/>
  <c r="BS22" i="50" a="1"/>
  <c r="BS22" i="50" s="1"/>
  <c r="BT22" i="50" a="1"/>
  <c r="BT22" i="50" s="1"/>
  <c r="BU22" i="50" a="1"/>
  <c r="BU22" i="50" s="1"/>
  <c r="BV22" i="50" a="1"/>
  <c r="BV22" i="50" s="1"/>
  <c r="BW22" i="50" a="1"/>
  <c r="BW22" i="50" s="1"/>
  <c r="BX22" i="50" a="1"/>
  <c r="BX22" i="50" s="1"/>
  <c r="BY22" i="50" a="1"/>
  <c r="BY22" i="50" s="1"/>
  <c r="BZ22" i="50" a="1"/>
  <c r="BZ22" i="50" s="1"/>
  <c r="CA22" i="50" a="1"/>
  <c r="CA22" i="50" s="1"/>
  <c r="CB22" i="50" a="1"/>
  <c r="CB22" i="50" s="1"/>
  <c r="CC22" i="50" a="1"/>
  <c r="CC22" i="50" s="1"/>
  <c r="CD22" i="50" a="1"/>
  <c r="CD22" i="50" s="1"/>
  <c r="CE22" i="50" a="1"/>
  <c r="CE22" i="50" s="1"/>
  <c r="CF22" i="50" a="1"/>
  <c r="CF22" i="50" s="1"/>
  <c r="CG22" i="50" a="1"/>
  <c r="CG22" i="50" s="1"/>
  <c r="CH22" i="50" a="1"/>
  <c r="CH22" i="50" s="1"/>
  <c r="CI22" i="50" a="1"/>
  <c r="CI22" i="50" s="1"/>
  <c r="K4" i="51"/>
  <c r="L4" i="51"/>
  <c r="M4" i="51"/>
  <c r="N4" i="51"/>
  <c r="O4" i="51"/>
  <c r="P7" i="49" a="1"/>
  <c r="P7" i="49" s="1"/>
  <c r="K41" i="49"/>
  <c r="L41" i="49" s="1"/>
  <c r="M41" i="49" s="1"/>
  <c r="N41" i="49" s="1"/>
  <c r="O41" i="49" s="1"/>
  <c r="K40" i="49"/>
  <c r="S88" i="23"/>
  <c r="S89" i="23"/>
  <c r="S87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O91" i="23"/>
  <c r="Q59" i="23"/>
  <c r="R118" i="55"/>
  <c r="S118" i="55"/>
  <c r="T118" i="55"/>
  <c r="U118" i="55"/>
  <c r="R4" i="55"/>
  <c r="S4" i="55"/>
  <c r="T4" i="55"/>
  <c r="U4" i="55"/>
  <c r="R170" i="53"/>
  <c r="S170" i="53"/>
  <c r="T170" i="53"/>
  <c r="U170" i="53"/>
  <c r="R171" i="53"/>
  <c r="S171" i="53"/>
  <c r="T171" i="53"/>
  <c r="U171" i="53"/>
  <c r="R153" i="53"/>
  <c r="S153" i="53"/>
  <c r="T153" i="53"/>
  <c r="U153" i="53"/>
  <c r="R154" i="53"/>
  <c r="S154" i="53"/>
  <c r="T154" i="53"/>
  <c r="U154" i="53"/>
  <c r="R136" i="53"/>
  <c r="S136" i="53"/>
  <c r="T136" i="53"/>
  <c r="U136" i="53"/>
  <c r="R137" i="53"/>
  <c r="S137" i="53"/>
  <c r="T137" i="53"/>
  <c r="U137" i="53"/>
  <c r="R119" i="53"/>
  <c r="S119" i="53"/>
  <c r="T119" i="53"/>
  <c r="U119" i="53"/>
  <c r="R120" i="53"/>
  <c r="S120" i="53"/>
  <c r="T120" i="53"/>
  <c r="U120" i="53"/>
  <c r="V24" i="53" a="1"/>
  <c r="V24" i="53" s="1"/>
  <c r="V7" i="53" a="1"/>
  <c r="V7" i="53" s="1"/>
  <c r="R311" i="53"/>
  <c r="V157" i="53" a="1"/>
  <c r="V157" i="53" s="1"/>
  <c r="V140" i="53" a="1"/>
  <c r="V140" i="53" s="1"/>
  <c r="V123" i="53" a="1"/>
  <c r="V123" i="53" s="1"/>
  <c r="V106" i="53" a="1"/>
  <c r="V106" i="53" s="1"/>
  <c r="V64" i="53" a="1"/>
  <c r="V64" i="53" s="1"/>
  <c r="R4" i="48"/>
  <c r="S4" i="48"/>
  <c r="T4" i="48"/>
  <c r="U4" i="48"/>
  <c r="Q312" i="53"/>
  <c r="R312" i="53" s="1"/>
  <c r="Q311" i="53"/>
  <c r="V7" i="47" a="1"/>
  <c r="V7" i="47" s="1"/>
  <c r="Q81" i="47"/>
  <c r="R81" i="47"/>
  <c r="S81" i="47" s="1"/>
  <c r="T81" i="47" s="1"/>
  <c r="U81" i="47" s="1"/>
  <c r="R80" i="47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3" i="28"/>
  <c r="K214" i="28"/>
  <c r="K215" i="28"/>
  <c r="K216" i="28"/>
  <c r="K217" i="28"/>
  <c r="K218" i="28"/>
  <c r="K219" i="28"/>
  <c r="K220" i="28"/>
  <c r="K221" i="28"/>
  <c r="K222" i="28"/>
  <c r="K223" i="28"/>
  <c r="K224" i="28"/>
  <c r="K225" i="28"/>
  <c r="K226" i="28"/>
  <c r="K227" i="28"/>
  <c r="K228" i="28"/>
  <c r="K229" i="28"/>
  <c r="K230" i="28"/>
  <c r="K231" i="28"/>
  <c r="K232" i="28"/>
  <c r="K233" i="28"/>
  <c r="K234" i="28"/>
  <c r="K235" i="28"/>
  <c r="K236" i="28"/>
  <c r="K237" i="28"/>
  <c r="K238" i="28"/>
  <c r="K239" i="28"/>
  <c r="K240" i="28"/>
  <c r="K241" i="28"/>
  <c r="K242" i="28"/>
  <c r="K243" i="28"/>
  <c r="K244" i="28"/>
  <c r="K245" i="28"/>
  <c r="K246" i="28"/>
  <c r="K247" i="28"/>
  <c r="K248" i="28"/>
  <c r="K249" i="28"/>
  <c r="K250" i="28"/>
  <c r="K251" i="28"/>
  <c r="K252" i="28"/>
  <c r="K253" i="28"/>
  <c r="K254" i="28"/>
  <c r="K255" i="28"/>
  <c r="K256" i="28"/>
  <c r="K257" i="28"/>
  <c r="K258" i="28"/>
  <c r="K259" i="28"/>
  <c r="K260" i="28"/>
  <c r="K261" i="28"/>
  <c r="K262" i="28"/>
  <c r="K263" i="28"/>
  <c r="K264" i="28"/>
  <c r="K265" i="28"/>
  <c r="K266" i="28"/>
  <c r="K267" i="28"/>
  <c r="K268" i="28"/>
  <c r="K269" i="28"/>
  <c r="K270" i="28"/>
  <c r="K271" i="28"/>
  <c r="K272" i="28"/>
  <c r="K273" i="28"/>
  <c r="K274" i="28"/>
  <c r="K275" i="28"/>
  <c r="K276" i="28"/>
  <c r="K277" i="28"/>
  <c r="K278" i="28"/>
  <c r="K279" i="28"/>
  <c r="K280" i="28"/>
  <c r="K281" i="28"/>
  <c r="K282" i="28"/>
  <c r="K283" i="28"/>
  <c r="K284" i="28"/>
  <c r="K285" i="28"/>
  <c r="K286" i="28"/>
  <c r="K287" i="28"/>
  <c r="K288" i="28"/>
  <c r="K289" i="28"/>
  <c r="K290" i="28"/>
  <c r="K291" i="28"/>
  <c r="K292" i="28"/>
  <c r="K293" i="28"/>
  <c r="K294" i="28"/>
  <c r="K295" i="28"/>
  <c r="K296" i="28"/>
  <c r="K297" i="28"/>
  <c r="K298" i="28"/>
  <c r="K299" i="28"/>
  <c r="K300" i="28"/>
  <c r="K301" i="28"/>
  <c r="K302" i="28"/>
  <c r="K303" i="28"/>
  <c r="K304" i="28"/>
  <c r="K305" i="28"/>
  <c r="K306" i="28"/>
  <c r="K307" i="28"/>
  <c r="K308" i="28"/>
  <c r="K309" i="28"/>
  <c r="K310" i="28"/>
  <c r="K311" i="28"/>
  <c r="K312" i="28"/>
  <c r="K313" i="28"/>
  <c r="K314" i="28"/>
  <c r="K315" i="28"/>
  <c r="K316" i="28"/>
  <c r="K317" i="28"/>
  <c r="K318" i="28"/>
  <c r="K319" i="28"/>
  <c r="K320" i="28"/>
  <c r="K321" i="28"/>
  <c r="K322" i="28"/>
  <c r="K323" i="28"/>
  <c r="K324" i="28"/>
  <c r="K325" i="28"/>
  <c r="K326" i="28"/>
  <c r="K327" i="28"/>
  <c r="K328" i="28"/>
  <c r="K329" i="28"/>
  <c r="K330" i="28"/>
  <c r="K331" i="28"/>
  <c r="K332" i="28"/>
  <c r="K333" i="28"/>
  <c r="K334" i="28"/>
  <c r="K335" i="28"/>
  <c r="K336" i="28"/>
  <c r="K337" i="28"/>
  <c r="K338" i="28"/>
  <c r="K339" i="28"/>
  <c r="K340" i="28"/>
  <c r="K341" i="28"/>
  <c r="K342" i="28"/>
  <c r="K343" i="28"/>
  <c r="K344" i="28"/>
  <c r="K345" i="28"/>
  <c r="K346" i="28"/>
  <c r="K347" i="28"/>
  <c r="K348" i="28"/>
  <c r="K349" i="28"/>
  <c r="K350" i="28"/>
  <c r="K351" i="28"/>
  <c r="K352" i="28"/>
  <c r="K353" i="28"/>
  <c r="K354" i="28"/>
  <c r="K355" i="28"/>
  <c r="K356" i="28"/>
  <c r="K357" i="28"/>
  <c r="K358" i="28"/>
  <c r="K359" i="28"/>
  <c r="K360" i="28"/>
  <c r="K361" i="28"/>
  <c r="K362" i="28"/>
  <c r="K363" i="28"/>
  <c r="K364" i="28"/>
  <c r="K365" i="28"/>
  <c r="K366" i="28"/>
  <c r="K367" i="28"/>
  <c r="K368" i="28"/>
  <c r="K369" i="28"/>
  <c r="K370" i="28"/>
  <c r="K371" i="28"/>
  <c r="K372" i="28"/>
  <c r="K373" i="28"/>
  <c r="K374" i="28"/>
  <c r="K375" i="28"/>
  <c r="K376" i="28"/>
  <c r="K377" i="28"/>
  <c r="K378" i="28"/>
  <c r="K379" i="28"/>
  <c r="K380" i="28"/>
  <c r="K381" i="28"/>
  <c r="K382" i="28"/>
  <c r="K383" i="28"/>
  <c r="K384" i="28"/>
  <c r="K385" i="28"/>
  <c r="K386" i="28"/>
  <c r="K387" i="28"/>
  <c r="K388" i="28"/>
  <c r="K389" i="28"/>
  <c r="K390" i="28"/>
  <c r="K391" i="28"/>
  <c r="K392" i="28"/>
  <c r="K393" i="28"/>
  <c r="K394" i="28"/>
  <c r="K395" i="28"/>
  <c r="K396" i="28"/>
  <c r="K397" i="28"/>
  <c r="K398" i="28"/>
  <c r="K399" i="28"/>
  <c r="K400" i="28"/>
  <c r="K401" i="28"/>
  <c r="K402" i="28"/>
  <c r="K403" i="28"/>
  <c r="K404" i="28"/>
  <c r="K405" i="28"/>
  <c r="K406" i="28"/>
  <c r="K407" i="28"/>
  <c r="K408" i="28"/>
  <c r="K409" i="28"/>
  <c r="K410" i="28"/>
  <c r="K411" i="28"/>
  <c r="K412" i="28"/>
  <c r="K413" i="28"/>
  <c r="K414" i="28"/>
  <c r="K415" i="28"/>
  <c r="K416" i="28"/>
  <c r="K417" i="28"/>
  <c r="K418" i="28"/>
  <c r="K419" i="28"/>
  <c r="K420" i="28"/>
  <c r="K421" i="28"/>
  <c r="K422" i="28"/>
  <c r="K423" i="28"/>
  <c r="K424" i="28"/>
  <c r="K425" i="28"/>
  <c r="K426" i="28"/>
  <c r="K427" i="28"/>
  <c r="K428" i="28"/>
  <c r="K429" i="28"/>
  <c r="K430" i="28"/>
  <c r="K431" i="28"/>
  <c r="K432" i="28"/>
  <c r="K433" i="28"/>
  <c r="K434" i="28"/>
  <c r="K435" i="28"/>
  <c r="K436" i="28"/>
  <c r="K437" i="28"/>
  <c r="K438" i="28"/>
  <c r="K439" i="28"/>
  <c r="K440" i="28"/>
  <c r="K441" i="28"/>
  <c r="K442" i="28"/>
  <c r="K443" i="28"/>
  <c r="K444" i="28"/>
  <c r="K445" i="28"/>
  <c r="K446" i="28"/>
  <c r="K447" i="28"/>
  <c r="K448" i="28"/>
  <c r="K449" i="28"/>
  <c r="K450" i="28"/>
  <c r="K451" i="28"/>
  <c r="K452" i="28"/>
  <c r="K453" i="28"/>
  <c r="K454" i="28"/>
  <c r="K455" i="28"/>
  <c r="K456" i="28"/>
  <c r="K457" i="28"/>
  <c r="K458" i="28"/>
  <c r="K459" i="28"/>
  <c r="K460" i="28"/>
  <c r="K461" i="28"/>
  <c r="K462" i="28"/>
  <c r="K463" i="28"/>
  <c r="K464" i="28"/>
  <c r="K465" i="28"/>
  <c r="K466" i="28"/>
  <c r="K467" i="28"/>
  <c r="K468" i="28"/>
  <c r="K469" i="28"/>
  <c r="K470" i="28"/>
  <c r="K471" i="28"/>
  <c r="K472" i="28"/>
  <c r="K473" i="28"/>
  <c r="K474" i="28"/>
  <c r="K475" i="28"/>
  <c r="K476" i="28"/>
  <c r="K477" i="28"/>
  <c r="K478" i="28"/>
  <c r="K479" i="28"/>
  <c r="K480" i="28"/>
  <c r="K481" i="28"/>
  <c r="K482" i="28"/>
  <c r="K483" i="28"/>
  <c r="K484" i="28"/>
  <c r="K485" i="28"/>
  <c r="K486" i="28"/>
  <c r="K487" i="28"/>
  <c r="K488" i="28"/>
  <c r="K489" i="28"/>
  <c r="K490" i="28"/>
  <c r="K491" i="28"/>
  <c r="K492" i="28"/>
  <c r="K493" i="28"/>
  <c r="K494" i="28"/>
  <c r="K495" i="28"/>
  <c r="K496" i="28"/>
  <c r="K497" i="28"/>
  <c r="K498" i="28"/>
  <c r="K499" i="28"/>
  <c r="K500" i="28"/>
  <c r="K501" i="28"/>
  <c r="K502" i="28"/>
  <c r="K503" i="28"/>
  <c r="K504" i="28"/>
  <c r="K505" i="28"/>
  <c r="K506" i="28"/>
  <c r="K507" i="28"/>
  <c r="K508" i="28"/>
  <c r="K509" i="28"/>
  <c r="K510" i="28"/>
  <c r="K511" i="28"/>
  <c r="K512" i="28"/>
  <c r="K513" i="28"/>
  <c r="K514" i="28"/>
  <c r="K515" i="28"/>
  <c r="K516" i="28"/>
  <c r="K517" i="28"/>
  <c r="K518" i="28"/>
  <c r="K519" i="28"/>
  <c r="K520" i="28"/>
  <c r="K521" i="28"/>
  <c r="K522" i="28"/>
  <c r="K523" i="28"/>
  <c r="K524" i="28"/>
  <c r="K525" i="28"/>
  <c r="K526" i="28"/>
  <c r="K527" i="28"/>
  <c r="K528" i="28"/>
  <c r="K529" i="28"/>
  <c r="K530" i="28"/>
  <c r="K531" i="28"/>
  <c r="K532" i="28"/>
  <c r="K533" i="28"/>
  <c r="K534" i="28"/>
  <c r="K535" i="28"/>
  <c r="K536" i="28"/>
  <c r="K537" i="28"/>
  <c r="K538" i="28"/>
  <c r="K539" i="28"/>
  <c r="K540" i="28"/>
  <c r="K541" i="28"/>
  <c r="K542" i="28"/>
  <c r="K543" i="28"/>
  <c r="K544" i="28"/>
  <c r="K545" i="28"/>
  <c r="K546" i="28"/>
  <c r="K547" i="28"/>
  <c r="K548" i="28"/>
  <c r="K549" i="28"/>
  <c r="K550" i="28"/>
  <c r="K551" i="28"/>
  <c r="K552" i="28"/>
  <c r="K553" i="28"/>
  <c r="K554" i="28"/>
  <c r="K555" i="28"/>
  <c r="K556" i="28"/>
  <c r="K557" i="28"/>
  <c r="K558" i="28"/>
  <c r="K559" i="28"/>
  <c r="K560" i="28"/>
  <c r="K561" i="28"/>
  <c r="K562" i="28"/>
  <c r="K563" i="28"/>
  <c r="K564" i="28"/>
  <c r="K565" i="28"/>
  <c r="K566" i="28"/>
  <c r="K567" i="28"/>
  <c r="K568" i="28"/>
  <c r="K569" i="28"/>
  <c r="K570" i="28"/>
  <c r="K571" i="28"/>
  <c r="K572" i="28"/>
  <c r="K573" i="28"/>
  <c r="K574" i="28"/>
  <c r="K575" i="28"/>
  <c r="K576" i="28"/>
  <c r="K577" i="28"/>
  <c r="K578" i="28"/>
  <c r="K579" i="28"/>
  <c r="K580" i="28"/>
  <c r="K581" i="28"/>
  <c r="K582" i="28"/>
  <c r="K583" i="28"/>
  <c r="K584" i="28"/>
  <c r="K585" i="28"/>
  <c r="K586" i="28"/>
  <c r="K587" i="28"/>
  <c r="K588" i="28"/>
  <c r="K589" i="28"/>
  <c r="K590" i="28"/>
  <c r="K591" i="28"/>
  <c r="K592" i="28"/>
  <c r="K593" i="28"/>
  <c r="K594" i="28"/>
  <c r="K595" i="28"/>
  <c r="K596" i="28"/>
  <c r="K597" i="28"/>
  <c r="K598" i="28"/>
  <c r="K599" i="28"/>
  <c r="K600" i="28"/>
  <c r="K601" i="28"/>
  <c r="K602" i="28"/>
  <c r="K603" i="28"/>
  <c r="K604" i="28"/>
  <c r="K605" i="28"/>
  <c r="K606" i="28"/>
  <c r="K607" i="28"/>
  <c r="K608" i="28"/>
  <c r="K609" i="28"/>
  <c r="K610" i="28"/>
  <c r="K611" i="28"/>
  <c r="K612" i="28"/>
  <c r="K613" i="28"/>
  <c r="K614" i="28"/>
  <c r="K615" i="28"/>
  <c r="K616" i="28"/>
  <c r="K617" i="28"/>
  <c r="K618" i="28"/>
  <c r="K619" i="28"/>
  <c r="K620" i="28"/>
  <c r="K621" i="28"/>
  <c r="K622" i="28"/>
  <c r="K623" i="28"/>
  <c r="K624" i="28"/>
  <c r="K625" i="28"/>
  <c r="K626" i="28"/>
  <c r="K627" i="28"/>
  <c r="K628" i="28"/>
  <c r="K629" i="28"/>
  <c r="K630" i="28"/>
  <c r="K631" i="28"/>
  <c r="K632" i="28"/>
  <c r="K633" i="28"/>
  <c r="K634" i="28"/>
  <c r="K635" i="28"/>
  <c r="K636" i="28"/>
  <c r="K637" i="28"/>
  <c r="K638" i="28"/>
  <c r="K639" i="28"/>
  <c r="K640" i="28"/>
  <c r="K641" i="28"/>
  <c r="K642" i="28"/>
  <c r="K643" i="28"/>
  <c r="K644" i="28"/>
  <c r="K645" i="28"/>
  <c r="K646" i="28"/>
  <c r="K647" i="28"/>
  <c r="K648" i="28"/>
  <c r="K649" i="28"/>
  <c r="K650" i="28"/>
  <c r="K651" i="28"/>
  <c r="K652" i="28"/>
  <c r="K653" i="28"/>
  <c r="K654" i="28"/>
  <c r="K655" i="28"/>
  <c r="K656" i="28"/>
  <c r="K657" i="28"/>
  <c r="K658" i="28"/>
  <c r="K659" i="28"/>
  <c r="K660" i="28"/>
  <c r="K661" i="28"/>
  <c r="K662" i="28"/>
  <c r="K663" i="28"/>
  <c r="K664" i="28"/>
  <c r="K665" i="28"/>
  <c r="K666" i="28"/>
  <c r="K667" i="28"/>
  <c r="K668" i="28"/>
  <c r="K669" i="28"/>
  <c r="K670" i="28"/>
  <c r="K671" i="28"/>
  <c r="K672" i="28"/>
  <c r="K673" i="28"/>
  <c r="K674" i="28"/>
  <c r="K675" i="28"/>
  <c r="K676" i="28"/>
  <c r="K677" i="28"/>
  <c r="K678" i="28"/>
  <c r="K679" i="28"/>
  <c r="K680" i="28"/>
  <c r="K681" i="28"/>
  <c r="K682" i="28"/>
  <c r="K683" i="28"/>
  <c r="K684" i="28"/>
  <c r="K685" i="28"/>
  <c r="K686" i="28"/>
  <c r="K687" i="28"/>
  <c r="K688" i="28"/>
  <c r="K689" i="28"/>
  <c r="K690" i="28"/>
  <c r="K691" i="28"/>
  <c r="K692" i="28"/>
  <c r="K693" i="28"/>
  <c r="K694" i="28"/>
  <c r="K695" i="28"/>
  <c r="K696" i="28"/>
  <c r="K697" i="28"/>
  <c r="K698" i="28"/>
  <c r="K699" i="28"/>
  <c r="K700" i="28"/>
  <c r="K701" i="28"/>
  <c r="K702" i="28"/>
  <c r="K703" i="28"/>
  <c r="K704" i="28"/>
  <c r="K705" i="28"/>
  <c r="K706" i="28"/>
  <c r="K707" i="28"/>
  <c r="K708" i="28"/>
  <c r="K709" i="28"/>
  <c r="K710" i="28"/>
  <c r="K711" i="28"/>
  <c r="K712" i="28"/>
  <c r="K713" i="28"/>
  <c r="K714" i="28"/>
  <c r="K715" i="28"/>
  <c r="K716" i="28"/>
  <c r="K717" i="28"/>
  <c r="K718" i="28"/>
  <c r="K719" i="28"/>
  <c r="K720" i="28"/>
  <c r="K721" i="28"/>
  <c r="K722" i="28"/>
  <c r="K723" i="28"/>
  <c r="K724" i="28"/>
  <c r="K725" i="28"/>
  <c r="K726" i="28"/>
  <c r="K727" i="28"/>
  <c r="K728" i="28"/>
  <c r="K729" i="28"/>
  <c r="K730" i="28"/>
  <c r="K731" i="28"/>
  <c r="K732" i="28"/>
  <c r="K733" i="28"/>
  <c r="K734" i="28"/>
  <c r="K735" i="28"/>
  <c r="K736" i="28"/>
  <c r="K737" i="28"/>
  <c r="K738" i="28"/>
  <c r="K739" i="28"/>
  <c r="K740" i="28"/>
  <c r="K2" i="28"/>
  <c r="C45" i="60"/>
  <c r="D45" i="60"/>
  <c r="E45" i="60"/>
  <c r="F45" i="60"/>
  <c r="G45" i="60"/>
  <c r="H45" i="60"/>
  <c r="I45" i="60"/>
  <c r="J45" i="60"/>
  <c r="K45" i="60"/>
  <c r="L45" i="60"/>
  <c r="M45" i="60"/>
  <c r="N45" i="60"/>
  <c r="O45" i="60"/>
  <c r="P45" i="60"/>
  <c r="Q45" i="60"/>
  <c r="R45" i="60"/>
  <c r="S45" i="60"/>
  <c r="T45" i="60"/>
  <c r="U45" i="60"/>
  <c r="V45" i="60"/>
  <c r="W45" i="60"/>
  <c r="X45" i="60"/>
  <c r="Y45" i="60"/>
  <c r="Z45" i="60"/>
  <c r="AA45" i="60"/>
  <c r="AB45" i="60"/>
  <c r="AC45" i="60"/>
  <c r="AD45" i="60"/>
  <c r="AE45" i="60"/>
  <c r="AF45" i="60"/>
  <c r="AG45" i="60"/>
  <c r="AH45" i="60"/>
  <c r="AI45" i="60"/>
  <c r="AJ45" i="60"/>
  <c r="AK45" i="60"/>
  <c r="AL45" i="60"/>
  <c r="AM45" i="60"/>
  <c r="B45" i="60"/>
  <c r="C5" i="60"/>
  <c r="D5" i="60"/>
  <c r="E5" i="60"/>
  <c r="F5" i="60"/>
  <c r="G5" i="60"/>
  <c r="H5" i="60"/>
  <c r="I5" i="60"/>
  <c r="J5" i="60"/>
  <c r="K5" i="60"/>
  <c r="L5" i="60"/>
  <c r="M5" i="60"/>
  <c r="N5" i="60"/>
  <c r="O5" i="60"/>
  <c r="P5" i="60"/>
  <c r="Q5" i="60"/>
  <c r="R5" i="60"/>
  <c r="S5" i="60"/>
  <c r="T5" i="60"/>
  <c r="U5" i="60"/>
  <c r="V5" i="60"/>
  <c r="W5" i="60"/>
  <c r="X5" i="60"/>
  <c r="Y5" i="60"/>
  <c r="Z5" i="60"/>
  <c r="AA5" i="60"/>
  <c r="AB5" i="60"/>
  <c r="AC5" i="60"/>
  <c r="AD5" i="60"/>
  <c r="AE5" i="60"/>
  <c r="AF5" i="60"/>
  <c r="AG5" i="60"/>
  <c r="AH5" i="60"/>
  <c r="AI5" i="60"/>
  <c r="AJ5" i="60"/>
  <c r="AK5" i="60"/>
  <c r="AL5" i="60"/>
  <c r="AM5" i="60"/>
  <c r="B5" i="60"/>
  <c r="AM81" i="60"/>
  <c r="AL81" i="60"/>
  <c r="AK81" i="60"/>
  <c r="AJ81" i="60"/>
  <c r="AI81" i="60"/>
  <c r="AH81" i="60"/>
  <c r="AG81" i="60"/>
  <c r="AF81" i="60"/>
  <c r="AE81" i="60"/>
  <c r="AD81" i="60"/>
  <c r="AC81" i="60"/>
  <c r="AB81" i="60"/>
  <c r="AA81" i="60"/>
  <c r="Z81" i="60"/>
  <c r="Y81" i="60"/>
  <c r="X81" i="60"/>
  <c r="W81" i="60"/>
  <c r="V81" i="60"/>
  <c r="U81" i="60"/>
  <c r="T81" i="60"/>
  <c r="S81" i="60"/>
  <c r="R81" i="60"/>
  <c r="Q81" i="60"/>
  <c r="P81" i="60"/>
  <c r="O81" i="60"/>
  <c r="N81" i="60"/>
  <c r="M81" i="60"/>
  <c r="L81" i="60"/>
  <c r="K81" i="60"/>
  <c r="J81" i="60"/>
  <c r="I81" i="60"/>
  <c r="H81" i="60"/>
  <c r="G81" i="60"/>
  <c r="F81" i="60"/>
  <c r="E81" i="60"/>
  <c r="D81" i="60"/>
  <c r="C81" i="60"/>
  <c r="B81" i="60"/>
  <c r="AM87" i="59"/>
  <c r="AL87" i="59"/>
  <c r="AK87" i="59"/>
  <c r="AJ87" i="59"/>
  <c r="AI87" i="59"/>
  <c r="AH87" i="59"/>
  <c r="AG87" i="59"/>
  <c r="AF87" i="59"/>
  <c r="AE87" i="59"/>
  <c r="AD87" i="59"/>
  <c r="AC87" i="59"/>
  <c r="AB87" i="59"/>
  <c r="AA87" i="59"/>
  <c r="Z87" i="59"/>
  <c r="Y87" i="59"/>
  <c r="X87" i="59"/>
  <c r="W87" i="59"/>
  <c r="V87" i="59"/>
  <c r="U87" i="59"/>
  <c r="T87" i="59"/>
  <c r="S87" i="59"/>
  <c r="R87" i="59"/>
  <c r="Q87" i="59"/>
  <c r="P87" i="59"/>
  <c r="O87" i="59"/>
  <c r="N87" i="59"/>
  <c r="M87" i="59"/>
  <c r="L87" i="59"/>
  <c r="K87" i="59"/>
  <c r="J87" i="59"/>
  <c r="I87" i="59"/>
  <c r="H87" i="59"/>
  <c r="G87" i="59"/>
  <c r="F87" i="59"/>
  <c r="E87" i="59"/>
  <c r="D87" i="59"/>
  <c r="C87" i="59"/>
  <c r="B87" i="59"/>
  <c r="AM86" i="59"/>
  <c r="AL86" i="59"/>
  <c r="AK86" i="59"/>
  <c r="AJ86" i="59"/>
  <c r="AI86" i="59"/>
  <c r="AH86" i="59"/>
  <c r="AG86" i="59"/>
  <c r="AF86" i="59"/>
  <c r="AE86" i="59"/>
  <c r="AD86" i="59"/>
  <c r="AC86" i="59"/>
  <c r="AB86" i="59"/>
  <c r="AA86" i="59"/>
  <c r="Z86" i="59"/>
  <c r="Y86" i="59"/>
  <c r="X86" i="59"/>
  <c r="W86" i="59"/>
  <c r="V86" i="59"/>
  <c r="U86" i="59"/>
  <c r="T86" i="59"/>
  <c r="S86" i="59"/>
  <c r="R86" i="59"/>
  <c r="Q86" i="59"/>
  <c r="P86" i="59"/>
  <c r="O86" i="59"/>
  <c r="N86" i="59"/>
  <c r="M86" i="59"/>
  <c r="L86" i="59"/>
  <c r="K86" i="59"/>
  <c r="J86" i="59"/>
  <c r="I86" i="59"/>
  <c r="H86" i="59"/>
  <c r="G86" i="59"/>
  <c r="F86" i="59"/>
  <c r="E86" i="59"/>
  <c r="D86" i="59"/>
  <c r="C86" i="59"/>
  <c r="B86" i="59"/>
  <c r="F90" i="23"/>
  <c r="U30" i="23"/>
  <c r="U41" i="23"/>
  <c r="U3" i="56"/>
  <c r="U4" i="56"/>
  <c r="U5" i="56"/>
  <c r="U6" i="56"/>
  <c r="U7" i="56"/>
  <c r="U8" i="56"/>
  <c r="U9" i="56"/>
  <c r="U10" i="56"/>
  <c r="U11" i="56"/>
  <c r="U12" i="56"/>
  <c r="U13" i="56"/>
  <c r="U14" i="56"/>
  <c r="U15" i="56"/>
  <c r="U16" i="56"/>
  <c r="U17" i="56"/>
  <c r="U18" i="56"/>
  <c r="U19" i="56"/>
  <c r="U20" i="56"/>
  <c r="U21" i="56"/>
  <c r="U22" i="56"/>
  <c r="U23" i="56"/>
  <c r="U24" i="56"/>
  <c r="U25" i="56"/>
  <c r="U26" i="56"/>
  <c r="U27" i="56"/>
  <c r="U28" i="56"/>
  <c r="U29" i="56"/>
  <c r="U30" i="56"/>
  <c r="U31" i="56"/>
  <c r="U32" i="56"/>
  <c r="U33" i="56"/>
  <c r="U34" i="56"/>
  <c r="U35" i="56"/>
  <c r="U36" i="56"/>
  <c r="U37" i="56"/>
  <c r="U38" i="56"/>
  <c r="U39" i="56"/>
  <c r="U40" i="56"/>
  <c r="U2" i="56"/>
  <c r="T3" i="56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2" i="56"/>
  <c r="AF15" i="59" s="1" a="1"/>
  <c r="AF15" i="59" s="1"/>
  <c r="AF46" i="60" s="1"/>
  <c r="S2" i="56"/>
  <c r="AL8" i="59" s="1" a="1"/>
  <c r="AL8" i="59" s="1"/>
  <c r="R2" i="56"/>
  <c r="AC7" i="59" s="1" a="1"/>
  <c r="AC7" i="59" s="1"/>
  <c r="AC9" i="59" s="1"/>
  <c r="AC9" i="60" s="1"/>
  <c r="L41" i="56"/>
  <c r="G41" i="56"/>
  <c r="K41" i="56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N3" i="56"/>
  <c r="P3" i="56" s="1"/>
  <c r="N4" i="56"/>
  <c r="P4" i="56" s="1"/>
  <c r="N5" i="56"/>
  <c r="P5" i="56" s="1"/>
  <c r="N6" i="56"/>
  <c r="P6" i="56" s="1"/>
  <c r="N7" i="56"/>
  <c r="N8" i="56"/>
  <c r="P8" i="56" s="1"/>
  <c r="N9" i="56"/>
  <c r="P9" i="56" s="1"/>
  <c r="N10" i="56"/>
  <c r="P10" i="56" s="1"/>
  <c r="N11" i="56"/>
  <c r="P11" i="56" s="1"/>
  <c r="N12" i="56"/>
  <c r="P12" i="56" s="1"/>
  <c r="N13" i="56"/>
  <c r="P13" i="56" s="1"/>
  <c r="N14" i="56"/>
  <c r="P14" i="56" s="1"/>
  <c r="N15" i="56"/>
  <c r="N16" i="56"/>
  <c r="N17" i="56"/>
  <c r="N18" i="56"/>
  <c r="N19" i="56"/>
  <c r="P19" i="56" s="1"/>
  <c r="N20" i="56"/>
  <c r="P20" i="56" s="1"/>
  <c r="N21" i="56"/>
  <c r="P21" i="56" s="1"/>
  <c r="N22" i="56"/>
  <c r="P22" i="56" s="1"/>
  <c r="N23" i="56"/>
  <c r="N24" i="56"/>
  <c r="P24" i="56" s="1"/>
  <c r="N25" i="56"/>
  <c r="P25" i="56" s="1"/>
  <c r="N26" i="56"/>
  <c r="P26" i="56" s="1"/>
  <c r="N27" i="56"/>
  <c r="P27" i="56" s="1"/>
  <c r="N28" i="56"/>
  <c r="P28" i="56" s="1"/>
  <c r="N29" i="56"/>
  <c r="P29" i="56" s="1"/>
  <c r="N30" i="56"/>
  <c r="P30" i="56" s="1"/>
  <c r="N31" i="56"/>
  <c r="N32" i="56"/>
  <c r="N33" i="56"/>
  <c r="N34" i="56"/>
  <c r="N35" i="56"/>
  <c r="P35" i="56" s="1"/>
  <c r="N36" i="56"/>
  <c r="P36" i="56" s="1"/>
  <c r="N37" i="56"/>
  <c r="P37" i="56" s="1"/>
  <c r="N38" i="56"/>
  <c r="P38" i="56" s="1"/>
  <c r="N39" i="56"/>
  <c r="N40" i="56"/>
  <c r="P40" i="56" s="1"/>
  <c r="N2" i="56"/>
  <c r="P2" i="56" s="1"/>
  <c r="F41" i="56"/>
  <c r="S40" i="56"/>
  <c r="R40" i="56"/>
  <c r="S39" i="56"/>
  <c r="R39" i="56"/>
  <c r="S38" i="56"/>
  <c r="R38" i="56"/>
  <c r="S37" i="56"/>
  <c r="R37" i="56"/>
  <c r="S36" i="56"/>
  <c r="R36" i="56"/>
  <c r="S35" i="56"/>
  <c r="R35" i="56"/>
  <c r="S34" i="56"/>
  <c r="R34" i="56"/>
  <c r="S33" i="56"/>
  <c r="R33" i="56"/>
  <c r="S32" i="56"/>
  <c r="R32" i="56"/>
  <c r="S31" i="56"/>
  <c r="R31" i="56"/>
  <c r="S30" i="56"/>
  <c r="R30" i="56"/>
  <c r="S29" i="56"/>
  <c r="R29" i="56"/>
  <c r="S28" i="56"/>
  <c r="R28" i="56"/>
  <c r="S27" i="56"/>
  <c r="R27" i="56"/>
  <c r="S26" i="56"/>
  <c r="R26" i="56"/>
  <c r="S25" i="56"/>
  <c r="R25" i="56"/>
  <c r="S24" i="56"/>
  <c r="R24" i="56"/>
  <c r="S23" i="56"/>
  <c r="R23" i="56"/>
  <c r="S22" i="56"/>
  <c r="R22" i="56"/>
  <c r="S21" i="56"/>
  <c r="R21" i="56"/>
  <c r="S20" i="56"/>
  <c r="R20" i="56"/>
  <c r="S19" i="56"/>
  <c r="R19" i="56"/>
  <c r="S18" i="56"/>
  <c r="R18" i="56"/>
  <c r="S17" i="56"/>
  <c r="R17" i="56"/>
  <c r="S16" i="56"/>
  <c r="R16" i="56"/>
  <c r="S15" i="56"/>
  <c r="R15" i="56"/>
  <c r="S14" i="56"/>
  <c r="R14" i="56"/>
  <c r="S13" i="56"/>
  <c r="R13" i="56"/>
  <c r="S12" i="56"/>
  <c r="R12" i="56"/>
  <c r="S11" i="56"/>
  <c r="R11" i="56"/>
  <c r="S10" i="56"/>
  <c r="R10" i="56"/>
  <c r="S9" i="56"/>
  <c r="R9" i="56"/>
  <c r="S8" i="56"/>
  <c r="R8" i="56"/>
  <c r="S7" i="56"/>
  <c r="R7" i="56"/>
  <c r="S6" i="56"/>
  <c r="R6" i="56"/>
  <c r="S5" i="56"/>
  <c r="R5" i="56"/>
  <c r="S4" i="56"/>
  <c r="R4" i="56"/>
  <c r="S3" i="56"/>
  <c r="R3" i="56"/>
  <c r="AH10" i="48"/>
  <c r="AI10" i="48"/>
  <c r="AJ10" i="48"/>
  <c r="AK10" i="48"/>
  <c r="AL10" i="48"/>
  <c r="AM10" i="48"/>
  <c r="AN10" i="48"/>
  <c r="AO10" i="48"/>
  <c r="AP10" i="48"/>
  <c r="AQ10" i="48"/>
  <c r="AR10" i="48"/>
  <c r="AH9" i="48"/>
  <c r="AH8" i="48" s="1"/>
  <c r="AI9" i="48"/>
  <c r="AI8" i="48" s="1"/>
  <c r="AJ9" i="48"/>
  <c r="AJ8" i="48" s="1"/>
  <c r="AK9" i="48"/>
  <c r="AK8" i="48" s="1"/>
  <c r="AL9" i="48"/>
  <c r="AL8" i="48" s="1"/>
  <c r="AM9" i="48"/>
  <c r="AM8" i="48" s="1"/>
  <c r="AN9" i="48"/>
  <c r="AN8" i="48" s="1"/>
  <c r="AO9" i="48"/>
  <c r="AO8" i="48" s="1"/>
  <c r="AP9" i="48"/>
  <c r="AP8" i="48" s="1"/>
  <c r="AQ9" i="48"/>
  <c r="AQ8" i="48" s="1"/>
  <c r="AR9" i="48"/>
  <c r="AR8" i="48" s="1"/>
  <c r="AS4" i="48"/>
  <c r="S18" i="54"/>
  <c r="J18" i="54"/>
  <c r="H4" i="51"/>
  <c r="I4" i="51"/>
  <c r="J4" i="51"/>
  <c r="J41" i="49"/>
  <c r="J40" i="49"/>
  <c r="I41" i="49"/>
  <c r="I40" i="49"/>
  <c r="H41" i="49"/>
  <c r="H40" i="49"/>
  <c r="C118" i="55"/>
  <c r="D118" i="55"/>
  <c r="E118" i="55"/>
  <c r="F118" i="55"/>
  <c r="G118" i="55"/>
  <c r="H118" i="55"/>
  <c r="I118" i="55"/>
  <c r="J118" i="55"/>
  <c r="K118" i="55"/>
  <c r="L118" i="55"/>
  <c r="M118" i="55"/>
  <c r="N118" i="55"/>
  <c r="O118" i="55"/>
  <c r="P118" i="55"/>
  <c r="Q118" i="55"/>
  <c r="B118" i="55"/>
  <c r="B311" i="53"/>
  <c r="C4" i="55"/>
  <c r="D4" i="55"/>
  <c r="E4" i="55"/>
  <c r="F4" i="55"/>
  <c r="G4" i="55"/>
  <c r="H4" i="55"/>
  <c r="I4" i="55"/>
  <c r="J4" i="55"/>
  <c r="K4" i="55"/>
  <c r="L4" i="55"/>
  <c r="M4" i="55"/>
  <c r="N4" i="55"/>
  <c r="O4" i="55"/>
  <c r="P4" i="55"/>
  <c r="Q4" i="55"/>
  <c r="B4" i="55"/>
  <c r="B14" i="54" a="1"/>
  <c r="B14" i="54" s="1"/>
  <c r="B13" i="54" a="1"/>
  <c r="B13" i="54" s="1"/>
  <c r="B12" i="54" a="1"/>
  <c r="B12" i="54" s="1"/>
  <c r="B11" i="54" a="1"/>
  <c r="B11" i="54" s="1"/>
  <c r="B10" i="54" a="1"/>
  <c r="B10" i="54" s="1"/>
  <c r="B9" i="54" a="1"/>
  <c r="B9" i="54" s="1"/>
  <c r="B8" i="54" a="1"/>
  <c r="B8" i="54" s="1"/>
  <c r="B7" i="54" a="1"/>
  <c r="B7" i="54" s="1"/>
  <c r="B18" i="54" s="1"/>
  <c r="A18" i="54"/>
  <c r="O246" i="28"/>
  <c r="P312" i="53"/>
  <c r="O312" i="53"/>
  <c r="N312" i="53"/>
  <c r="M312" i="53"/>
  <c r="L312" i="53"/>
  <c r="K312" i="53"/>
  <c r="J312" i="53"/>
  <c r="I312" i="53"/>
  <c r="H312" i="53"/>
  <c r="G312" i="53"/>
  <c r="F312" i="53"/>
  <c r="E312" i="53"/>
  <c r="D312" i="53"/>
  <c r="C312" i="53"/>
  <c r="B312" i="53"/>
  <c r="P311" i="53"/>
  <c r="O311" i="53"/>
  <c r="N311" i="53"/>
  <c r="M311" i="53"/>
  <c r="L311" i="53"/>
  <c r="K311" i="53"/>
  <c r="J311" i="53"/>
  <c r="I311" i="53"/>
  <c r="H311" i="53"/>
  <c r="G311" i="53"/>
  <c r="F311" i="53"/>
  <c r="E311" i="53"/>
  <c r="D311" i="53"/>
  <c r="C311" i="53"/>
  <c r="U23" i="23"/>
  <c r="T23" i="23"/>
  <c r="Q23" i="23"/>
  <c r="I83" i="23"/>
  <c r="I84" i="23"/>
  <c r="C4" i="48"/>
  <c r="AD4" i="48" s="1"/>
  <c r="D4" i="48"/>
  <c r="AE4" i="48" s="1"/>
  <c r="E4" i="48"/>
  <c r="AF4" i="48" s="1"/>
  <c r="F4" i="48"/>
  <c r="AG4" i="48" s="1"/>
  <c r="G4" i="48"/>
  <c r="AH4" i="48" s="1"/>
  <c r="H4" i="48"/>
  <c r="AI4" i="48" s="1"/>
  <c r="I4" i="48"/>
  <c r="AJ4" i="48" s="1"/>
  <c r="J4" i="48"/>
  <c r="AK4" i="48" s="1"/>
  <c r="K4" i="48"/>
  <c r="AL4" i="48" s="1"/>
  <c r="L4" i="48"/>
  <c r="AM4" i="48" s="1"/>
  <c r="M4" i="48"/>
  <c r="AN4" i="48" s="1"/>
  <c r="N4" i="48"/>
  <c r="AO4" i="48" s="1"/>
  <c r="O4" i="48"/>
  <c r="AP4" i="48" s="1"/>
  <c r="P4" i="48"/>
  <c r="AQ4" i="48" s="1"/>
  <c r="Q4" i="48"/>
  <c r="AR4" i="48" s="1"/>
  <c r="B4" i="48"/>
  <c r="AC4" i="48" s="1"/>
  <c r="C4" i="51"/>
  <c r="D4" i="51"/>
  <c r="E4" i="51"/>
  <c r="F4" i="51"/>
  <c r="G4" i="51"/>
  <c r="B4" i="51"/>
  <c r="G41" i="49"/>
  <c r="F41" i="49"/>
  <c r="E41" i="49"/>
  <c r="D41" i="49"/>
  <c r="C41" i="49"/>
  <c r="B41" i="49"/>
  <c r="G40" i="49"/>
  <c r="F40" i="49"/>
  <c r="E40" i="49"/>
  <c r="D40" i="49"/>
  <c r="C40" i="49"/>
  <c r="B40" i="49"/>
  <c r="U89" i="23"/>
  <c r="U88" i="23"/>
  <c r="U87" i="23"/>
  <c r="U85" i="23"/>
  <c r="U84" i="23"/>
  <c r="U83" i="23"/>
  <c r="U82" i="23"/>
  <c r="U81" i="23"/>
  <c r="U80" i="23"/>
  <c r="U79" i="23"/>
  <c r="U78" i="23"/>
  <c r="U77" i="23"/>
  <c r="U76" i="23"/>
  <c r="U75" i="23"/>
  <c r="U74" i="23"/>
  <c r="U73" i="23"/>
  <c r="U72" i="23"/>
  <c r="U71" i="23"/>
  <c r="U70" i="23"/>
  <c r="U69" i="23"/>
  <c r="U68" i="23"/>
  <c r="U67" i="23"/>
  <c r="U66" i="23"/>
  <c r="U65" i="23"/>
  <c r="U64" i="23"/>
  <c r="U63" i="23"/>
  <c r="U62" i="23"/>
  <c r="U61" i="23"/>
  <c r="U60" i="23"/>
  <c r="U59" i="23"/>
  <c r="U58" i="23"/>
  <c r="U57" i="23"/>
  <c r="U56" i="23"/>
  <c r="U55" i="23"/>
  <c r="U54" i="23"/>
  <c r="U53" i="23"/>
  <c r="U52" i="23"/>
  <c r="U51" i="23"/>
  <c r="U50" i="23"/>
  <c r="U49" i="23"/>
  <c r="U48" i="23"/>
  <c r="U47" i="23"/>
  <c r="U46" i="23"/>
  <c r="U45" i="23"/>
  <c r="U44" i="23"/>
  <c r="U43" i="23"/>
  <c r="U42" i="23"/>
  <c r="U40" i="23"/>
  <c r="U39" i="23"/>
  <c r="U38" i="23"/>
  <c r="U37" i="23"/>
  <c r="U36" i="23"/>
  <c r="U35" i="23"/>
  <c r="U34" i="23"/>
  <c r="U33" i="23"/>
  <c r="U32" i="23"/>
  <c r="U31" i="23"/>
  <c r="U29" i="23"/>
  <c r="U28" i="23"/>
  <c r="U27" i="23"/>
  <c r="U26" i="23"/>
  <c r="U25" i="23"/>
  <c r="U24" i="23"/>
  <c r="U22" i="23"/>
  <c r="U21" i="23"/>
  <c r="U20" i="23"/>
  <c r="U19" i="23"/>
  <c r="U18" i="23"/>
  <c r="U17" i="23"/>
  <c r="U6" i="23"/>
  <c r="U7" i="23"/>
  <c r="U8" i="23"/>
  <c r="U9" i="23"/>
  <c r="U10" i="23"/>
  <c r="U11" i="23"/>
  <c r="U12" i="23"/>
  <c r="U13" i="23"/>
  <c r="U14" i="23"/>
  <c r="U15" i="23"/>
  <c r="U16" i="23"/>
  <c r="U5" i="23"/>
  <c r="T89" i="23"/>
  <c r="T88" i="23"/>
  <c r="T87" i="23"/>
  <c r="T85" i="23"/>
  <c r="T84" i="23"/>
  <c r="T83" i="23"/>
  <c r="T82" i="23"/>
  <c r="T81" i="23"/>
  <c r="T80" i="23"/>
  <c r="T79" i="23"/>
  <c r="T78" i="23"/>
  <c r="T77" i="23"/>
  <c r="T76" i="23"/>
  <c r="T75" i="23"/>
  <c r="T74" i="23"/>
  <c r="T73" i="23"/>
  <c r="T72" i="23"/>
  <c r="T71" i="23"/>
  <c r="T70" i="23"/>
  <c r="T69" i="23"/>
  <c r="T68" i="23"/>
  <c r="T67" i="23"/>
  <c r="T66" i="23"/>
  <c r="T65" i="23"/>
  <c r="T64" i="23"/>
  <c r="T63" i="23"/>
  <c r="T62" i="23"/>
  <c r="T61" i="23"/>
  <c r="T60" i="23"/>
  <c r="T53" i="23"/>
  <c r="T54" i="23"/>
  <c r="T55" i="23"/>
  <c r="T56" i="23"/>
  <c r="T57" i="23"/>
  <c r="T59" i="23"/>
  <c r="T58" i="23"/>
  <c r="T52" i="23"/>
  <c r="T51" i="23"/>
  <c r="T50" i="23"/>
  <c r="T49" i="23"/>
  <c r="T48" i="23"/>
  <c r="T47" i="23"/>
  <c r="T46" i="23"/>
  <c r="T45" i="23"/>
  <c r="T44" i="23"/>
  <c r="T43" i="23"/>
  <c r="T42" i="23"/>
  <c r="T40" i="23"/>
  <c r="T41" i="23"/>
  <c r="T39" i="23"/>
  <c r="T38" i="23"/>
  <c r="T37" i="23"/>
  <c r="T36" i="23"/>
  <c r="T35" i="23"/>
  <c r="T34" i="23"/>
  <c r="T31" i="23"/>
  <c r="T32" i="23"/>
  <c r="T33" i="23"/>
  <c r="T30" i="23"/>
  <c r="T29" i="23"/>
  <c r="T28" i="23"/>
  <c r="T27" i="23"/>
  <c r="T26" i="23"/>
  <c r="T25" i="23"/>
  <c r="T24" i="23"/>
  <c r="T5" i="23"/>
  <c r="T22" i="23"/>
  <c r="T21" i="23"/>
  <c r="T20" i="23"/>
  <c r="T19" i="23"/>
  <c r="T18" i="23"/>
  <c r="T17" i="23"/>
  <c r="T16" i="23"/>
  <c r="F741" i="28"/>
  <c r="S740" i="28"/>
  <c r="R740" i="28"/>
  <c r="O740" i="28"/>
  <c r="G118" i="31"/>
  <c r="F118" i="31"/>
  <c r="E118" i="31"/>
  <c r="D118" i="31"/>
  <c r="T13" i="23"/>
  <c r="T14" i="23"/>
  <c r="T15" i="23"/>
  <c r="T6" i="23"/>
  <c r="T7" i="23"/>
  <c r="T8" i="23"/>
  <c r="T9" i="23"/>
  <c r="CS17" i="50" s="1" a="1"/>
  <c r="CS17" i="50" s="1"/>
  <c r="T10" i="23"/>
  <c r="T11" i="23"/>
  <c r="T12" i="23"/>
  <c r="S3" i="28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S30" i="28"/>
  <c r="S31" i="28"/>
  <c r="S32" i="28"/>
  <c r="S33" i="28"/>
  <c r="S34" i="28"/>
  <c r="S35" i="28"/>
  <c r="S36" i="28"/>
  <c r="S37" i="28"/>
  <c r="S38" i="28"/>
  <c r="S39" i="28"/>
  <c r="S40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61" i="28"/>
  <c r="S62" i="28"/>
  <c r="S63" i="28"/>
  <c r="S64" i="28"/>
  <c r="S65" i="28"/>
  <c r="S66" i="28"/>
  <c r="S67" i="28"/>
  <c r="S68" i="28"/>
  <c r="S69" i="28"/>
  <c r="S70" i="28"/>
  <c r="S71" i="28"/>
  <c r="S72" i="28"/>
  <c r="S73" i="28"/>
  <c r="S74" i="28"/>
  <c r="S75" i="28"/>
  <c r="S76" i="28"/>
  <c r="S77" i="28"/>
  <c r="S78" i="28"/>
  <c r="S79" i="28"/>
  <c r="S80" i="28"/>
  <c r="S81" i="28"/>
  <c r="S82" i="28"/>
  <c r="S83" i="28"/>
  <c r="S84" i="28"/>
  <c r="S85" i="28"/>
  <c r="S86" i="28"/>
  <c r="S87" i="28"/>
  <c r="S88" i="28"/>
  <c r="S89" i="28"/>
  <c r="S90" i="28"/>
  <c r="S91" i="28"/>
  <c r="S92" i="28"/>
  <c r="S93" i="28"/>
  <c r="S94" i="28"/>
  <c r="S95" i="28"/>
  <c r="S96" i="28"/>
  <c r="S97" i="28"/>
  <c r="S98" i="28"/>
  <c r="S99" i="28"/>
  <c r="S100" i="28"/>
  <c r="S101" i="28"/>
  <c r="S102" i="28"/>
  <c r="S103" i="28"/>
  <c r="S104" i="28"/>
  <c r="S105" i="28"/>
  <c r="S106" i="28"/>
  <c r="S107" i="28"/>
  <c r="S108" i="28"/>
  <c r="S109" i="28"/>
  <c r="S110" i="28"/>
  <c r="S111" i="28"/>
  <c r="S112" i="28"/>
  <c r="S113" i="28"/>
  <c r="S114" i="28"/>
  <c r="S115" i="28"/>
  <c r="S116" i="28"/>
  <c r="S117" i="28"/>
  <c r="S118" i="28"/>
  <c r="S119" i="28"/>
  <c r="S120" i="28"/>
  <c r="S121" i="28"/>
  <c r="S122" i="28"/>
  <c r="S123" i="28"/>
  <c r="S124" i="28"/>
  <c r="S125" i="28"/>
  <c r="S126" i="28"/>
  <c r="S127" i="28"/>
  <c r="S128" i="28"/>
  <c r="S129" i="28"/>
  <c r="S130" i="28"/>
  <c r="S131" i="28"/>
  <c r="S132" i="28"/>
  <c r="S133" i="28"/>
  <c r="S134" i="28"/>
  <c r="S135" i="28"/>
  <c r="S136" i="28"/>
  <c r="S137" i="28"/>
  <c r="S138" i="28"/>
  <c r="S139" i="28"/>
  <c r="S140" i="28"/>
  <c r="S141" i="28"/>
  <c r="S142" i="28"/>
  <c r="S143" i="28"/>
  <c r="S144" i="28"/>
  <c r="S145" i="28"/>
  <c r="S146" i="28"/>
  <c r="S147" i="28"/>
  <c r="S148" i="28"/>
  <c r="S149" i="28"/>
  <c r="S150" i="28"/>
  <c r="S151" i="28"/>
  <c r="S152" i="28"/>
  <c r="S153" i="28"/>
  <c r="S154" i="28"/>
  <c r="S155" i="28"/>
  <c r="S156" i="28"/>
  <c r="S157" i="28"/>
  <c r="S158" i="28"/>
  <c r="S159" i="28"/>
  <c r="S160" i="28"/>
  <c r="S161" i="28"/>
  <c r="S162" i="28"/>
  <c r="S163" i="28"/>
  <c r="S164" i="28"/>
  <c r="S165" i="28"/>
  <c r="S166" i="28"/>
  <c r="S167" i="28"/>
  <c r="S168" i="28"/>
  <c r="S169" i="28"/>
  <c r="S170" i="28"/>
  <c r="S171" i="28"/>
  <c r="S172" i="28"/>
  <c r="S173" i="28"/>
  <c r="S174" i="28"/>
  <c r="S175" i="28"/>
  <c r="S176" i="28"/>
  <c r="S177" i="28"/>
  <c r="S178" i="28"/>
  <c r="S179" i="28"/>
  <c r="S180" i="28"/>
  <c r="S181" i="28"/>
  <c r="S182" i="28"/>
  <c r="S183" i="28"/>
  <c r="S184" i="28"/>
  <c r="S185" i="28"/>
  <c r="S186" i="28"/>
  <c r="S187" i="28"/>
  <c r="S188" i="28"/>
  <c r="S189" i="28"/>
  <c r="S190" i="28"/>
  <c r="S191" i="28"/>
  <c r="S192" i="28"/>
  <c r="S193" i="28"/>
  <c r="S194" i="28"/>
  <c r="S195" i="28"/>
  <c r="S196" i="28"/>
  <c r="S197" i="28"/>
  <c r="S198" i="28"/>
  <c r="S199" i="28"/>
  <c r="S200" i="28"/>
  <c r="S201" i="28"/>
  <c r="S202" i="28"/>
  <c r="S203" i="28"/>
  <c r="S204" i="28"/>
  <c r="S205" i="28"/>
  <c r="S206" i="28"/>
  <c r="S207" i="28"/>
  <c r="S208" i="28"/>
  <c r="S209" i="28"/>
  <c r="S210" i="28"/>
  <c r="S211" i="28"/>
  <c r="S212" i="28"/>
  <c r="S213" i="28"/>
  <c r="S214" i="28"/>
  <c r="S215" i="28"/>
  <c r="S216" i="28"/>
  <c r="S217" i="28"/>
  <c r="S218" i="28"/>
  <c r="S219" i="28"/>
  <c r="S220" i="28"/>
  <c r="S221" i="28"/>
  <c r="S222" i="28"/>
  <c r="S223" i="28"/>
  <c r="S224" i="28"/>
  <c r="S225" i="28"/>
  <c r="S226" i="28"/>
  <c r="S227" i="28"/>
  <c r="S228" i="28"/>
  <c r="S229" i="28"/>
  <c r="S230" i="28"/>
  <c r="S231" i="28"/>
  <c r="S232" i="28"/>
  <c r="S233" i="28"/>
  <c r="S234" i="28"/>
  <c r="S235" i="28"/>
  <c r="S236" i="28"/>
  <c r="S237" i="28"/>
  <c r="S238" i="28"/>
  <c r="S239" i="28"/>
  <c r="S240" i="28"/>
  <c r="S241" i="28"/>
  <c r="S242" i="28"/>
  <c r="S243" i="28"/>
  <c r="S244" i="28"/>
  <c r="S245" i="28"/>
  <c r="S246" i="28"/>
  <c r="S247" i="28"/>
  <c r="S248" i="28"/>
  <c r="S249" i="28"/>
  <c r="S250" i="28"/>
  <c r="S251" i="28"/>
  <c r="S252" i="28"/>
  <c r="S253" i="28"/>
  <c r="S254" i="28"/>
  <c r="S255" i="28"/>
  <c r="S256" i="28"/>
  <c r="S257" i="28"/>
  <c r="S258" i="28"/>
  <c r="S259" i="28"/>
  <c r="S260" i="28"/>
  <c r="S261" i="28"/>
  <c r="S262" i="28"/>
  <c r="S263" i="28"/>
  <c r="S264" i="28"/>
  <c r="S265" i="28"/>
  <c r="S266" i="28"/>
  <c r="S267" i="28"/>
  <c r="S268" i="28"/>
  <c r="S269" i="28"/>
  <c r="S270" i="28"/>
  <c r="S271" i="28"/>
  <c r="S272" i="28"/>
  <c r="S273" i="28"/>
  <c r="S274" i="28"/>
  <c r="S275" i="28"/>
  <c r="S276" i="28"/>
  <c r="S277" i="28"/>
  <c r="S278" i="28"/>
  <c r="S279" i="28"/>
  <c r="S280" i="28"/>
  <c r="S281" i="28"/>
  <c r="S282" i="28"/>
  <c r="S283" i="28"/>
  <c r="S284" i="28"/>
  <c r="S285" i="28"/>
  <c r="S286" i="28"/>
  <c r="S287" i="28"/>
  <c r="S288" i="28"/>
  <c r="S289" i="28"/>
  <c r="S290" i="28"/>
  <c r="S291" i="28"/>
  <c r="S292" i="28"/>
  <c r="S293" i="28"/>
  <c r="S294" i="28"/>
  <c r="S295" i="28"/>
  <c r="S296" i="28"/>
  <c r="S297" i="28"/>
  <c r="S298" i="28"/>
  <c r="S299" i="28"/>
  <c r="S300" i="28"/>
  <c r="S301" i="28"/>
  <c r="S302" i="28"/>
  <c r="S303" i="28"/>
  <c r="S304" i="28"/>
  <c r="S305" i="28"/>
  <c r="S306" i="28"/>
  <c r="S307" i="28"/>
  <c r="S308" i="28"/>
  <c r="S309" i="28"/>
  <c r="S310" i="28"/>
  <c r="S311" i="28"/>
  <c r="S312" i="28"/>
  <c r="S313" i="28"/>
  <c r="S314" i="28"/>
  <c r="S315" i="28"/>
  <c r="S316" i="28"/>
  <c r="S317" i="28"/>
  <c r="S318" i="28"/>
  <c r="S319" i="28"/>
  <c r="S320" i="28"/>
  <c r="S321" i="28"/>
  <c r="S322" i="28"/>
  <c r="S323" i="28"/>
  <c r="S324" i="28"/>
  <c r="S325" i="28"/>
  <c r="S326" i="28"/>
  <c r="S327" i="28"/>
  <c r="S328" i="28"/>
  <c r="S329" i="28"/>
  <c r="S330" i="28"/>
  <c r="S331" i="28"/>
  <c r="S332" i="28"/>
  <c r="S333" i="28"/>
  <c r="S334" i="28"/>
  <c r="S335" i="28"/>
  <c r="S336" i="28"/>
  <c r="S337" i="28"/>
  <c r="S338" i="28"/>
  <c r="S339" i="28"/>
  <c r="S340" i="28"/>
  <c r="S341" i="28"/>
  <c r="S342" i="28"/>
  <c r="S343" i="28"/>
  <c r="S344" i="28"/>
  <c r="S345" i="28"/>
  <c r="S346" i="28"/>
  <c r="S347" i="28"/>
  <c r="S348" i="28"/>
  <c r="S349" i="28"/>
  <c r="S350" i="28"/>
  <c r="S351" i="28"/>
  <c r="S352" i="28"/>
  <c r="S353" i="28"/>
  <c r="S354" i="28"/>
  <c r="S355" i="28"/>
  <c r="S356" i="28"/>
  <c r="S357" i="28"/>
  <c r="S358" i="28"/>
  <c r="S359" i="28"/>
  <c r="S360" i="28"/>
  <c r="S361" i="28"/>
  <c r="S362" i="28"/>
  <c r="S363" i="28"/>
  <c r="S364" i="28"/>
  <c r="S365" i="28"/>
  <c r="S366" i="28"/>
  <c r="S367" i="28"/>
  <c r="S368" i="28"/>
  <c r="S369" i="28"/>
  <c r="S370" i="28"/>
  <c r="S371" i="28"/>
  <c r="S372" i="28"/>
  <c r="S373" i="28"/>
  <c r="S374" i="28"/>
  <c r="S375" i="28"/>
  <c r="S376" i="28"/>
  <c r="S377" i="28"/>
  <c r="S378" i="28"/>
  <c r="S379" i="28"/>
  <c r="S380" i="28"/>
  <c r="S381" i="28"/>
  <c r="S382" i="28"/>
  <c r="S383" i="28"/>
  <c r="S384" i="28"/>
  <c r="S385" i="28"/>
  <c r="S386" i="28"/>
  <c r="S387" i="28"/>
  <c r="S388" i="28"/>
  <c r="S389" i="28"/>
  <c r="S390" i="28"/>
  <c r="S391" i="28"/>
  <c r="S392" i="28"/>
  <c r="S393" i="28"/>
  <c r="S394" i="28"/>
  <c r="S395" i="28"/>
  <c r="S396" i="28"/>
  <c r="S397" i="28"/>
  <c r="S398" i="28"/>
  <c r="S399" i="28"/>
  <c r="S400" i="28"/>
  <c r="S401" i="28"/>
  <c r="S402" i="28"/>
  <c r="S403" i="28"/>
  <c r="S404" i="28"/>
  <c r="S405" i="28"/>
  <c r="S406" i="28"/>
  <c r="S407" i="28"/>
  <c r="S408" i="28"/>
  <c r="S409" i="28"/>
  <c r="S410" i="28"/>
  <c r="S411" i="28"/>
  <c r="S412" i="28"/>
  <c r="S413" i="28"/>
  <c r="S414" i="28"/>
  <c r="S415" i="28"/>
  <c r="S416" i="28"/>
  <c r="S417" i="28"/>
  <c r="S418" i="28"/>
  <c r="S419" i="28"/>
  <c r="S420" i="28"/>
  <c r="S421" i="28"/>
  <c r="S422" i="28"/>
  <c r="S423" i="28"/>
  <c r="S424" i="28"/>
  <c r="S425" i="28"/>
  <c r="S426" i="28"/>
  <c r="S427" i="28"/>
  <c r="S428" i="28"/>
  <c r="S429" i="28"/>
  <c r="S430" i="28"/>
  <c r="S431" i="28"/>
  <c r="S432" i="28"/>
  <c r="S433" i="28"/>
  <c r="S434" i="28"/>
  <c r="S435" i="28"/>
  <c r="S436" i="28"/>
  <c r="S437" i="28"/>
  <c r="S438" i="28"/>
  <c r="S439" i="28"/>
  <c r="S440" i="28"/>
  <c r="S441" i="28"/>
  <c r="S442" i="28"/>
  <c r="S443" i="28"/>
  <c r="S444" i="28"/>
  <c r="S445" i="28"/>
  <c r="S446" i="28"/>
  <c r="S447" i="28"/>
  <c r="S448" i="28"/>
  <c r="S449" i="28"/>
  <c r="S450" i="28"/>
  <c r="S451" i="28"/>
  <c r="S452" i="28"/>
  <c r="S453" i="28"/>
  <c r="S454" i="28"/>
  <c r="S455" i="28"/>
  <c r="S456" i="28"/>
  <c r="S457" i="28"/>
  <c r="S458" i="28"/>
  <c r="S459" i="28"/>
  <c r="S460" i="28"/>
  <c r="S461" i="28"/>
  <c r="S462" i="28"/>
  <c r="S463" i="28"/>
  <c r="S464" i="28"/>
  <c r="S465" i="28"/>
  <c r="S466" i="28"/>
  <c r="S467" i="28"/>
  <c r="S468" i="28"/>
  <c r="S469" i="28"/>
  <c r="S470" i="28"/>
  <c r="S471" i="28"/>
  <c r="S472" i="28"/>
  <c r="S473" i="28"/>
  <c r="S474" i="28"/>
  <c r="S475" i="28"/>
  <c r="S476" i="28"/>
  <c r="S477" i="28"/>
  <c r="S478" i="28"/>
  <c r="S479" i="28"/>
  <c r="S480" i="28"/>
  <c r="S481" i="28"/>
  <c r="S482" i="28"/>
  <c r="S483" i="28"/>
  <c r="S484" i="28"/>
  <c r="S485" i="28"/>
  <c r="S486" i="28"/>
  <c r="S487" i="28"/>
  <c r="S488" i="28"/>
  <c r="S489" i="28"/>
  <c r="S490" i="28"/>
  <c r="S491" i="28"/>
  <c r="S492" i="28"/>
  <c r="S493" i="28"/>
  <c r="S494" i="28"/>
  <c r="S495" i="28"/>
  <c r="S496" i="28"/>
  <c r="S497" i="28"/>
  <c r="S498" i="28"/>
  <c r="S499" i="28"/>
  <c r="S500" i="28"/>
  <c r="S501" i="28"/>
  <c r="S502" i="28"/>
  <c r="S503" i="28"/>
  <c r="S504" i="28"/>
  <c r="S505" i="28"/>
  <c r="S506" i="28"/>
  <c r="S507" i="28"/>
  <c r="S508" i="28"/>
  <c r="S509" i="28"/>
  <c r="S510" i="28"/>
  <c r="S511" i="28"/>
  <c r="S512" i="28"/>
  <c r="S513" i="28"/>
  <c r="S514" i="28"/>
  <c r="S515" i="28"/>
  <c r="S516" i="28"/>
  <c r="S517" i="28"/>
  <c r="S518" i="28"/>
  <c r="S519" i="28"/>
  <c r="S520" i="28"/>
  <c r="S521" i="28"/>
  <c r="S522" i="28"/>
  <c r="S523" i="28"/>
  <c r="S524" i="28"/>
  <c r="S525" i="28"/>
  <c r="S526" i="28"/>
  <c r="S527" i="28"/>
  <c r="S528" i="28"/>
  <c r="S529" i="28"/>
  <c r="S530" i="28"/>
  <c r="S531" i="28"/>
  <c r="S532" i="28"/>
  <c r="S533" i="28"/>
  <c r="S534" i="28"/>
  <c r="S535" i="28"/>
  <c r="S536" i="28"/>
  <c r="S537" i="28"/>
  <c r="S538" i="28"/>
  <c r="S539" i="28"/>
  <c r="S540" i="28"/>
  <c r="S541" i="28"/>
  <c r="S542" i="28"/>
  <c r="S543" i="28"/>
  <c r="S544" i="28"/>
  <c r="S545" i="28"/>
  <c r="S546" i="28"/>
  <c r="S547" i="28"/>
  <c r="S548" i="28"/>
  <c r="S549" i="28"/>
  <c r="S550" i="28"/>
  <c r="S551" i="28"/>
  <c r="S552" i="28"/>
  <c r="S553" i="28"/>
  <c r="S554" i="28"/>
  <c r="S555" i="28"/>
  <c r="S556" i="28"/>
  <c r="S557" i="28"/>
  <c r="S558" i="28"/>
  <c r="S559" i="28"/>
  <c r="S560" i="28"/>
  <c r="S561" i="28"/>
  <c r="S562" i="28"/>
  <c r="S563" i="28"/>
  <c r="S564" i="28"/>
  <c r="S565" i="28"/>
  <c r="S566" i="28"/>
  <c r="S567" i="28"/>
  <c r="S568" i="28"/>
  <c r="S569" i="28"/>
  <c r="S570" i="28"/>
  <c r="S571" i="28"/>
  <c r="S572" i="28"/>
  <c r="S573" i="28"/>
  <c r="S574" i="28"/>
  <c r="S575" i="28"/>
  <c r="S576" i="28"/>
  <c r="S577" i="28"/>
  <c r="S578" i="28"/>
  <c r="S579" i="28"/>
  <c r="S580" i="28"/>
  <c r="S581" i="28"/>
  <c r="S582" i="28"/>
  <c r="S583" i="28"/>
  <c r="S584" i="28"/>
  <c r="S585" i="28"/>
  <c r="S586" i="28"/>
  <c r="S587" i="28"/>
  <c r="S588" i="28"/>
  <c r="S589" i="28"/>
  <c r="S590" i="28"/>
  <c r="S591" i="28"/>
  <c r="S592" i="28"/>
  <c r="S593" i="28"/>
  <c r="S594" i="28"/>
  <c r="S595" i="28"/>
  <c r="S596" i="28"/>
  <c r="S597" i="28"/>
  <c r="S598" i="28"/>
  <c r="S599" i="28"/>
  <c r="S600" i="28"/>
  <c r="S601" i="28"/>
  <c r="S602" i="28"/>
  <c r="S603" i="28"/>
  <c r="S604" i="28"/>
  <c r="S605" i="28"/>
  <c r="S606" i="28"/>
  <c r="S607" i="28"/>
  <c r="S608" i="28"/>
  <c r="S609" i="28"/>
  <c r="S610" i="28"/>
  <c r="S611" i="28"/>
  <c r="S612" i="28"/>
  <c r="S613" i="28"/>
  <c r="S614" i="28"/>
  <c r="S615" i="28"/>
  <c r="S616" i="28"/>
  <c r="S617" i="28"/>
  <c r="S618" i="28"/>
  <c r="S619" i="28"/>
  <c r="S620" i="28"/>
  <c r="S621" i="28"/>
  <c r="S622" i="28"/>
  <c r="S623" i="28"/>
  <c r="S624" i="28"/>
  <c r="S625" i="28"/>
  <c r="S626" i="28"/>
  <c r="S627" i="28"/>
  <c r="S628" i="28"/>
  <c r="S629" i="28"/>
  <c r="S630" i="28"/>
  <c r="S631" i="28"/>
  <c r="S632" i="28"/>
  <c r="S633" i="28"/>
  <c r="S634" i="28"/>
  <c r="S635" i="28"/>
  <c r="S636" i="28"/>
  <c r="S637" i="28"/>
  <c r="S638" i="28"/>
  <c r="S639" i="28"/>
  <c r="S640" i="28"/>
  <c r="S641" i="28"/>
  <c r="S642" i="28"/>
  <c r="S643" i="28"/>
  <c r="S644" i="28"/>
  <c r="S645" i="28"/>
  <c r="S646" i="28"/>
  <c r="S647" i="28"/>
  <c r="S648" i="28"/>
  <c r="S649" i="28"/>
  <c r="S650" i="28"/>
  <c r="S651" i="28"/>
  <c r="S652" i="28"/>
  <c r="S653" i="28"/>
  <c r="S654" i="28"/>
  <c r="S655" i="28"/>
  <c r="S656" i="28"/>
  <c r="S657" i="28"/>
  <c r="S658" i="28"/>
  <c r="S659" i="28"/>
  <c r="S660" i="28"/>
  <c r="S661" i="28"/>
  <c r="S662" i="28"/>
  <c r="S663" i="28"/>
  <c r="S664" i="28"/>
  <c r="S665" i="28"/>
  <c r="S666" i="28"/>
  <c r="S667" i="28"/>
  <c r="S668" i="28"/>
  <c r="S669" i="28"/>
  <c r="S670" i="28"/>
  <c r="S671" i="28"/>
  <c r="S672" i="28"/>
  <c r="S673" i="28"/>
  <c r="S674" i="28"/>
  <c r="S675" i="28"/>
  <c r="S676" i="28"/>
  <c r="S677" i="28"/>
  <c r="S678" i="28"/>
  <c r="S679" i="28"/>
  <c r="S680" i="28"/>
  <c r="S681" i="28"/>
  <c r="S682" i="28"/>
  <c r="S683" i="28"/>
  <c r="S684" i="28"/>
  <c r="S685" i="28"/>
  <c r="S686" i="28"/>
  <c r="S687" i="28"/>
  <c r="S688" i="28"/>
  <c r="S689" i="28"/>
  <c r="S690" i="28"/>
  <c r="S691" i="28"/>
  <c r="S692" i="28"/>
  <c r="S693" i="28"/>
  <c r="S694" i="28"/>
  <c r="S695" i="28"/>
  <c r="S696" i="28"/>
  <c r="S697" i="28"/>
  <c r="S698" i="28"/>
  <c r="S699" i="28"/>
  <c r="S700" i="28"/>
  <c r="S701" i="28"/>
  <c r="S702" i="28"/>
  <c r="S703" i="28"/>
  <c r="S704" i="28"/>
  <c r="S705" i="28"/>
  <c r="S706" i="28"/>
  <c r="S707" i="28"/>
  <c r="S708" i="28"/>
  <c r="S709" i="28"/>
  <c r="S710" i="28"/>
  <c r="S711" i="28"/>
  <c r="S712" i="28"/>
  <c r="S713" i="28"/>
  <c r="S714" i="28"/>
  <c r="S715" i="28"/>
  <c r="S716" i="28"/>
  <c r="S717" i="28"/>
  <c r="S718" i="28"/>
  <c r="S719" i="28"/>
  <c r="S720" i="28"/>
  <c r="S721" i="28"/>
  <c r="S722" i="28"/>
  <c r="S723" i="28"/>
  <c r="S724" i="28"/>
  <c r="S725" i="28"/>
  <c r="S726" i="28"/>
  <c r="S727" i="28"/>
  <c r="S728" i="28"/>
  <c r="S729" i="28"/>
  <c r="S730" i="28"/>
  <c r="S731" i="28"/>
  <c r="S732" i="28"/>
  <c r="S733" i="28"/>
  <c r="S734" i="28"/>
  <c r="S735" i="28"/>
  <c r="S736" i="28"/>
  <c r="S737" i="28"/>
  <c r="S738" i="28"/>
  <c r="S739" i="28"/>
  <c r="S2" i="28"/>
  <c r="R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6" i="28"/>
  <c r="R107" i="28"/>
  <c r="R108" i="28"/>
  <c r="R109" i="28"/>
  <c r="R110" i="28"/>
  <c r="R111" i="28"/>
  <c r="R112" i="28"/>
  <c r="R113" i="28"/>
  <c r="R114" i="28"/>
  <c r="R115" i="28"/>
  <c r="R116" i="28"/>
  <c r="R117" i="28"/>
  <c r="R118" i="28"/>
  <c r="R119" i="28"/>
  <c r="R120" i="28"/>
  <c r="R121" i="28"/>
  <c r="R122" i="28"/>
  <c r="R123" i="28"/>
  <c r="R124" i="28"/>
  <c r="R125" i="28"/>
  <c r="R126" i="28"/>
  <c r="R127" i="28"/>
  <c r="R128" i="28"/>
  <c r="R129" i="28"/>
  <c r="R130" i="28"/>
  <c r="R131" i="28"/>
  <c r="R132" i="28"/>
  <c r="R133" i="28"/>
  <c r="R134" i="28"/>
  <c r="R135" i="28"/>
  <c r="R136" i="28"/>
  <c r="R137" i="28"/>
  <c r="R138" i="28"/>
  <c r="R139" i="28"/>
  <c r="R140" i="28"/>
  <c r="R141" i="28"/>
  <c r="R142" i="28"/>
  <c r="R143" i="28"/>
  <c r="R144" i="28"/>
  <c r="R145" i="28"/>
  <c r="R146" i="28"/>
  <c r="R147" i="28"/>
  <c r="R148" i="28"/>
  <c r="R149" i="28"/>
  <c r="R150" i="28"/>
  <c r="R151" i="28"/>
  <c r="R152" i="28"/>
  <c r="R153" i="28"/>
  <c r="R154" i="28"/>
  <c r="R155" i="28"/>
  <c r="R156" i="28"/>
  <c r="R157" i="28"/>
  <c r="R158" i="28"/>
  <c r="R159" i="28"/>
  <c r="R160" i="28"/>
  <c r="R161" i="28"/>
  <c r="R162" i="28"/>
  <c r="R163" i="28"/>
  <c r="R164" i="28"/>
  <c r="R165" i="28"/>
  <c r="R166" i="28"/>
  <c r="R167" i="28"/>
  <c r="R168" i="28"/>
  <c r="R169" i="28"/>
  <c r="R170" i="28"/>
  <c r="R171" i="28"/>
  <c r="R172" i="28"/>
  <c r="R173" i="28"/>
  <c r="R174" i="28"/>
  <c r="R175" i="28"/>
  <c r="R176" i="28"/>
  <c r="R177" i="28"/>
  <c r="R178" i="28"/>
  <c r="R179" i="28"/>
  <c r="R180" i="28"/>
  <c r="R181" i="28"/>
  <c r="R182" i="28"/>
  <c r="R183" i="28"/>
  <c r="R184" i="28"/>
  <c r="R185" i="28"/>
  <c r="R186" i="28"/>
  <c r="R187" i="28"/>
  <c r="R188" i="28"/>
  <c r="R189" i="28"/>
  <c r="R190" i="28"/>
  <c r="R191" i="28"/>
  <c r="R192" i="28"/>
  <c r="R193" i="28"/>
  <c r="R194" i="28"/>
  <c r="R195" i="28"/>
  <c r="R196" i="28"/>
  <c r="R197" i="28"/>
  <c r="R198" i="28"/>
  <c r="R199" i="28"/>
  <c r="R200" i="28"/>
  <c r="R201" i="28"/>
  <c r="R202" i="28"/>
  <c r="R203" i="28"/>
  <c r="R204" i="28"/>
  <c r="R205" i="28"/>
  <c r="R206" i="28"/>
  <c r="R207" i="28"/>
  <c r="R208" i="28"/>
  <c r="R209" i="28"/>
  <c r="R210" i="28"/>
  <c r="R211" i="28"/>
  <c r="R212" i="28"/>
  <c r="R213" i="28"/>
  <c r="R214" i="28"/>
  <c r="R215" i="28"/>
  <c r="R216" i="28"/>
  <c r="R217" i="28"/>
  <c r="R218" i="28"/>
  <c r="R219" i="28"/>
  <c r="R220" i="28"/>
  <c r="R221" i="28"/>
  <c r="R222" i="28"/>
  <c r="R223" i="28"/>
  <c r="R224" i="28"/>
  <c r="R225" i="28"/>
  <c r="R226" i="28"/>
  <c r="R227" i="28"/>
  <c r="R228" i="28"/>
  <c r="R229" i="28"/>
  <c r="R230" i="28"/>
  <c r="R231" i="28"/>
  <c r="R232" i="28"/>
  <c r="R233" i="28"/>
  <c r="R234" i="28"/>
  <c r="R235" i="28"/>
  <c r="R236" i="28"/>
  <c r="R237" i="28"/>
  <c r="R238" i="28"/>
  <c r="R239" i="28"/>
  <c r="R240" i="28"/>
  <c r="R241" i="28"/>
  <c r="R242" i="28"/>
  <c r="R243" i="28"/>
  <c r="R244" i="28"/>
  <c r="R245" i="28"/>
  <c r="R246" i="28"/>
  <c r="R247" i="28"/>
  <c r="R248" i="28"/>
  <c r="R249" i="28"/>
  <c r="R250" i="28"/>
  <c r="R251" i="28"/>
  <c r="R252" i="28"/>
  <c r="R253" i="28"/>
  <c r="R254" i="28"/>
  <c r="R255" i="28"/>
  <c r="R256" i="28"/>
  <c r="R257" i="28"/>
  <c r="R258" i="28"/>
  <c r="R259" i="28"/>
  <c r="R260" i="28"/>
  <c r="R261" i="28"/>
  <c r="R262" i="28"/>
  <c r="R263" i="28"/>
  <c r="R264" i="28"/>
  <c r="R265" i="28"/>
  <c r="R266" i="28"/>
  <c r="R267" i="28"/>
  <c r="R268" i="28"/>
  <c r="R269" i="28"/>
  <c r="R270" i="28"/>
  <c r="R271" i="28"/>
  <c r="R272" i="28"/>
  <c r="R273" i="28"/>
  <c r="R274" i="28"/>
  <c r="R275" i="28"/>
  <c r="R276" i="28"/>
  <c r="R277" i="28"/>
  <c r="R278" i="28"/>
  <c r="R279" i="28"/>
  <c r="R280" i="28"/>
  <c r="R281" i="28"/>
  <c r="R282" i="28"/>
  <c r="R283" i="28"/>
  <c r="R284" i="28"/>
  <c r="R285" i="28"/>
  <c r="R286" i="28"/>
  <c r="R287" i="28"/>
  <c r="R288" i="28"/>
  <c r="R289" i="28"/>
  <c r="R290" i="28"/>
  <c r="R291" i="28"/>
  <c r="R292" i="28"/>
  <c r="R293" i="28"/>
  <c r="R294" i="28"/>
  <c r="R295" i="28"/>
  <c r="R296" i="28"/>
  <c r="R297" i="28"/>
  <c r="R298" i="28"/>
  <c r="R299" i="28"/>
  <c r="R300" i="28"/>
  <c r="R301" i="28"/>
  <c r="R302" i="28"/>
  <c r="R303" i="28"/>
  <c r="R304" i="28"/>
  <c r="R305" i="28"/>
  <c r="R306" i="28"/>
  <c r="R307" i="28"/>
  <c r="R308" i="28"/>
  <c r="R309" i="28"/>
  <c r="R310" i="28"/>
  <c r="R311" i="28"/>
  <c r="R312" i="28"/>
  <c r="R313" i="28"/>
  <c r="R314" i="28"/>
  <c r="R315" i="28"/>
  <c r="R316" i="28"/>
  <c r="R317" i="28"/>
  <c r="R318" i="28"/>
  <c r="R319" i="28"/>
  <c r="R320" i="28"/>
  <c r="R321" i="28"/>
  <c r="R322" i="28"/>
  <c r="R323" i="28"/>
  <c r="R324" i="28"/>
  <c r="R325" i="28"/>
  <c r="R326" i="28"/>
  <c r="R327" i="28"/>
  <c r="R328" i="28"/>
  <c r="R329" i="28"/>
  <c r="R330" i="28"/>
  <c r="R331" i="28"/>
  <c r="R332" i="28"/>
  <c r="R333" i="28"/>
  <c r="R334" i="28"/>
  <c r="R335" i="28"/>
  <c r="R336" i="28"/>
  <c r="R337" i="28"/>
  <c r="R338" i="28"/>
  <c r="R339" i="28"/>
  <c r="R340" i="28"/>
  <c r="R341" i="28"/>
  <c r="R342" i="28"/>
  <c r="R343" i="28"/>
  <c r="R344" i="28"/>
  <c r="R345" i="28"/>
  <c r="R346" i="28"/>
  <c r="R347" i="28"/>
  <c r="R348" i="28"/>
  <c r="R349" i="28"/>
  <c r="R350" i="28"/>
  <c r="R351" i="28"/>
  <c r="R352" i="28"/>
  <c r="R353" i="28"/>
  <c r="R354" i="28"/>
  <c r="R355" i="28"/>
  <c r="R356" i="28"/>
  <c r="R357" i="28"/>
  <c r="R358" i="28"/>
  <c r="R359" i="28"/>
  <c r="R360" i="28"/>
  <c r="R361" i="28"/>
  <c r="R362" i="28"/>
  <c r="R363" i="28"/>
  <c r="R364" i="28"/>
  <c r="R365" i="28"/>
  <c r="R366" i="28"/>
  <c r="R367" i="28"/>
  <c r="R368" i="28"/>
  <c r="R369" i="28"/>
  <c r="R370" i="28"/>
  <c r="R371" i="28"/>
  <c r="R372" i="28"/>
  <c r="R373" i="28"/>
  <c r="R374" i="28"/>
  <c r="R375" i="28"/>
  <c r="R376" i="28"/>
  <c r="R377" i="28"/>
  <c r="R378" i="28"/>
  <c r="R379" i="28"/>
  <c r="R380" i="28"/>
  <c r="R381" i="28"/>
  <c r="R382" i="28"/>
  <c r="R383" i="28"/>
  <c r="R384" i="28"/>
  <c r="R385" i="28"/>
  <c r="R386" i="28"/>
  <c r="R387" i="28"/>
  <c r="R388" i="28"/>
  <c r="R389" i="28"/>
  <c r="R390" i="28"/>
  <c r="R391" i="28"/>
  <c r="R392" i="28"/>
  <c r="R393" i="28"/>
  <c r="R394" i="28"/>
  <c r="R395" i="28"/>
  <c r="R396" i="28"/>
  <c r="R397" i="28"/>
  <c r="R398" i="28"/>
  <c r="R399" i="28"/>
  <c r="R400" i="28"/>
  <c r="R401" i="28"/>
  <c r="R402" i="28"/>
  <c r="R403" i="28"/>
  <c r="R404" i="28"/>
  <c r="R405" i="28"/>
  <c r="R406" i="28"/>
  <c r="R407" i="28"/>
  <c r="R408" i="28"/>
  <c r="R409" i="28"/>
  <c r="R410" i="28"/>
  <c r="R411" i="28"/>
  <c r="R412" i="28"/>
  <c r="R413" i="28"/>
  <c r="R414" i="28"/>
  <c r="R415" i="28"/>
  <c r="R416" i="28"/>
  <c r="R417" i="28"/>
  <c r="R418" i="28"/>
  <c r="R419" i="28"/>
  <c r="R420" i="28"/>
  <c r="R421" i="28"/>
  <c r="R422" i="28"/>
  <c r="R423" i="28"/>
  <c r="R424" i="28"/>
  <c r="R425" i="28"/>
  <c r="R426" i="28"/>
  <c r="R427" i="28"/>
  <c r="R428" i="28"/>
  <c r="R429" i="28"/>
  <c r="R430" i="28"/>
  <c r="R431" i="28"/>
  <c r="R432" i="28"/>
  <c r="R433" i="28"/>
  <c r="R434" i="28"/>
  <c r="R435" i="28"/>
  <c r="R436" i="28"/>
  <c r="R437" i="28"/>
  <c r="R438" i="28"/>
  <c r="R439" i="28"/>
  <c r="R440" i="28"/>
  <c r="R441" i="28"/>
  <c r="R442" i="28"/>
  <c r="R443" i="28"/>
  <c r="R444" i="28"/>
  <c r="R445" i="28"/>
  <c r="R446" i="28"/>
  <c r="R447" i="28"/>
  <c r="R448" i="28"/>
  <c r="R449" i="28"/>
  <c r="R450" i="28"/>
  <c r="R451" i="28"/>
  <c r="R452" i="28"/>
  <c r="R453" i="28"/>
  <c r="R454" i="28"/>
  <c r="R455" i="28"/>
  <c r="R456" i="28"/>
  <c r="R457" i="28"/>
  <c r="R458" i="28"/>
  <c r="R459" i="28"/>
  <c r="R460" i="28"/>
  <c r="R461" i="28"/>
  <c r="R462" i="28"/>
  <c r="R463" i="28"/>
  <c r="R464" i="28"/>
  <c r="R465" i="28"/>
  <c r="R466" i="28"/>
  <c r="R467" i="28"/>
  <c r="R468" i="28"/>
  <c r="R469" i="28"/>
  <c r="R470" i="28"/>
  <c r="R471" i="28"/>
  <c r="R472" i="28"/>
  <c r="R473" i="28"/>
  <c r="R474" i="28"/>
  <c r="R475" i="28"/>
  <c r="R476" i="28"/>
  <c r="R477" i="28"/>
  <c r="R478" i="28"/>
  <c r="R479" i="28"/>
  <c r="R480" i="28"/>
  <c r="R481" i="28"/>
  <c r="R482" i="28"/>
  <c r="R483" i="28"/>
  <c r="R484" i="28"/>
  <c r="R485" i="28"/>
  <c r="R486" i="28"/>
  <c r="R487" i="28"/>
  <c r="R488" i="28"/>
  <c r="R489" i="28"/>
  <c r="R490" i="28"/>
  <c r="R491" i="28"/>
  <c r="R492" i="28"/>
  <c r="R493" i="28"/>
  <c r="R494" i="28"/>
  <c r="R495" i="28"/>
  <c r="R496" i="28"/>
  <c r="R497" i="28"/>
  <c r="R498" i="28"/>
  <c r="R499" i="28"/>
  <c r="R500" i="28"/>
  <c r="R501" i="28"/>
  <c r="R502" i="28"/>
  <c r="R503" i="28"/>
  <c r="R504" i="28"/>
  <c r="R505" i="28"/>
  <c r="R506" i="28"/>
  <c r="R507" i="28"/>
  <c r="R508" i="28"/>
  <c r="R509" i="28"/>
  <c r="R510" i="28"/>
  <c r="R511" i="28"/>
  <c r="R512" i="28"/>
  <c r="R513" i="28"/>
  <c r="R514" i="28"/>
  <c r="R515" i="28"/>
  <c r="R516" i="28"/>
  <c r="R517" i="28"/>
  <c r="R518" i="28"/>
  <c r="R519" i="28"/>
  <c r="R520" i="28"/>
  <c r="R521" i="28"/>
  <c r="R522" i="28"/>
  <c r="R523" i="28"/>
  <c r="R524" i="28"/>
  <c r="R525" i="28"/>
  <c r="R526" i="28"/>
  <c r="R527" i="28"/>
  <c r="R528" i="28"/>
  <c r="R529" i="28"/>
  <c r="R530" i="28"/>
  <c r="R531" i="28"/>
  <c r="R532" i="28"/>
  <c r="R533" i="28"/>
  <c r="R534" i="28"/>
  <c r="R535" i="28"/>
  <c r="R536" i="28"/>
  <c r="R537" i="28"/>
  <c r="R538" i="28"/>
  <c r="R539" i="28"/>
  <c r="R540" i="28"/>
  <c r="R541" i="28"/>
  <c r="R542" i="28"/>
  <c r="R543" i="28"/>
  <c r="R544" i="28"/>
  <c r="R545" i="28"/>
  <c r="R546" i="28"/>
  <c r="R547" i="28"/>
  <c r="R548" i="28"/>
  <c r="R549" i="28"/>
  <c r="R550" i="28"/>
  <c r="R551" i="28"/>
  <c r="R552" i="28"/>
  <c r="R553" i="28"/>
  <c r="R554" i="28"/>
  <c r="R555" i="28"/>
  <c r="R556" i="28"/>
  <c r="R557" i="28"/>
  <c r="R558" i="28"/>
  <c r="R559" i="28"/>
  <c r="R560" i="28"/>
  <c r="R561" i="28"/>
  <c r="R562" i="28"/>
  <c r="R563" i="28"/>
  <c r="R564" i="28"/>
  <c r="R565" i="28"/>
  <c r="R566" i="28"/>
  <c r="R567" i="28"/>
  <c r="R568" i="28"/>
  <c r="R569" i="28"/>
  <c r="R570" i="28"/>
  <c r="R571" i="28"/>
  <c r="R572" i="28"/>
  <c r="R573" i="28"/>
  <c r="R574" i="28"/>
  <c r="R575" i="28"/>
  <c r="R576" i="28"/>
  <c r="R577" i="28"/>
  <c r="R578" i="28"/>
  <c r="R579" i="28"/>
  <c r="R580" i="28"/>
  <c r="R581" i="28"/>
  <c r="R582" i="28"/>
  <c r="R583" i="28"/>
  <c r="R584" i="28"/>
  <c r="R585" i="28"/>
  <c r="R586" i="28"/>
  <c r="R587" i="28"/>
  <c r="R588" i="28"/>
  <c r="R589" i="28"/>
  <c r="R590" i="28"/>
  <c r="R591" i="28"/>
  <c r="R592" i="28"/>
  <c r="R593" i="28"/>
  <c r="R594" i="28"/>
  <c r="R595" i="28"/>
  <c r="R596" i="28"/>
  <c r="R597" i="28"/>
  <c r="R598" i="28"/>
  <c r="R599" i="28"/>
  <c r="R600" i="28"/>
  <c r="R601" i="28"/>
  <c r="R602" i="28"/>
  <c r="R603" i="28"/>
  <c r="R604" i="28"/>
  <c r="R605" i="28"/>
  <c r="R606" i="28"/>
  <c r="R607" i="28"/>
  <c r="R608" i="28"/>
  <c r="R609" i="28"/>
  <c r="R610" i="28"/>
  <c r="R611" i="28"/>
  <c r="R612" i="28"/>
  <c r="R613" i="28"/>
  <c r="R614" i="28"/>
  <c r="R615" i="28"/>
  <c r="R616" i="28"/>
  <c r="R617" i="28"/>
  <c r="R618" i="28"/>
  <c r="R619" i="28"/>
  <c r="R620" i="28"/>
  <c r="R621" i="28"/>
  <c r="R622" i="28"/>
  <c r="R623" i="28"/>
  <c r="R624" i="28"/>
  <c r="R625" i="28"/>
  <c r="R626" i="28"/>
  <c r="R627" i="28"/>
  <c r="R628" i="28"/>
  <c r="R629" i="28"/>
  <c r="R630" i="28"/>
  <c r="R631" i="28"/>
  <c r="R632" i="28"/>
  <c r="R633" i="28"/>
  <c r="R634" i="28"/>
  <c r="R635" i="28"/>
  <c r="R636" i="28"/>
  <c r="R637" i="28"/>
  <c r="R638" i="28"/>
  <c r="R639" i="28"/>
  <c r="R640" i="28"/>
  <c r="R641" i="28"/>
  <c r="R642" i="28"/>
  <c r="R643" i="28"/>
  <c r="R644" i="28"/>
  <c r="R645" i="28"/>
  <c r="R646" i="28"/>
  <c r="R647" i="28"/>
  <c r="R648" i="28"/>
  <c r="R649" i="28"/>
  <c r="R650" i="28"/>
  <c r="R651" i="28"/>
  <c r="R652" i="28"/>
  <c r="R653" i="28"/>
  <c r="R654" i="28"/>
  <c r="R655" i="28"/>
  <c r="R656" i="28"/>
  <c r="R657" i="28"/>
  <c r="R658" i="28"/>
  <c r="R659" i="28"/>
  <c r="R660" i="28"/>
  <c r="R661" i="28"/>
  <c r="R662" i="28"/>
  <c r="R663" i="28"/>
  <c r="R664" i="28"/>
  <c r="R665" i="28"/>
  <c r="R666" i="28"/>
  <c r="R667" i="28"/>
  <c r="R668" i="28"/>
  <c r="R669" i="28"/>
  <c r="R670" i="28"/>
  <c r="R671" i="28"/>
  <c r="R672" i="28"/>
  <c r="R673" i="28"/>
  <c r="R674" i="28"/>
  <c r="R675" i="28"/>
  <c r="R676" i="28"/>
  <c r="R677" i="28"/>
  <c r="R678" i="28"/>
  <c r="R679" i="28"/>
  <c r="R680" i="28"/>
  <c r="R681" i="28"/>
  <c r="R682" i="28"/>
  <c r="R683" i="28"/>
  <c r="R684" i="28"/>
  <c r="R685" i="28"/>
  <c r="R686" i="28"/>
  <c r="R687" i="28"/>
  <c r="R688" i="28"/>
  <c r="R689" i="28"/>
  <c r="R690" i="28"/>
  <c r="R691" i="28"/>
  <c r="R692" i="28"/>
  <c r="R693" i="28"/>
  <c r="R694" i="28"/>
  <c r="R695" i="28"/>
  <c r="R696" i="28"/>
  <c r="R697" i="28"/>
  <c r="R698" i="28"/>
  <c r="R699" i="28"/>
  <c r="R700" i="28"/>
  <c r="R701" i="28"/>
  <c r="R702" i="28"/>
  <c r="R703" i="28"/>
  <c r="R704" i="28"/>
  <c r="R705" i="28"/>
  <c r="R706" i="28"/>
  <c r="R707" i="28"/>
  <c r="R708" i="28"/>
  <c r="R709" i="28"/>
  <c r="R710" i="28"/>
  <c r="R711" i="28"/>
  <c r="R712" i="28"/>
  <c r="R713" i="28"/>
  <c r="R714" i="28"/>
  <c r="R715" i="28"/>
  <c r="R716" i="28"/>
  <c r="R717" i="28"/>
  <c r="R718" i="28"/>
  <c r="R719" i="28"/>
  <c r="R720" i="28"/>
  <c r="R721" i="28"/>
  <c r="R722" i="28"/>
  <c r="R723" i="28"/>
  <c r="R724" i="28"/>
  <c r="R725" i="28"/>
  <c r="R726" i="28"/>
  <c r="R727" i="28"/>
  <c r="R728" i="28"/>
  <c r="R729" i="28"/>
  <c r="R730" i="28"/>
  <c r="R731" i="28"/>
  <c r="R732" i="28"/>
  <c r="R733" i="28"/>
  <c r="R734" i="28"/>
  <c r="R735" i="28"/>
  <c r="R736" i="28"/>
  <c r="R737" i="28"/>
  <c r="R738" i="28"/>
  <c r="R739" i="28"/>
  <c r="R2" i="28"/>
  <c r="P81" i="47"/>
  <c r="O81" i="47"/>
  <c r="N81" i="47"/>
  <c r="M81" i="47"/>
  <c r="L81" i="47"/>
  <c r="K81" i="47"/>
  <c r="J81" i="47"/>
  <c r="I81" i="47"/>
  <c r="H81" i="47"/>
  <c r="G81" i="47"/>
  <c r="F81" i="47"/>
  <c r="E81" i="47"/>
  <c r="D81" i="47"/>
  <c r="C81" i="47"/>
  <c r="B81" i="47"/>
  <c r="Q80" i="47"/>
  <c r="P80" i="47"/>
  <c r="O80" i="47"/>
  <c r="N80" i="47"/>
  <c r="M80" i="47"/>
  <c r="L80" i="47"/>
  <c r="K80" i="47"/>
  <c r="J80" i="47"/>
  <c r="I80" i="47"/>
  <c r="H80" i="47"/>
  <c r="G80" i="47"/>
  <c r="F80" i="47"/>
  <c r="E80" i="47"/>
  <c r="D80" i="47"/>
  <c r="C80" i="47"/>
  <c r="B80" i="47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630" i="28"/>
  <c r="O631" i="28"/>
  <c r="O632" i="28"/>
  <c r="O633" i="28"/>
  <c r="O634" i="28"/>
  <c r="O635" i="28"/>
  <c r="O636" i="28"/>
  <c r="O637" i="28"/>
  <c r="O638" i="28"/>
  <c r="O639" i="28"/>
  <c r="O640" i="28"/>
  <c r="O641" i="28"/>
  <c r="O642" i="28"/>
  <c r="O643" i="28"/>
  <c r="O644" i="28"/>
  <c r="O645" i="28"/>
  <c r="O646" i="28"/>
  <c r="O647" i="28"/>
  <c r="O648" i="28"/>
  <c r="O649" i="28"/>
  <c r="O650" i="28"/>
  <c r="O651" i="28"/>
  <c r="O652" i="28"/>
  <c r="O653" i="28"/>
  <c r="O654" i="28"/>
  <c r="O655" i="28"/>
  <c r="O656" i="28"/>
  <c r="O657" i="28"/>
  <c r="O658" i="28"/>
  <c r="O659" i="28"/>
  <c r="O660" i="28"/>
  <c r="O661" i="28"/>
  <c r="O662" i="28"/>
  <c r="O663" i="28"/>
  <c r="O664" i="28"/>
  <c r="O665" i="28"/>
  <c r="O666" i="28"/>
  <c r="O667" i="28"/>
  <c r="O668" i="28"/>
  <c r="O669" i="28"/>
  <c r="O670" i="28"/>
  <c r="O671" i="28"/>
  <c r="O672" i="28"/>
  <c r="O673" i="28"/>
  <c r="O674" i="28"/>
  <c r="O675" i="28"/>
  <c r="O676" i="28"/>
  <c r="O677" i="28"/>
  <c r="O678" i="28"/>
  <c r="O679" i="28"/>
  <c r="O680" i="28"/>
  <c r="O681" i="28"/>
  <c r="O682" i="28"/>
  <c r="O683" i="28"/>
  <c r="O684" i="28"/>
  <c r="O685" i="28"/>
  <c r="O686" i="28"/>
  <c r="O687" i="28"/>
  <c r="O688" i="28"/>
  <c r="O689" i="28"/>
  <c r="O690" i="28"/>
  <c r="O691" i="28"/>
  <c r="O692" i="28"/>
  <c r="O693" i="28"/>
  <c r="O694" i="28"/>
  <c r="O695" i="28"/>
  <c r="O696" i="28"/>
  <c r="O697" i="28"/>
  <c r="O698" i="28"/>
  <c r="O699" i="28"/>
  <c r="O700" i="28"/>
  <c r="O701" i="28"/>
  <c r="O702" i="28"/>
  <c r="O703" i="28"/>
  <c r="O704" i="28"/>
  <c r="O705" i="28"/>
  <c r="O706" i="28"/>
  <c r="O707" i="28"/>
  <c r="O708" i="28"/>
  <c r="O709" i="28"/>
  <c r="O710" i="28"/>
  <c r="O711" i="28"/>
  <c r="O712" i="28"/>
  <c r="O713" i="28"/>
  <c r="O714" i="28"/>
  <c r="O715" i="28"/>
  <c r="O716" i="28"/>
  <c r="O717" i="28"/>
  <c r="O718" i="28"/>
  <c r="O719" i="28"/>
  <c r="O720" i="28"/>
  <c r="O721" i="28"/>
  <c r="O722" i="28"/>
  <c r="O723" i="28"/>
  <c r="O724" i="28"/>
  <c r="O725" i="28"/>
  <c r="O726" i="28"/>
  <c r="O727" i="28"/>
  <c r="O728" i="28"/>
  <c r="O729" i="28"/>
  <c r="O730" i="28"/>
  <c r="O731" i="28"/>
  <c r="O732" i="28"/>
  <c r="O733" i="28"/>
  <c r="O734" i="28"/>
  <c r="O735" i="28"/>
  <c r="O736" i="28"/>
  <c r="O737" i="28"/>
  <c r="O738" i="28"/>
  <c r="O739" i="28"/>
  <c r="O2" i="28"/>
  <c r="O3" i="28"/>
  <c r="O4" i="28"/>
  <c r="O5" i="28"/>
  <c r="G90" i="23"/>
  <c r="Q84" i="23"/>
  <c r="I2" i="46"/>
  <c r="H730" i="46"/>
  <c r="G730" i="46"/>
  <c r="F730" i="46"/>
  <c r="H729" i="46"/>
  <c r="G729" i="46"/>
  <c r="F729" i="46"/>
  <c r="I728" i="46"/>
  <c r="I730" i="46" s="1"/>
  <c r="I727" i="46"/>
  <c r="I726" i="46"/>
  <c r="I725" i="46"/>
  <c r="I724" i="46"/>
  <c r="I723" i="46"/>
  <c r="I722" i="46"/>
  <c r="I721" i="46"/>
  <c r="I720" i="46"/>
  <c r="I719" i="46"/>
  <c r="I718" i="46"/>
  <c r="I717" i="46"/>
  <c r="I716" i="46"/>
  <c r="I715" i="46"/>
  <c r="I714" i="46"/>
  <c r="I713" i="46"/>
  <c r="I712" i="46"/>
  <c r="I711" i="46"/>
  <c r="I710" i="46"/>
  <c r="I709" i="46"/>
  <c r="I708" i="46"/>
  <c r="I707" i="46"/>
  <c r="I706" i="46"/>
  <c r="I705" i="46"/>
  <c r="I704" i="46"/>
  <c r="I703" i="46"/>
  <c r="I702" i="46"/>
  <c r="I701" i="46"/>
  <c r="I700" i="46"/>
  <c r="I699" i="46"/>
  <c r="I698" i="46"/>
  <c r="I697" i="46"/>
  <c r="I696" i="46"/>
  <c r="I695" i="46"/>
  <c r="I694" i="46"/>
  <c r="I693" i="46"/>
  <c r="I692" i="46"/>
  <c r="I691" i="46"/>
  <c r="I690" i="46"/>
  <c r="I689" i="46"/>
  <c r="I688" i="46"/>
  <c r="I687" i="46"/>
  <c r="I686" i="46"/>
  <c r="I685" i="46"/>
  <c r="I684" i="46"/>
  <c r="I683" i="46"/>
  <c r="I682" i="46"/>
  <c r="I681" i="46"/>
  <c r="I680" i="46"/>
  <c r="I679" i="46"/>
  <c r="I678" i="46"/>
  <c r="I677" i="46"/>
  <c r="I676" i="46"/>
  <c r="I675" i="46"/>
  <c r="I674" i="46"/>
  <c r="I673" i="46"/>
  <c r="I672" i="46"/>
  <c r="I671" i="46"/>
  <c r="I670" i="46"/>
  <c r="I669" i="46"/>
  <c r="I668" i="46"/>
  <c r="I667" i="46"/>
  <c r="I666" i="46"/>
  <c r="I665" i="46"/>
  <c r="I664" i="46"/>
  <c r="I663" i="46"/>
  <c r="I662" i="46"/>
  <c r="I661" i="46"/>
  <c r="I660" i="46"/>
  <c r="I659" i="46"/>
  <c r="I658" i="46"/>
  <c r="I657" i="46"/>
  <c r="I656" i="46"/>
  <c r="I655" i="46"/>
  <c r="I654" i="46"/>
  <c r="I653" i="46"/>
  <c r="I652" i="46"/>
  <c r="I651" i="46"/>
  <c r="I650" i="46"/>
  <c r="I649" i="46"/>
  <c r="I648" i="46"/>
  <c r="I647" i="46"/>
  <c r="I646" i="46"/>
  <c r="I645" i="46"/>
  <c r="I644" i="46"/>
  <c r="I643" i="46"/>
  <c r="I642" i="46"/>
  <c r="I641" i="46"/>
  <c r="I640" i="46"/>
  <c r="I639" i="46"/>
  <c r="I638" i="46"/>
  <c r="I637" i="46"/>
  <c r="I636" i="46"/>
  <c r="I635" i="46"/>
  <c r="I634" i="46"/>
  <c r="I633" i="46"/>
  <c r="I632" i="46"/>
  <c r="I631" i="46"/>
  <c r="I630" i="46"/>
  <c r="I629" i="46"/>
  <c r="I628" i="46"/>
  <c r="I627" i="46"/>
  <c r="I626" i="46"/>
  <c r="I625" i="46"/>
  <c r="I624" i="46"/>
  <c r="I623" i="46"/>
  <c r="I622" i="46"/>
  <c r="I621" i="46"/>
  <c r="I620" i="46"/>
  <c r="I619" i="46"/>
  <c r="I618" i="46"/>
  <c r="I617" i="46"/>
  <c r="I616" i="46"/>
  <c r="I615" i="46"/>
  <c r="I614" i="46"/>
  <c r="I613" i="46"/>
  <c r="I612" i="46"/>
  <c r="I611" i="46"/>
  <c r="I610" i="46"/>
  <c r="I609" i="46"/>
  <c r="I608" i="46"/>
  <c r="I607" i="46"/>
  <c r="I606" i="46"/>
  <c r="I605" i="46"/>
  <c r="I604" i="46"/>
  <c r="I603" i="46"/>
  <c r="I602" i="46"/>
  <c r="I601" i="46"/>
  <c r="I600" i="46"/>
  <c r="I599" i="46"/>
  <c r="I598" i="46"/>
  <c r="I597" i="46"/>
  <c r="I596" i="46"/>
  <c r="I595" i="46"/>
  <c r="I594" i="46"/>
  <c r="I593" i="46"/>
  <c r="I592" i="46"/>
  <c r="I591" i="46"/>
  <c r="I590" i="46"/>
  <c r="I589" i="46"/>
  <c r="I588" i="46"/>
  <c r="I587" i="46"/>
  <c r="I586" i="46"/>
  <c r="I585" i="46"/>
  <c r="I584" i="46"/>
  <c r="I583" i="46"/>
  <c r="I582" i="46"/>
  <c r="I581" i="46"/>
  <c r="I580" i="46"/>
  <c r="I579" i="46"/>
  <c r="I578" i="46"/>
  <c r="I577" i="46"/>
  <c r="I576" i="46"/>
  <c r="I575" i="46"/>
  <c r="I574" i="46"/>
  <c r="I573" i="46"/>
  <c r="I572" i="46"/>
  <c r="I571" i="46"/>
  <c r="I570" i="46"/>
  <c r="I569" i="46"/>
  <c r="I568" i="46"/>
  <c r="I567" i="46"/>
  <c r="I566" i="46"/>
  <c r="I565" i="46"/>
  <c r="I564" i="46"/>
  <c r="I563" i="46"/>
  <c r="I562" i="46"/>
  <c r="I561" i="46"/>
  <c r="I560" i="46"/>
  <c r="I559" i="46"/>
  <c r="I558" i="46"/>
  <c r="I557" i="46"/>
  <c r="I556" i="46"/>
  <c r="I555" i="46"/>
  <c r="I554" i="46"/>
  <c r="I553" i="46"/>
  <c r="I552" i="46"/>
  <c r="I551" i="46"/>
  <c r="I550" i="46"/>
  <c r="I549" i="46"/>
  <c r="I548" i="46"/>
  <c r="I547" i="46"/>
  <c r="I546" i="46"/>
  <c r="I545" i="46"/>
  <c r="I544" i="46"/>
  <c r="I543" i="46"/>
  <c r="I542" i="46"/>
  <c r="I541" i="46"/>
  <c r="I540" i="46"/>
  <c r="I539" i="46"/>
  <c r="I538" i="46"/>
  <c r="I537" i="46"/>
  <c r="I536" i="46"/>
  <c r="I535" i="46"/>
  <c r="I534" i="46"/>
  <c r="I533" i="46"/>
  <c r="I532" i="46"/>
  <c r="I531" i="46"/>
  <c r="I530" i="46"/>
  <c r="I529" i="46"/>
  <c r="I528" i="46"/>
  <c r="I527" i="46"/>
  <c r="I526" i="46"/>
  <c r="I525" i="46"/>
  <c r="I524" i="46"/>
  <c r="I523" i="46"/>
  <c r="I522" i="46"/>
  <c r="I521" i="46"/>
  <c r="I520" i="46"/>
  <c r="I519" i="46"/>
  <c r="I518" i="46"/>
  <c r="I517" i="46"/>
  <c r="I516" i="46"/>
  <c r="I515" i="46"/>
  <c r="I514" i="46"/>
  <c r="I513" i="46"/>
  <c r="I512" i="46"/>
  <c r="I511" i="46"/>
  <c r="I510" i="46"/>
  <c r="I509" i="46"/>
  <c r="I508" i="46"/>
  <c r="I507" i="46"/>
  <c r="I506" i="46"/>
  <c r="I505" i="46"/>
  <c r="I504" i="46"/>
  <c r="I503" i="46"/>
  <c r="I502" i="46"/>
  <c r="I501" i="46"/>
  <c r="I500" i="46"/>
  <c r="I499" i="46"/>
  <c r="I498" i="46"/>
  <c r="I497" i="46"/>
  <c r="I496" i="46"/>
  <c r="I495" i="46"/>
  <c r="I494" i="46"/>
  <c r="I493" i="46"/>
  <c r="I492" i="46"/>
  <c r="I491" i="46"/>
  <c r="I490" i="46"/>
  <c r="I489" i="46"/>
  <c r="I488" i="46"/>
  <c r="I487" i="46"/>
  <c r="I486" i="46"/>
  <c r="I485" i="46"/>
  <c r="I484" i="46"/>
  <c r="I483" i="46"/>
  <c r="I482" i="46"/>
  <c r="I481" i="46"/>
  <c r="I480" i="46"/>
  <c r="I479" i="46"/>
  <c r="I478" i="46"/>
  <c r="I477" i="46"/>
  <c r="I476" i="46"/>
  <c r="I475" i="46"/>
  <c r="I474" i="46"/>
  <c r="I473" i="46"/>
  <c r="I472" i="46"/>
  <c r="I471" i="46"/>
  <c r="I470" i="46"/>
  <c r="I469" i="46"/>
  <c r="I468" i="46"/>
  <c r="I467" i="46"/>
  <c r="I466" i="46"/>
  <c r="I465" i="46"/>
  <c r="I464" i="46"/>
  <c r="I463" i="46"/>
  <c r="I462" i="46"/>
  <c r="I461" i="46"/>
  <c r="I460" i="46"/>
  <c r="I459" i="46"/>
  <c r="I458" i="46"/>
  <c r="I457" i="46"/>
  <c r="I456" i="46"/>
  <c r="I455" i="46"/>
  <c r="I454" i="46"/>
  <c r="I453" i="46"/>
  <c r="I452" i="46"/>
  <c r="I451" i="46"/>
  <c r="I450" i="46"/>
  <c r="I449" i="46"/>
  <c r="I448" i="46"/>
  <c r="I447" i="46"/>
  <c r="I446" i="46"/>
  <c r="I445" i="46"/>
  <c r="I444" i="46"/>
  <c r="I443" i="46"/>
  <c r="I442" i="46"/>
  <c r="I441" i="46"/>
  <c r="I440" i="46"/>
  <c r="I439" i="46"/>
  <c r="I438" i="46"/>
  <c r="I437" i="46"/>
  <c r="I436" i="46"/>
  <c r="I435" i="46"/>
  <c r="I434" i="46"/>
  <c r="I433" i="46"/>
  <c r="I432" i="46"/>
  <c r="I431" i="46"/>
  <c r="I430" i="46"/>
  <c r="I429" i="46"/>
  <c r="I428" i="46"/>
  <c r="I427" i="46"/>
  <c r="I426" i="46"/>
  <c r="I425" i="46"/>
  <c r="I424" i="46"/>
  <c r="I423" i="46"/>
  <c r="I422" i="46"/>
  <c r="I421" i="46"/>
  <c r="I420" i="46"/>
  <c r="I419" i="46"/>
  <c r="I418" i="46"/>
  <c r="I417" i="46"/>
  <c r="I416" i="46"/>
  <c r="I415" i="46"/>
  <c r="I414" i="46"/>
  <c r="I413" i="46"/>
  <c r="I412" i="46"/>
  <c r="I411" i="46"/>
  <c r="I410" i="46"/>
  <c r="I409" i="46"/>
  <c r="I408" i="46"/>
  <c r="I407" i="46"/>
  <c r="I406" i="46"/>
  <c r="I405" i="46"/>
  <c r="I404" i="46"/>
  <c r="I403" i="46"/>
  <c r="I402" i="46"/>
  <c r="I401" i="46"/>
  <c r="I400" i="46"/>
  <c r="I399" i="46"/>
  <c r="I398" i="46"/>
  <c r="I397" i="46"/>
  <c r="I396" i="46"/>
  <c r="I395" i="46"/>
  <c r="I394" i="46"/>
  <c r="I393" i="46"/>
  <c r="I392" i="46"/>
  <c r="I391" i="46"/>
  <c r="I390" i="46"/>
  <c r="I389" i="46"/>
  <c r="I388" i="46"/>
  <c r="I387" i="46"/>
  <c r="I386" i="46"/>
  <c r="I385" i="46"/>
  <c r="I384" i="46"/>
  <c r="I383" i="46"/>
  <c r="I382" i="46"/>
  <c r="I381" i="46"/>
  <c r="I380" i="46"/>
  <c r="I379" i="46"/>
  <c r="I378" i="46"/>
  <c r="I377" i="46"/>
  <c r="I376" i="46"/>
  <c r="I375" i="46"/>
  <c r="I374" i="46"/>
  <c r="I373" i="46"/>
  <c r="I372" i="46"/>
  <c r="I371" i="46"/>
  <c r="I370" i="46"/>
  <c r="I369" i="46"/>
  <c r="I368" i="46"/>
  <c r="I367" i="46"/>
  <c r="I366" i="46"/>
  <c r="I365" i="46"/>
  <c r="I364" i="46"/>
  <c r="I363" i="46"/>
  <c r="I362" i="46"/>
  <c r="I361" i="46"/>
  <c r="I360" i="46"/>
  <c r="I359" i="46"/>
  <c r="I358" i="46"/>
  <c r="I357" i="46"/>
  <c r="I356" i="46"/>
  <c r="I355" i="46"/>
  <c r="I354" i="46"/>
  <c r="I353" i="46"/>
  <c r="I352" i="46"/>
  <c r="I351" i="46"/>
  <c r="I350" i="46"/>
  <c r="I349" i="46"/>
  <c r="I348" i="46"/>
  <c r="I347" i="46"/>
  <c r="I346" i="46"/>
  <c r="I345" i="46"/>
  <c r="I344" i="46"/>
  <c r="I343" i="46"/>
  <c r="I342" i="46"/>
  <c r="I341" i="46"/>
  <c r="I340" i="46"/>
  <c r="I339" i="46"/>
  <c r="I338" i="46"/>
  <c r="I337" i="46"/>
  <c r="I336" i="46"/>
  <c r="I335" i="46"/>
  <c r="I334" i="46"/>
  <c r="I333" i="46"/>
  <c r="I332" i="46"/>
  <c r="I331" i="46"/>
  <c r="I330" i="46"/>
  <c r="I329" i="46"/>
  <c r="I328" i="46"/>
  <c r="I327" i="46"/>
  <c r="I326" i="46"/>
  <c r="I325" i="46"/>
  <c r="I324" i="46"/>
  <c r="I323" i="46"/>
  <c r="I322" i="46"/>
  <c r="I321" i="46"/>
  <c r="I320" i="46"/>
  <c r="I319" i="46"/>
  <c r="I318" i="46"/>
  <c r="I317" i="46"/>
  <c r="I316" i="46"/>
  <c r="I315" i="46"/>
  <c r="I314" i="46"/>
  <c r="I313" i="46"/>
  <c r="I312" i="46"/>
  <c r="I311" i="46"/>
  <c r="I310" i="46"/>
  <c r="I309" i="46"/>
  <c r="I308" i="46"/>
  <c r="I307" i="46"/>
  <c r="I306" i="46"/>
  <c r="I305" i="46"/>
  <c r="I304" i="46"/>
  <c r="I303" i="46"/>
  <c r="I302" i="46"/>
  <c r="I301" i="46"/>
  <c r="I300" i="46"/>
  <c r="I299" i="46"/>
  <c r="I298" i="46"/>
  <c r="I297" i="46"/>
  <c r="I296" i="46"/>
  <c r="I295" i="46"/>
  <c r="I294" i="46"/>
  <c r="I293" i="46"/>
  <c r="I292" i="46"/>
  <c r="I291" i="46"/>
  <c r="I290" i="46"/>
  <c r="I289" i="46"/>
  <c r="I288" i="46"/>
  <c r="I287" i="46"/>
  <c r="I286" i="46"/>
  <c r="I285" i="46"/>
  <c r="I284" i="46"/>
  <c r="I283" i="46"/>
  <c r="I282" i="46"/>
  <c r="I281" i="46"/>
  <c r="I280" i="46"/>
  <c r="I279" i="46"/>
  <c r="I278" i="46"/>
  <c r="I277" i="46"/>
  <c r="I276" i="46"/>
  <c r="I275" i="46"/>
  <c r="I274" i="46"/>
  <c r="I273" i="46"/>
  <c r="I272" i="46"/>
  <c r="I271" i="46"/>
  <c r="I270" i="46"/>
  <c r="I269" i="46"/>
  <c r="I268" i="46"/>
  <c r="I267" i="46"/>
  <c r="I266" i="46"/>
  <c r="I265" i="46"/>
  <c r="I264" i="46"/>
  <c r="I263" i="46"/>
  <c r="I262" i="46"/>
  <c r="I261" i="46"/>
  <c r="I260" i="46"/>
  <c r="I259" i="46"/>
  <c r="I258" i="46"/>
  <c r="I257" i="46"/>
  <c r="I256" i="46"/>
  <c r="I255" i="46"/>
  <c r="I254" i="46"/>
  <c r="I253" i="46"/>
  <c r="I252" i="46"/>
  <c r="I251" i="46"/>
  <c r="I250" i="46"/>
  <c r="I249" i="46"/>
  <c r="I248" i="46"/>
  <c r="I247" i="46"/>
  <c r="I246" i="46"/>
  <c r="I245" i="46"/>
  <c r="I244" i="46"/>
  <c r="I243" i="46"/>
  <c r="I242" i="46"/>
  <c r="I241" i="46"/>
  <c r="I240" i="46"/>
  <c r="I239" i="46"/>
  <c r="I238" i="46"/>
  <c r="I237" i="46"/>
  <c r="I236" i="46"/>
  <c r="I235" i="46"/>
  <c r="I234" i="46"/>
  <c r="I233" i="46"/>
  <c r="I232" i="46"/>
  <c r="I231" i="46"/>
  <c r="I230" i="46"/>
  <c r="I229" i="46"/>
  <c r="I228" i="46"/>
  <c r="I227" i="46"/>
  <c r="I226" i="46"/>
  <c r="I225" i="46"/>
  <c r="I224" i="46"/>
  <c r="I223" i="46"/>
  <c r="I222" i="46"/>
  <c r="I221" i="46"/>
  <c r="I220" i="46"/>
  <c r="I219" i="46"/>
  <c r="I218" i="46"/>
  <c r="I217" i="46"/>
  <c r="I216" i="46"/>
  <c r="I215" i="46"/>
  <c r="I214" i="46"/>
  <c r="I213" i="46"/>
  <c r="I212" i="46"/>
  <c r="I211" i="46"/>
  <c r="I210" i="46"/>
  <c r="I209" i="46"/>
  <c r="I208" i="46"/>
  <c r="I207" i="46"/>
  <c r="I206" i="46"/>
  <c r="I205" i="46"/>
  <c r="I204" i="46"/>
  <c r="I203" i="46"/>
  <c r="I202" i="46"/>
  <c r="I201" i="46"/>
  <c r="I200" i="46"/>
  <c r="I199" i="46"/>
  <c r="I198" i="46"/>
  <c r="I197" i="46"/>
  <c r="I196" i="46"/>
  <c r="I195" i="46"/>
  <c r="I194" i="46"/>
  <c r="I193" i="46"/>
  <c r="I192" i="46"/>
  <c r="I191" i="46"/>
  <c r="I190" i="46"/>
  <c r="I189" i="46"/>
  <c r="I188" i="46"/>
  <c r="I187" i="46"/>
  <c r="I186" i="46"/>
  <c r="I185" i="46"/>
  <c r="I184" i="46"/>
  <c r="I183" i="46"/>
  <c r="I182" i="46"/>
  <c r="I181" i="46"/>
  <c r="I180" i="46"/>
  <c r="I179" i="46"/>
  <c r="I178" i="46"/>
  <c r="I177" i="46"/>
  <c r="I176" i="46"/>
  <c r="I175" i="46"/>
  <c r="I174" i="46"/>
  <c r="I173" i="46"/>
  <c r="I172" i="46"/>
  <c r="I171" i="46"/>
  <c r="I170" i="46"/>
  <c r="I169" i="46"/>
  <c r="I168" i="46"/>
  <c r="I167" i="46"/>
  <c r="I166" i="46"/>
  <c r="I165" i="46"/>
  <c r="I164" i="46"/>
  <c r="I163" i="46"/>
  <c r="I162" i="46"/>
  <c r="I161" i="46"/>
  <c r="I160" i="46"/>
  <c r="I159" i="46"/>
  <c r="I158" i="46"/>
  <c r="I157" i="46"/>
  <c r="I156" i="46"/>
  <c r="I155" i="46"/>
  <c r="I154" i="46"/>
  <c r="I153" i="46"/>
  <c r="I152" i="46"/>
  <c r="I151" i="46"/>
  <c r="I150" i="46"/>
  <c r="I149" i="46"/>
  <c r="I148" i="46"/>
  <c r="I147" i="46"/>
  <c r="I146" i="46"/>
  <c r="I145" i="46"/>
  <c r="I144" i="46"/>
  <c r="I143" i="46"/>
  <c r="I142" i="46"/>
  <c r="I141" i="46"/>
  <c r="I140" i="46"/>
  <c r="I139" i="46"/>
  <c r="I138" i="46"/>
  <c r="I137" i="46"/>
  <c r="I136" i="46"/>
  <c r="I135" i="46"/>
  <c r="I134" i="46"/>
  <c r="I133" i="46"/>
  <c r="I132" i="46"/>
  <c r="I131" i="46"/>
  <c r="I130" i="46"/>
  <c r="I129" i="46"/>
  <c r="I128" i="46"/>
  <c r="I127" i="46"/>
  <c r="I126" i="46"/>
  <c r="I125" i="46"/>
  <c r="I124" i="46"/>
  <c r="I123" i="46"/>
  <c r="I122" i="46"/>
  <c r="I121" i="46"/>
  <c r="I120" i="46"/>
  <c r="I119" i="46"/>
  <c r="I118" i="46"/>
  <c r="I117" i="46"/>
  <c r="I116" i="46"/>
  <c r="I115" i="46"/>
  <c r="I114" i="46"/>
  <c r="I113" i="46"/>
  <c r="I112" i="46"/>
  <c r="I111" i="46"/>
  <c r="I110" i="46"/>
  <c r="I109" i="46"/>
  <c r="I108" i="46"/>
  <c r="I107" i="46"/>
  <c r="I106" i="46"/>
  <c r="I105" i="46"/>
  <c r="I104" i="46"/>
  <c r="I103" i="46"/>
  <c r="I102" i="46"/>
  <c r="I101" i="46"/>
  <c r="I100" i="46"/>
  <c r="I99" i="46"/>
  <c r="I98" i="46"/>
  <c r="I97" i="46"/>
  <c r="I96" i="46"/>
  <c r="I95" i="46"/>
  <c r="I94" i="46"/>
  <c r="I93" i="46"/>
  <c r="I92" i="46"/>
  <c r="I91" i="46"/>
  <c r="I90" i="46"/>
  <c r="I89" i="46"/>
  <c r="I88" i="46"/>
  <c r="I87" i="46"/>
  <c r="I86" i="46"/>
  <c r="I85" i="46"/>
  <c r="I84" i="46"/>
  <c r="I83" i="46"/>
  <c r="I82" i="46"/>
  <c r="I81" i="46"/>
  <c r="I80" i="46"/>
  <c r="I79" i="46"/>
  <c r="I78" i="46"/>
  <c r="I77" i="46"/>
  <c r="I76" i="46"/>
  <c r="I75" i="46"/>
  <c r="I74" i="46"/>
  <c r="I73" i="46"/>
  <c r="I72" i="46"/>
  <c r="I71" i="46"/>
  <c r="I70" i="46"/>
  <c r="I69" i="46"/>
  <c r="I68" i="46"/>
  <c r="I67" i="46"/>
  <c r="I66" i="46"/>
  <c r="I65" i="46"/>
  <c r="I64" i="46"/>
  <c r="I63" i="46"/>
  <c r="I62" i="46"/>
  <c r="I61" i="46"/>
  <c r="I60" i="46"/>
  <c r="I59" i="46"/>
  <c r="I58" i="46"/>
  <c r="I57" i="46"/>
  <c r="I56" i="46"/>
  <c r="I55" i="46"/>
  <c r="I54" i="46"/>
  <c r="I53" i="46"/>
  <c r="I52" i="46"/>
  <c r="I51" i="46"/>
  <c r="I50" i="46"/>
  <c r="I49" i="46"/>
  <c r="I48" i="46"/>
  <c r="I47" i="46"/>
  <c r="I46" i="46"/>
  <c r="I45" i="46"/>
  <c r="I44" i="46"/>
  <c r="I43" i="46"/>
  <c r="I42" i="46"/>
  <c r="I41" i="46"/>
  <c r="I40" i="46"/>
  <c r="I39" i="46"/>
  <c r="I38" i="46"/>
  <c r="I37" i="46"/>
  <c r="I36" i="46"/>
  <c r="I35" i="46"/>
  <c r="I34" i="46"/>
  <c r="I33" i="46"/>
  <c r="I32" i="46"/>
  <c r="I31" i="46"/>
  <c r="I30" i="46"/>
  <c r="I29" i="46"/>
  <c r="I28" i="46"/>
  <c r="I27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I12" i="46"/>
  <c r="I11" i="46"/>
  <c r="I10" i="46"/>
  <c r="I9" i="46"/>
  <c r="I8" i="46"/>
  <c r="I7" i="46"/>
  <c r="I6" i="46"/>
  <c r="I5" i="46"/>
  <c r="I4" i="46"/>
  <c r="I3" i="46"/>
  <c r="Q89" i="23"/>
  <c r="Q88" i="23"/>
  <c r="Q87" i="23"/>
  <c r="Q85" i="23"/>
  <c r="M108" i="61" l="1"/>
  <c r="M114" i="61"/>
  <c r="P34" i="56"/>
  <c r="N7" i="59" a="1"/>
  <c r="N7" i="59" s="1"/>
  <c r="AD7" i="59" a="1"/>
  <c r="AD7" i="59" s="1"/>
  <c r="AD9" i="59" s="1"/>
  <c r="AD9" i="60" s="1"/>
  <c r="G8" i="59" a="1"/>
  <c r="G8" i="59" s="1"/>
  <c r="G7" i="60" s="1"/>
  <c r="W8" i="59" a="1"/>
  <c r="W8" i="59" s="1"/>
  <c r="AM8" i="59" a="1"/>
  <c r="AM8" i="59" s="1"/>
  <c r="Q15" i="59" a="1"/>
  <c r="Q15" i="59" s="1"/>
  <c r="Q46" i="60" s="1"/>
  <c r="AG15" i="59" a="1"/>
  <c r="AG15" i="59" s="1"/>
  <c r="AG46" i="60" s="1"/>
  <c r="O7" i="59" a="1"/>
  <c r="O7" i="59" s="1"/>
  <c r="O9" i="59" s="1"/>
  <c r="O9" i="60" s="1"/>
  <c r="AE7" i="59" a="1"/>
  <c r="AE7" i="59" s="1"/>
  <c r="AE9" i="59" s="1"/>
  <c r="AE9" i="60" s="1"/>
  <c r="H8" i="59" a="1"/>
  <c r="H8" i="59" s="1"/>
  <c r="H7" i="60" s="1"/>
  <c r="X8" i="59" a="1"/>
  <c r="X8" i="59" s="1"/>
  <c r="B15" i="59" a="1"/>
  <c r="B15" i="59" s="1"/>
  <c r="B46" i="60" s="1"/>
  <c r="R15" i="59" a="1"/>
  <c r="R15" i="59" s="1"/>
  <c r="R46" i="60" s="1"/>
  <c r="AH15" i="59" a="1"/>
  <c r="AH15" i="59" s="1"/>
  <c r="AH46" i="60" s="1"/>
  <c r="P7" i="59" a="1"/>
  <c r="P7" i="59" s="1"/>
  <c r="P9" i="59" s="1"/>
  <c r="P9" i="60" s="1"/>
  <c r="AF7" i="59" a="1"/>
  <c r="AF7" i="59" s="1"/>
  <c r="AF9" i="59" s="1"/>
  <c r="AF9" i="60" s="1"/>
  <c r="I8" i="59" a="1"/>
  <c r="I8" i="59" s="1"/>
  <c r="I7" i="60" s="1"/>
  <c r="Y8" i="59" a="1"/>
  <c r="Y8" i="59" s="1"/>
  <c r="C15" i="59" a="1"/>
  <c r="C15" i="59" s="1"/>
  <c r="S15" i="59" a="1"/>
  <c r="S15" i="59" s="1"/>
  <c r="S46" i="60" s="1"/>
  <c r="AI15" i="59" a="1"/>
  <c r="AI15" i="59" s="1"/>
  <c r="AI46" i="60" s="1"/>
  <c r="Q7" i="59" a="1"/>
  <c r="Q7" i="59" s="1"/>
  <c r="Q9" i="59" s="1"/>
  <c r="Q9" i="60" s="1"/>
  <c r="AG7" i="59" a="1"/>
  <c r="AG7" i="59" s="1"/>
  <c r="AG9" i="59" s="1"/>
  <c r="AG9" i="60" s="1"/>
  <c r="J8" i="59" a="1"/>
  <c r="J8" i="59" s="1"/>
  <c r="J7" i="60" s="1"/>
  <c r="Z8" i="59" a="1"/>
  <c r="Z8" i="59" s="1"/>
  <c r="D15" i="59" a="1"/>
  <c r="D15" i="59" s="1"/>
  <c r="T15" i="59" a="1"/>
  <c r="T15" i="59" s="1"/>
  <c r="T46" i="60" s="1"/>
  <c r="AJ15" i="59" a="1"/>
  <c r="AJ15" i="59" s="1"/>
  <c r="AJ46" i="60" s="1"/>
  <c r="B7" i="59" a="1"/>
  <c r="B7" i="59" s="1"/>
  <c r="B6" i="60" s="1"/>
  <c r="R7" i="59" a="1"/>
  <c r="R7" i="59" s="1"/>
  <c r="R9" i="59" s="1"/>
  <c r="R9" i="60" s="1"/>
  <c r="AH7" i="59" a="1"/>
  <c r="AH7" i="59" s="1"/>
  <c r="AH9" i="59" s="1"/>
  <c r="AH9" i="60" s="1"/>
  <c r="K8" i="59" a="1"/>
  <c r="K8" i="59" s="1"/>
  <c r="K7" i="60" s="1"/>
  <c r="AA8" i="59" a="1"/>
  <c r="AA8" i="59" s="1"/>
  <c r="E15" i="59" a="1"/>
  <c r="E15" i="59" s="1"/>
  <c r="U15" i="59" a="1"/>
  <c r="U15" i="59" s="1"/>
  <c r="U46" i="60" s="1"/>
  <c r="AK15" i="59" a="1"/>
  <c r="AK15" i="59" s="1"/>
  <c r="C7" i="59" a="1"/>
  <c r="C7" i="59" s="1"/>
  <c r="S7" i="59" a="1"/>
  <c r="S7" i="59" s="1"/>
  <c r="S9" i="59" s="1"/>
  <c r="S9" i="60" s="1"/>
  <c r="AI7" i="59" a="1"/>
  <c r="AI7" i="59" s="1"/>
  <c r="AI9" i="59" s="1"/>
  <c r="AI9" i="60" s="1"/>
  <c r="L8" i="59" a="1"/>
  <c r="L8" i="59" s="1"/>
  <c r="L7" i="60" s="1"/>
  <c r="AB8" i="59" a="1"/>
  <c r="AB8" i="59" s="1"/>
  <c r="F15" i="59" a="1"/>
  <c r="F15" i="59" s="1"/>
  <c r="V15" i="59" a="1"/>
  <c r="V15" i="59" s="1"/>
  <c r="V46" i="60" s="1"/>
  <c r="AL15" i="59" a="1"/>
  <c r="AL15" i="59" s="1"/>
  <c r="P39" i="56"/>
  <c r="P23" i="56"/>
  <c r="P7" i="56"/>
  <c r="D7" i="59" a="1"/>
  <c r="D7" i="59" s="1"/>
  <c r="T7" i="59" a="1"/>
  <c r="T7" i="59" s="1"/>
  <c r="T9" i="59" s="1"/>
  <c r="T9" i="60" s="1"/>
  <c r="AJ7" i="59" a="1"/>
  <c r="AJ7" i="59" s="1"/>
  <c r="AJ9" i="59" s="1"/>
  <c r="AJ9" i="60" s="1"/>
  <c r="M8" i="59" a="1"/>
  <c r="M8" i="59" s="1"/>
  <c r="M7" i="60" s="1"/>
  <c r="AC8" i="59" a="1"/>
  <c r="AC8" i="59" s="1"/>
  <c r="G15" i="59" a="1"/>
  <c r="G15" i="59" s="1"/>
  <c r="W15" i="59" a="1"/>
  <c r="W15" i="59" s="1"/>
  <c r="W46" i="60" s="1"/>
  <c r="AM15" i="59" a="1"/>
  <c r="AM15" i="59" s="1"/>
  <c r="E7" i="59" a="1"/>
  <c r="E7" i="59" s="1"/>
  <c r="U7" i="59" a="1"/>
  <c r="U7" i="59" s="1"/>
  <c r="U9" i="59" s="1"/>
  <c r="U9" i="60" s="1"/>
  <c r="AK7" i="59" a="1"/>
  <c r="AK7" i="59" s="1"/>
  <c r="AK9" i="59" s="1"/>
  <c r="N8" i="59" a="1"/>
  <c r="N8" i="59" s="1"/>
  <c r="N7" i="60" s="1"/>
  <c r="AD8" i="59" a="1"/>
  <c r="AD8" i="59" s="1"/>
  <c r="H15" i="59" a="1"/>
  <c r="H15" i="59" s="1"/>
  <c r="X15" i="59" a="1"/>
  <c r="X15" i="59" s="1"/>
  <c r="AN15" i="59" a="1"/>
  <c r="AN15" i="59" s="1"/>
  <c r="AN18" i="59" s="1"/>
  <c r="F7" i="59" a="1"/>
  <c r="F7" i="59" s="1"/>
  <c r="V7" i="59" a="1"/>
  <c r="V7" i="59" s="1"/>
  <c r="V9" i="59" s="1"/>
  <c r="V9" i="60" s="1"/>
  <c r="AL7" i="59" a="1"/>
  <c r="AL7" i="59" s="1"/>
  <c r="AL9" i="59" s="1"/>
  <c r="O8" i="59" a="1"/>
  <c r="O8" i="59" s="1"/>
  <c r="AE8" i="59" a="1"/>
  <c r="AE8" i="59" s="1"/>
  <c r="I15" i="59" a="1"/>
  <c r="I15" i="59" s="1"/>
  <c r="Y15" i="59" a="1"/>
  <c r="Y15" i="59" s="1"/>
  <c r="Y46" i="60" s="1"/>
  <c r="G7" i="59" a="1"/>
  <c r="G7" i="59" s="1"/>
  <c r="W7" i="59" a="1"/>
  <c r="W7" i="59" s="1"/>
  <c r="W9" i="59" s="1"/>
  <c r="W9" i="60" s="1"/>
  <c r="AM7" i="59" a="1"/>
  <c r="AM7" i="59" s="1"/>
  <c r="AM9" i="59" s="1"/>
  <c r="P8" i="59" a="1"/>
  <c r="P8" i="59" s="1"/>
  <c r="AF8" i="59" a="1"/>
  <c r="AF8" i="59" s="1"/>
  <c r="J15" i="59" a="1"/>
  <c r="J15" i="59" s="1"/>
  <c r="M18" i="59" s="1"/>
  <c r="Z15" i="59" a="1"/>
  <c r="Z15" i="59" s="1"/>
  <c r="Z46" i="60" s="1"/>
  <c r="H7" i="59" a="1"/>
  <c r="H7" i="59" s="1"/>
  <c r="X7" i="59" a="1"/>
  <c r="X7" i="59" s="1"/>
  <c r="X9" i="59" s="1"/>
  <c r="AN7" i="59" a="1"/>
  <c r="AN7" i="59" s="1"/>
  <c r="Q8" i="59" a="1"/>
  <c r="Q8" i="59" s="1"/>
  <c r="AG8" i="59" a="1"/>
  <c r="AG8" i="59" s="1"/>
  <c r="K15" i="59" a="1"/>
  <c r="K15" i="59" s="1"/>
  <c r="AA15" i="59" a="1"/>
  <c r="AA15" i="59" s="1"/>
  <c r="AA46" i="60" s="1"/>
  <c r="P18" i="56"/>
  <c r="I7" i="59" a="1"/>
  <c r="I7" i="59" s="1"/>
  <c r="Y7" i="59" a="1"/>
  <c r="Y7" i="59" s="1"/>
  <c r="Y9" i="59" s="1"/>
  <c r="Y9" i="60" s="1"/>
  <c r="B8" i="59" a="1"/>
  <c r="B8" i="59" s="1"/>
  <c r="B7" i="60" s="1"/>
  <c r="R8" i="59" a="1"/>
  <c r="R8" i="59" s="1"/>
  <c r="AH8" i="59" a="1"/>
  <c r="AH8" i="59" s="1"/>
  <c r="L15" i="59" a="1"/>
  <c r="L15" i="59" s="1"/>
  <c r="L46" i="60" s="1"/>
  <c r="AB15" i="59" a="1"/>
  <c r="AB15" i="59" s="1"/>
  <c r="AB46" i="60" s="1"/>
  <c r="J7" i="59" a="1"/>
  <c r="J7" i="59" s="1"/>
  <c r="Z7" i="59" a="1"/>
  <c r="Z7" i="59" s="1"/>
  <c r="Z9" i="59" s="1"/>
  <c r="Z9" i="60" s="1"/>
  <c r="C8" i="59" a="1"/>
  <c r="C8" i="59" s="1"/>
  <c r="C7" i="60" s="1"/>
  <c r="S8" i="59" a="1"/>
  <c r="S8" i="59" s="1"/>
  <c r="AI8" i="59" a="1"/>
  <c r="AI8" i="59" s="1"/>
  <c r="M15" i="59" a="1"/>
  <c r="M15" i="59" s="1"/>
  <c r="AC15" i="59" a="1"/>
  <c r="AC15" i="59" s="1"/>
  <c r="AC46" i="60" s="1"/>
  <c r="P17" i="56"/>
  <c r="P32" i="56"/>
  <c r="P16" i="56"/>
  <c r="K7" i="59" a="1"/>
  <c r="K7" i="59" s="1"/>
  <c r="AA7" i="59" a="1"/>
  <c r="AA7" i="59" s="1"/>
  <c r="AA9" i="59" s="1"/>
  <c r="AA9" i="60" s="1"/>
  <c r="D8" i="59" a="1"/>
  <c r="D8" i="59" s="1"/>
  <c r="D7" i="60" s="1"/>
  <c r="T8" i="59" a="1"/>
  <c r="T8" i="59" s="1"/>
  <c r="AJ8" i="59" a="1"/>
  <c r="AJ8" i="59" s="1"/>
  <c r="N15" i="59" a="1"/>
  <c r="N15" i="59" s="1"/>
  <c r="AD15" i="59" a="1"/>
  <c r="AD15" i="59" s="1"/>
  <c r="AD46" i="60" s="1"/>
  <c r="P31" i="56"/>
  <c r="P15" i="56"/>
  <c r="L7" i="59" a="1"/>
  <c r="L7" i="59" s="1"/>
  <c r="AB7" i="59" a="1"/>
  <c r="AB7" i="59" s="1"/>
  <c r="AB9" i="59" s="1"/>
  <c r="AB9" i="60" s="1"/>
  <c r="E8" i="59" a="1"/>
  <c r="E8" i="59" s="1"/>
  <c r="E7" i="60" s="1"/>
  <c r="U8" i="59" a="1"/>
  <c r="U8" i="59" s="1"/>
  <c r="AK8" i="59" a="1"/>
  <c r="AK8" i="59" s="1"/>
  <c r="O15" i="59" a="1"/>
  <c r="O15" i="59" s="1"/>
  <c r="O46" i="60" s="1"/>
  <c r="AE15" i="59" a="1"/>
  <c r="AE15" i="59" s="1"/>
  <c r="AE46" i="60" s="1"/>
  <c r="P33" i="56"/>
  <c r="M7" i="59" a="1"/>
  <c r="M7" i="59" s="1"/>
  <c r="F8" i="59" a="1"/>
  <c r="F8" i="59" s="1"/>
  <c r="F7" i="60" s="1"/>
  <c r="V8" i="59" a="1"/>
  <c r="V8" i="59" s="1"/>
  <c r="P15" i="59" a="1"/>
  <c r="P15" i="59" s="1"/>
  <c r="P46" i="60" s="1"/>
  <c r="CR17" i="50" a="1"/>
  <c r="CR17" i="50" s="1"/>
  <c r="CP17" i="50" a="1"/>
  <c r="CP17" i="50" s="1"/>
  <c r="CM17" i="50" a="1"/>
  <c r="CM17" i="50" s="1"/>
  <c r="CO17" i="50" a="1"/>
  <c r="CO17" i="50" s="1"/>
  <c r="BU12" i="50" a="1"/>
  <c r="BU12" i="50" s="1"/>
  <c r="BV12" i="50" a="1"/>
  <c r="BV12" i="50" s="1"/>
  <c r="BW12" i="50" a="1"/>
  <c r="BW12" i="50" s="1"/>
  <c r="BX12" i="50" a="1"/>
  <c r="BX12" i="50" s="1"/>
  <c r="BY12" i="50" a="1"/>
  <c r="BY12" i="50" s="1"/>
  <c r="BZ12" i="50" a="1"/>
  <c r="BZ12" i="50" s="1"/>
  <c r="CN17" i="50" a="1"/>
  <c r="CN17" i="50" s="1"/>
  <c r="CQ17" i="50" a="1"/>
  <c r="CQ17" i="50" s="1"/>
  <c r="CR12" i="50" a="1"/>
  <c r="CR12" i="50" s="1"/>
  <c r="CS12" i="50" a="1"/>
  <c r="CS12" i="50" s="1"/>
  <c r="CT12" i="50" a="1"/>
  <c r="CT12" i="50" s="1"/>
  <c r="CJ17" i="50" a="1"/>
  <c r="CJ17" i="50" s="1"/>
  <c r="CK17" i="50" a="1"/>
  <c r="CK17" i="50" s="1"/>
  <c r="CL17" i="50" a="1"/>
  <c r="CL17" i="50" s="1"/>
  <c r="CL12" i="50" a="1"/>
  <c r="CL12" i="50" s="1"/>
  <c r="CM12" i="50" a="1"/>
  <c r="CM12" i="50" s="1"/>
  <c r="CN12" i="50" a="1"/>
  <c r="CN12" i="50" s="1"/>
  <c r="CO12" i="50" a="1"/>
  <c r="CO12" i="50" s="1"/>
  <c r="CP12" i="50" a="1"/>
  <c r="CP12" i="50" s="1"/>
  <c r="CQ12" i="50" a="1"/>
  <c r="CQ12" i="50" s="1"/>
  <c r="CH7" i="50" a="1"/>
  <c r="CH7" i="50" s="1"/>
  <c r="CI7" i="50" a="1"/>
  <c r="CI7" i="50" s="1"/>
  <c r="CJ12" i="50" a="1"/>
  <c r="CJ12" i="50" s="1"/>
  <c r="CK12" i="50" a="1"/>
  <c r="CK12" i="50" s="1"/>
  <c r="CF7" i="50" a="1"/>
  <c r="CF7" i="50" s="1"/>
  <c r="CS7" i="50" a="1"/>
  <c r="CS7" i="50" s="1"/>
  <c r="CS21" i="50" s="1"/>
  <c r="CT7" i="50" a="1"/>
  <c r="CT7" i="50" s="1"/>
  <c r="CT8" i="50" s="1"/>
  <c r="CB7" i="50" a="1"/>
  <c r="CB7" i="50" s="1"/>
  <c r="CB28" i="50" s="1"/>
  <c r="BL7" i="50" a="1"/>
  <c r="BL7" i="50" s="1"/>
  <c r="BL28" i="50" s="1"/>
  <c r="CJ7" i="50" a="1"/>
  <c r="CJ7" i="50" s="1"/>
  <c r="CJ11" i="50" s="1"/>
  <c r="CK7" i="50" a="1"/>
  <c r="CK7" i="50" s="1"/>
  <c r="CK28" i="50" s="1"/>
  <c r="CL7" i="50" a="1"/>
  <c r="CL7" i="50" s="1"/>
  <c r="CM7" i="50" a="1"/>
  <c r="CM7" i="50" s="1"/>
  <c r="CN7" i="50" a="1"/>
  <c r="CN7" i="50" s="1"/>
  <c r="CO7" i="50" a="1"/>
  <c r="CO7" i="50" s="1"/>
  <c r="CO11" i="50" s="1"/>
  <c r="CO13" i="50" s="1"/>
  <c r="CP7" i="50" a="1"/>
  <c r="CP7" i="50" s="1"/>
  <c r="CQ7" i="50" a="1"/>
  <c r="CQ7" i="50" s="1"/>
  <c r="CR7" i="50" a="1"/>
  <c r="CR7" i="50" s="1"/>
  <c r="CR16" i="50" s="1"/>
  <c r="BQ7" i="50" a="1"/>
  <c r="BQ7" i="50" s="1"/>
  <c r="BR7" i="50" a="1"/>
  <c r="BR7" i="50" s="1"/>
  <c r="BR28" i="50" s="1"/>
  <c r="BS7" i="50" a="1"/>
  <c r="BS7" i="50" s="1"/>
  <c r="BS21" i="50" s="1"/>
  <c r="CU11" i="50"/>
  <c r="CU8" i="50"/>
  <c r="CL28" i="50"/>
  <c r="CL21" i="50"/>
  <c r="CL16" i="50"/>
  <c r="CL18" i="50" s="1"/>
  <c r="CL11" i="50"/>
  <c r="CL13" i="50" s="1"/>
  <c r="CL8" i="50"/>
  <c r="P30" i="49"/>
  <c r="P33" i="49" s="1"/>
  <c r="P21" i="49"/>
  <c r="P16" i="49"/>
  <c r="P11" i="49"/>
  <c r="P8" i="49"/>
  <c r="K17" i="49" a="1"/>
  <c r="K17" i="49" s="1"/>
  <c r="K7" i="51" s="1"/>
  <c r="K22" i="49" a="1"/>
  <c r="K22" i="49" s="1"/>
  <c r="K7" i="49" a="1"/>
  <c r="K7" i="49" s="1"/>
  <c r="L40" i="49"/>
  <c r="K12" i="49" a="1"/>
  <c r="K12" i="49" s="1"/>
  <c r="BL8" i="50"/>
  <c r="BJ21" i="50"/>
  <c r="BJ25" i="50" s="1"/>
  <c r="BJ16" i="50"/>
  <c r="BJ18" i="50" s="1"/>
  <c r="BJ11" i="50"/>
  <c r="BJ13" i="50" s="1"/>
  <c r="BJ8" i="50"/>
  <c r="BK11" i="50"/>
  <c r="BK13" i="50" s="1"/>
  <c r="BK8" i="50"/>
  <c r="BK21" i="50"/>
  <c r="BK16" i="50"/>
  <c r="BK18" i="50" s="1"/>
  <c r="BK28" i="50"/>
  <c r="BL21" i="50"/>
  <c r="BL16" i="50"/>
  <c r="BL18" i="50" s="1"/>
  <c r="BL11" i="50"/>
  <c r="BL13" i="50" s="1"/>
  <c r="BO21" i="50"/>
  <c r="BO16" i="50"/>
  <c r="BO18" i="50" s="1"/>
  <c r="BO11" i="50"/>
  <c r="BO13" i="50" s="1"/>
  <c r="BO8" i="50"/>
  <c r="BO28" i="50"/>
  <c r="B4" i="52"/>
  <c r="BV8" i="50"/>
  <c r="BV21" i="50"/>
  <c r="BV16" i="50"/>
  <c r="BV18" i="50" s="1"/>
  <c r="BV11" i="50"/>
  <c r="BV28" i="50"/>
  <c r="CA21" i="50"/>
  <c r="CA16" i="50"/>
  <c r="CA18" i="50" s="1"/>
  <c r="CA8" i="50"/>
  <c r="CA11" i="50"/>
  <c r="CA13" i="50" s="1"/>
  <c r="CA28" i="50"/>
  <c r="CH11" i="50"/>
  <c r="CH13" i="50" s="1"/>
  <c r="CH8" i="50"/>
  <c r="CH21" i="50"/>
  <c r="CH16" i="50"/>
  <c r="CH18" i="50" s="1"/>
  <c r="CH28" i="50"/>
  <c r="CJ28" i="50"/>
  <c r="CJ21" i="50"/>
  <c r="CJ16" i="50"/>
  <c r="CK16" i="50"/>
  <c r="CK11" i="50"/>
  <c r="CK8" i="50"/>
  <c r="CM16" i="50"/>
  <c r="CM28" i="50"/>
  <c r="CM21" i="50"/>
  <c r="CM11" i="50"/>
  <c r="CM8" i="50"/>
  <c r="CN28" i="50"/>
  <c r="CN16" i="50"/>
  <c r="CN21" i="50"/>
  <c r="CN11" i="50"/>
  <c r="CN8" i="50"/>
  <c r="CO21" i="50"/>
  <c r="CO8" i="50"/>
  <c r="CO28" i="50"/>
  <c r="CP21" i="50"/>
  <c r="CP11" i="50"/>
  <c r="CP8" i="50"/>
  <c r="CP28" i="50"/>
  <c r="CP16" i="50"/>
  <c r="CR11" i="50"/>
  <c r="CR8" i="50"/>
  <c r="CJ23" i="50"/>
  <c r="CL24" i="50"/>
  <c r="CL23" i="50"/>
  <c r="CL25" i="50"/>
  <c r="BJ28" i="50"/>
  <c r="BM28" i="50"/>
  <c r="BM21" i="50"/>
  <c r="BM16" i="50"/>
  <c r="BM18" i="50" s="1"/>
  <c r="BM11" i="50"/>
  <c r="BM13" i="50" s="1"/>
  <c r="BM8" i="50"/>
  <c r="BN28" i="50"/>
  <c r="BN21" i="50"/>
  <c r="BN16" i="50"/>
  <c r="BN18" i="50" s="1"/>
  <c r="BN11" i="50"/>
  <c r="BN13" i="50" s="1"/>
  <c r="BN8" i="50"/>
  <c r="BP28" i="50"/>
  <c r="BP16" i="50"/>
  <c r="BP18" i="50" s="1"/>
  <c r="BP11" i="50"/>
  <c r="BP13" i="50" s="1"/>
  <c r="BP8" i="50"/>
  <c r="BP21" i="50"/>
  <c r="BT21" i="50"/>
  <c r="BT28" i="50"/>
  <c r="BT16" i="50"/>
  <c r="BT18" i="50" s="1"/>
  <c r="BT11" i="50"/>
  <c r="BT13" i="50" s="1"/>
  <c r="BT8" i="50"/>
  <c r="BU28" i="50"/>
  <c r="BU21" i="50"/>
  <c r="BU16" i="50"/>
  <c r="BU18" i="50" s="1"/>
  <c r="BU11" i="50"/>
  <c r="BU13" i="50" s="1"/>
  <c r="BU8" i="50"/>
  <c r="BW21" i="50"/>
  <c r="BW28" i="50"/>
  <c r="BW16" i="50"/>
  <c r="BW18" i="50" s="1"/>
  <c r="BW11" i="50"/>
  <c r="BW8" i="50"/>
  <c r="BX28" i="50"/>
  <c r="BX21" i="50"/>
  <c r="BX16" i="50"/>
  <c r="BX18" i="50" s="1"/>
  <c r="BX11" i="50"/>
  <c r="BX8" i="50"/>
  <c r="BY21" i="50"/>
  <c r="BY28" i="50"/>
  <c r="BY16" i="50"/>
  <c r="BY18" i="50" s="1"/>
  <c r="BY11" i="50"/>
  <c r="BY8" i="50"/>
  <c r="BZ28" i="50"/>
  <c r="BZ16" i="50"/>
  <c r="BZ18" i="50" s="1"/>
  <c r="BZ11" i="50"/>
  <c r="BZ8" i="50"/>
  <c r="BZ21" i="50"/>
  <c r="CC28" i="50"/>
  <c r="CC16" i="50"/>
  <c r="CC18" i="50" s="1"/>
  <c r="CC11" i="50"/>
  <c r="CC13" i="50" s="1"/>
  <c r="CC8" i="50"/>
  <c r="CC21" i="50"/>
  <c r="CD21" i="50"/>
  <c r="CD11" i="50"/>
  <c r="CD13" i="50" s="1"/>
  <c r="CD28" i="50"/>
  <c r="CD16" i="50"/>
  <c r="CD18" i="50" s="1"/>
  <c r="CD8" i="50"/>
  <c r="CE28" i="50"/>
  <c r="CE21" i="50"/>
  <c r="CE16" i="50"/>
  <c r="CE18" i="50" s="1"/>
  <c r="CE11" i="50"/>
  <c r="CE13" i="50" s="1"/>
  <c r="CE8" i="50"/>
  <c r="CG28" i="50"/>
  <c r="CG16" i="50"/>
  <c r="CG18" i="50" s="1"/>
  <c r="CG11" i="50"/>
  <c r="CG13" i="50" s="1"/>
  <c r="CG8" i="50"/>
  <c r="CG21" i="50"/>
  <c r="AM16" i="59" a="1"/>
  <c r="AM16" i="59" s="1"/>
  <c r="AH16" i="59" a="1"/>
  <c r="AH16" i="59" s="1"/>
  <c r="AH17" i="59" s="1"/>
  <c r="AC16" i="59" a="1"/>
  <c r="AC16" i="59" s="1"/>
  <c r="X16" i="59" a="1"/>
  <c r="X16" i="59" s="1"/>
  <c r="W16" i="59" a="1"/>
  <c r="W16" i="59" s="1"/>
  <c r="S16" i="59" a="1"/>
  <c r="S16" i="59" s="1"/>
  <c r="O16" i="59" a="1"/>
  <c r="O16" i="59" s="1"/>
  <c r="M16" i="59" a="1"/>
  <c r="M16" i="59" s="1"/>
  <c r="M47" i="60" s="1"/>
  <c r="G16" i="59" a="1"/>
  <c r="G16" i="59" s="1"/>
  <c r="G47" i="60" s="1"/>
  <c r="D16" i="59" a="1"/>
  <c r="D16" i="59" s="1"/>
  <c r="D47" i="60" s="1"/>
  <c r="AK16" i="59" a="1"/>
  <c r="AK16" i="59" s="1"/>
  <c r="AJ16" i="59" a="1"/>
  <c r="AJ16" i="59" s="1"/>
  <c r="AJ17" i="59" s="1"/>
  <c r="AG16" i="59" a="1"/>
  <c r="AG16" i="59" s="1"/>
  <c r="AG17" i="59" s="1"/>
  <c r="Y16" i="59" a="1"/>
  <c r="Y16" i="59" s="1"/>
  <c r="U16" i="59" a="1"/>
  <c r="U16" i="59" s="1"/>
  <c r="U17" i="59" s="1"/>
  <c r="Q16" i="59" a="1"/>
  <c r="Q16" i="59" s="1"/>
  <c r="K16" i="59" a="1"/>
  <c r="K16" i="59" s="1"/>
  <c r="K47" i="60" s="1"/>
  <c r="F16" i="59" a="1"/>
  <c r="F16" i="59" s="1"/>
  <c r="F47" i="60" s="1"/>
  <c r="AL16" i="59" a="1"/>
  <c r="AL16" i="59" s="1"/>
  <c r="AI16" i="59" a="1"/>
  <c r="AI16" i="59" s="1"/>
  <c r="AI17" i="59" s="1"/>
  <c r="AF16" i="59" a="1"/>
  <c r="AF16" i="59" s="1"/>
  <c r="AF17" i="59" s="1"/>
  <c r="Z16" i="59" a="1"/>
  <c r="Z16" i="59" s="1"/>
  <c r="V16" i="59" a="1"/>
  <c r="V16" i="59" s="1"/>
  <c r="P16" i="59" a="1"/>
  <c r="P16" i="59" s="1"/>
  <c r="I16" i="59" a="1"/>
  <c r="I16" i="59" s="1"/>
  <c r="I47" i="60" s="1"/>
  <c r="B16" i="59" a="1"/>
  <c r="B16" i="59" s="1"/>
  <c r="AD16" i="59" a="1"/>
  <c r="AD16" i="59" s="1"/>
  <c r="AD17" i="59" s="1"/>
  <c r="R16" i="59" a="1"/>
  <c r="R16" i="59" s="1"/>
  <c r="J16" i="59" a="1"/>
  <c r="J16" i="59" s="1"/>
  <c r="J47" i="60" s="1"/>
  <c r="C16" i="59" a="1"/>
  <c r="C16" i="59" s="1"/>
  <c r="C47" i="60" s="1"/>
  <c r="AB16" i="59" a="1"/>
  <c r="AB16" i="59" s="1"/>
  <c r="AB17" i="59" s="1"/>
  <c r="N16" i="59" a="1"/>
  <c r="N16" i="59" s="1"/>
  <c r="N47" i="60" s="1"/>
  <c r="AE16" i="59" a="1"/>
  <c r="AE16" i="59" s="1"/>
  <c r="AE17" i="59" s="1"/>
  <c r="H16" i="59" a="1"/>
  <c r="H16" i="59" s="1"/>
  <c r="H47" i="60" s="1"/>
  <c r="T16" i="59" a="1"/>
  <c r="T16" i="59" s="1"/>
  <c r="E16" i="59" a="1"/>
  <c r="E16" i="59" s="1"/>
  <c r="E47" i="60" s="1"/>
  <c r="AA16" i="59" a="1"/>
  <c r="AA16" i="59" s="1"/>
  <c r="L16" i="59" a="1"/>
  <c r="L16" i="59" s="1"/>
  <c r="N7" i="47" a="1"/>
  <c r="N7" i="47" s="1"/>
  <c r="P7" i="47" a="1"/>
  <c r="P7" i="47" s="1"/>
  <c r="O7" i="47" a="1"/>
  <c r="O7" i="47" s="1"/>
  <c r="M7" i="47" a="1"/>
  <c r="M7" i="47" s="1"/>
  <c r="L7" i="47" a="1"/>
  <c r="L7" i="47" s="1"/>
  <c r="K7" i="47" a="1"/>
  <c r="K7" i="47" s="1"/>
  <c r="J7" i="47" a="1"/>
  <c r="J7" i="47" s="1"/>
  <c r="I7" i="47" a="1"/>
  <c r="I7" i="47" s="1"/>
  <c r="G7" i="47" a="1"/>
  <c r="G7" i="47" s="1"/>
  <c r="H7" i="47" a="1"/>
  <c r="H7" i="47" s="1"/>
  <c r="T14" i="54" a="1"/>
  <c r="T14" i="54" s="1"/>
  <c r="K9" i="54" a="1"/>
  <c r="K9" i="54" s="1"/>
  <c r="T7" i="54" a="1"/>
  <c r="T7" i="54" s="1"/>
  <c r="T10" i="54" a="1"/>
  <c r="T10" i="54" s="1"/>
  <c r="K14" i="54" a="1"/>
  <c r="K14" i="54" s="1"/>
  <c r="B7" i="47" a="1"/>
  <c r="B7" i="47" s="1"/>
  <c r="B8" i="47" s="1"/>
  <c r="C7" i="47" a="1"/>
  <c r="C7" i="47" s="1"/>
  <c r="K13" i="54" a="1"/>
  <c r="K13" i="54" s="1"/>
  <c r="F7" i="47" a="1"/>
  <c r="F7" i="47" s="1"/>
  <c r="K12" i="54" a="1"/>
  <c r="K12" i="54" s="1"/>
  <c r="E7" i="47" a="1"/>
  <c r="E7" i="47" s="1"/>
  <c r="K10" i="54" a="1"/>
  <c r="K10" i="54" s="1"/>
  <c r="D7" i="47" a="1"/>
  <c r="D7" i="47" s="1"/>
  <c r="T11" i="54" a="1"/>
  <c r="T11" i="54" s="1"/>
  <c r="K8" i="54" a="1"/>
  <c r="K8" i="54" s="1"/>
  <c r="V18" i="53"/>
  <c r="V21" i="53"/>
  <c r="V29" i="47"/>
  <c r="V52" i="47"/>
  <c r="V19" i="47"/>
  <c r="V55" i="47"/>
  <c r="V26" i="53" a="1"/>
  <c r="V26" i="53" s="1"/>
  <c r="V52" i="53" s="1"/>
  <c r="V67" i="53" a="1"/>
  <c r="V67" i="53" s="1"/>
  <c r="M15" i="47" a="1"/>
  <c r="M15" i="47" s="1"/>
  <c r="I11" i="47" a="1"/>
  <c r="I11" i="47" s="1"/>
  <c r="O11" i="47" a="1"/>
  <c r="O11" i="47" s="1"/>
  <c r="F15" i="47" a="1"/>
  <c r="F15" i="47" s="1"/>
  <c r="D11" i="47" a="1"/>
  <c r="D11" i="47" s="1"/>
  <c r="N11" i="47" a="1"/>
  <c r="N11" i="47" s="1"/>
  <c r="M11" i="47" a="1"/>
  <c r="M11" i="47" s="1"/>
  <c r="G15" i="47" a="1"/>
  <c r="G15" i="47" s="1"/>
  <c r="D15" i="47" a="1"/>
  <c r="D15" i="47" s="1"/>
  <c r="I15" i="47" a="1"/>
  <c r="I15" i="47" s="1"/>
  <c r="V27" i="53" a="1"/>
  <c r="V27" i="53" s="1"/>
  <c r="P11" i="47" a="1"/>
  <c r="P11" i="47" s="1"/>
  <c r="H15" i="47" a="1"/>
  <c r="H15" i="47" s="1"/>
  <c r="H11" i="47" a="1"/>
  <c r="H11" i="47" s="1"/>
  <c r="V25" i="53" a="1"/>
  <c r="V25" i="53" s="1"/>
  <c r="V51" i="53" s="1"/>
  <c r="V66" i="53" a="1"/>
  <c r="V66" i="53" s="1"/>
  <c r="V94" i="53" s="1"/>
  <c r="K15" i="47" a="1"/>
  <c r="K15" i="47" s="1"/>
  <c r="J11" i="47" a="1"/>
  <c r="J11" i="47" s="1"/>
  <c r="V15" i="47" a="1"/>
  <c r="V15" i="47" s="1"/>
  <c r="C15" i="47" a="1"/>
  <c r="C15" i="47" s="1"/>
  <c r="E11" i="47" a="1"/>
  <c r="E11" i="47" s="1"/>
  <c r="L11" i="47" a="1"/>
  <c r="L11" i="47" s="1"/>
  <c r="O15" i="47" a="1"/>
  <c r="O15" i="47" s="1"/>
  <c r="N15" i="47" a="1"/>
  <c r="N15" i="47" s="1"/>
  <c r="E15" i="47" a="1"/>
  <c r="E15" i="47" s="1"/>
  <c r="P15" i="47" a="1"/>
  <c r="P15" i="47" s="1"/>
  <c r="J15" i="47" a="1"/>
  <c r="J15" i="47" s="1"/>
  <c r="G11" i="47" a="1"/>
  <c r="G11" i="47" s="1"/>
  <c r="V65" i="53" a="1"/>
  <c r="V65" i="53" s="1"/>
  <c r="V93" i="53" s="1"/>
  <c r="F11" i="47" a="1"/>
  <c r="F11" i="47" s="1"/>
  <c r="L15" i="47" a="1"/>
  <c r="L15" i="47" s="1"/>
  <c r="K11" i="47" a="1"/>
  <c r="K11" i="47" s="1"/>
  <c r="V11" i="47" a="1"/>
  <c r="V11" i="47" s="1"/>
  <c r="V36" i="47" s="1"/>
  <c r="V60" i="47" s="1"/>
  <c r="V63" i="47" s="1"/>
  <c r="C11" i="47" a="1"/>
  <c r="C11" i="47" s="1"/>
  <c r="C12" i="47" s="1"/>
  <c r="R157" i="53" a="1"/>
  <c r="R157" i="53" s="1"/>
  <c r="R143" i="53" a="1"/>
  <c r="R143" i="53" s="1"/>
  <c r="R123" i="53" a="1"/>
  <c r="R123" i="53" s="1"/>
  <c r="R64" i="53" a="1"/>
  <c r="R64" i="53" s="1"/>
  <c r="R67" i="53" a="1"/>
  <c r="R67" i="53" s="1"/>
  <c r="R72" i="53" a="1"/>
  <c r="R72" i="53" s="1"/>
  <c r="R25" i="53" a="1"/>
  <c r="R25" i="53" s="1"/>
  <c r="R120" i="55" s="1"/>
  <c r="R31" i="53" a="1"/>
  <c r="R31" i="53" s="1"/>
  <c r="R26" i="53" a="1"/>
  <c r="R26" i="53" s="1"/>
  <c r="R121" i="55" s="1"/>
  <c r="R33" i="53" a="1"/>
  <c r="R33" i="53" s="1"/>
  <c r="R65" i="53" a="1"/>
  <c r="R65" i="53" s="1"/>
  <c r="R24" i="53" a="1"/>
  <c r="R24" i="53" s="1"/>
  <c r="R109" i="53" a="1"/>
  <c r="R109" i="53" s="1"/>
  <c r="R126" i="53" a="1"/>
  <c r="R126" i="53" s="1"/>
  <c r="R127" i="53" s="1"/>
  <c r="R71" i="53" a="1"/>
  <c r="R71" i="53" s="1"/>
  <c r="R76" i="53" s="1"/>
  <c r="R32" i="53" a="1"/>
  <c r="R32" i="53" s="1"/>
  <c r="S311" i="53"/>
  <c r="R73" i="53" a="1"/>
  <c r="R73" i="53" s="1"/>
  <c r="R30" i="53" a="1"/>
  <c r="R30" i="53" s="1"/>
  <c r="R34" i="53" s="1"/>
  <c r="R7" i="53" a="1"/>
  <c r="R7" i="53" s="1"/>
  <c r="R160" i="53" a="1"/>
  <c r="R160" i="53" s="1"/>
  <c r="R140" i="53" a="1"/>
  <c r="R140" i="53" s="1"/>
  <c r="R106" i="53" a="1"/>
  <c r="R106" i="53" s="1"/>
  <c r="R66" i="53" a="1"/>
  <c r="R66" i="53" s="1"/>
  <c r="R7" i="55" s="1"/>
  <c r="R70" i="53" a="1"/>
  <c r="R70" i="53" s="1"/>
  <c r="R27" i="53" a="1"/>
  <c r="R27" i="53" s="1"/>
  <c r="S312" i="53"/>
  <c r="T312" i="53" s="1"/>
  <c r="U312" i="53" s="1"/>
  <c r="R10" i="53" a="1"/>
  <c r="R10" i="53" s="1"/>
  <c r="R11" i="53" s="1"/>
  <c r="R163" i="53"/>
  <c r="V168" i="53"/>
  <c r="V171" i="53" s="1"/>
  <c r="V151" i="53"/>
  <c r="V154" i="53" s="1"/>
  <c r="V134" i="53"/>
  <c r="V137" i="53" s="1"/>
  <c r="V117" i="53"/>
  <c r="V120" i="53" s="1"/>
  <c r="V92" i="53"/>
  <c r="V101" i="53" s="1"/>
  <c r="V50" i="53"/>
  <c r="V59" i="53" s="1"/>
  <c r="Q7" i="47" a="1"/>
  <c r="Q7" i="47" s="1"/>
  <c r="Q15" i="47" a="1"/>
  <c r="Q15" i="47" s="1"/>
  <c r="Q11" i="47" a="1"/>
  <c r="Q11" i="47" s="1"/>
  <c r="R11" i="47" a="1"/>
  <c r="R11" i="47" s="1"/>
  <c r="R6" i="48" s="1"/>
  <c r="R30" i="47" a="1"/>
  <c r="R30" i="47" s="1"/>
  <c r="R15" i="47" a="1"/>
  <c r="R15" i="47" s="1"/>
  <c r="R7" i="48" s="1"/>
  <c r="R37" i="47" a="1"/>
  <c r="R37" i="47" s="1"/>
  <c r="R44" i="47" a="1"/>
  <c r="R44" i="47" s="1"/>
  <c r="F29" i="47"/>
  <c r="F19" i="47"/>
  <c r="E29" i="47"/>
  <c r="E19" i="47"/>
  <c r="D29" i="47"/>
  <c r="D19" i="47"/>
  <c r="C29" i="47"/>
  <c r="C19" i="47"/>
  <c r="S80" i="47"/>
  <c r="R7" i="47" a="1"/>
  <c r="R7" i="47" s="1"/>
  <c r="R5" i="48" s="1"/>
  <c r="V43" i="47"/>
  <c r="V24" i="47"/>
  <c r="T13" i="54" a="1"/>
  <c r="T13" i="54" s="1"/>
  <c r="T12" i="54" a="1"/>
  <c r="T12" i="54" s="1"/>
  <c r="T8" i="54" a="1"/>
  <c r="T8" i="54" s="1"/>
  <c r="T9" i="54" a="1"/>
  <c r="T9" i="54" s="1"/>
  <c r="T18" i="54" s="1"/>
  <c r="K11" i="54" a="1"/>
  <c r="K11" i="54" s="1"/>
  <c r="Q11" i="54" s="1"/>
  <c r="K7" i="54" a="1"/>
  <c r="K7" i="54" s="1"/>
  <c r="Q7" i="54" s="1"/>
  <c r="B17" i="59"/>
  <c r="B49" i="60" s="1"/>
  <c r="B18" i="59"/>
  <c r="C18" i="59"/>
  <c r="D18" i="59"/>
  <c r="E18" i="59"/>
  <c r="F18" i="59"/>
  <c r="G18" i="59"/>
  <c r="H18" i="59"/>
  <c r="I18" i="59"/>
  <c r="J18" i="59"/>
  <c r="K18" i="59"/>
  <c r="B11" i="59"/>
  <c r="B8" i="60" s="1"/>
  <c r="F11" i="59"/>
  <c r="F8" i="60" s="1"/>
  <c r="I11" i="59"/>
  <c r="I8" i="60" s="1"/>
  <c r="M11" i="59"/>
  <c r="M8" i="60" s="1"/>
  <c r="E11" i="59"/>
  <c r="E8" i="60" s="1"/>
  <c r="J11" i="59"/>
  <c r="J8" i="60" s="1"/>
  <c r="P11" i="59"/>
  <c r="P12" i="59" s="1"/>
  <c r="P10" i="60" s="1"/>
  <c r="D11" i="59"/>
  <c r="D8" i="60" s="1"/>
  <c r="H11" i="59"/>
  <c r="H8" i="60" s="1"/>
  <c r="L11" i="59"/>
  <c r="L8" i="60" s="1"/>
  <c r="AN8" i="59"/>
  <c r="AN11" i="59" s="1"/>
  <c r="AN12" i="59" s="1"/>
  <c r="C11" i="59"/>
  <c r="C8" i="60" s="1"/>
  <c r="G11" i="59"/>
  <c r="G8" i="60" s="1"/>
  <c r="K11" i="59"/>
  <c r="K8" i="60" s="1"/>
  <c r="AN10" i="59"/>
  <c r="D12" i="59"/>
  <c r="D10" i="60" s="1"/>
  <c r="G12" i="59"/>
  <c r="G10" i="60" s="1"/>
  <c r="E12" i="59"/>
  <c r="E10" i="60" s="1"/>
  <c r="F12" i="59"/>
  <c r="F10" i="60" s="1"/>
  <c r="H12" i="59"/>
  <c r="H10" i="60" s="1"/>
  <c r="K12" i="59"/>
  <c r="K10" i="60" s="1"/>
  <c r="M12" i="59"/>
  <c r="M10" i="60" s="1"/>
  <c r="B9" i="59"/>
  <c r="B9" i="60" s="1"/>
  <c r="B10" i="59"/>
  <c r="B26" i="59" s="1"/>
  <c r="B82" i="60" s="1"/>
  <c r="C10" i="59"/>
  <c r="D10" i="59"/>
  <c r="E10" i="59"/>
  <c r="F10" i="59"/>
  <c r="F26" i="59" s="1"/>
  <c r="F82" i="60" s="1"/>
  <c r="G10" i="59"/>
  <c r="G26" i="59" s="1"/>
  <c r="G82" i="60" s="1"/>
  <c r="H10" i="59"/>
  <c r="I10" i="59"/>
  <c r="J10" i="59"/>
  <c r="K10" i="59"/>
  <c r="K26" i="59" s="1"/>
  <c r="K82" i="60" s="1"/>
  <c r="L10" i="59"/>
  <c r="M10" i="59"/>
  <c r="N10" i="59"/>
  <c r="O10" i="59"/>
  <c r="P10" i="59"/>
  <c r="Q10" i="59"/>
  <c r="R10" i="59"/>
  <c r="S10" i="59"/>
  <c r="T10" i="59"/>
  <c r="U10" i="59"/>
  <c r="V10" i="59"/>
  <c r="W10" i="59"/>
  <c r="X10" i="59"/>
  <c r="Y10" i="59"/>
  <c r="AK10" i="59"/>
  <c r="Z10" i="59"/>
  <c r="AB10" i="59"/>
  <c r="AE10" i="59"/>
  <c r="AG10" i="59"/>
  <c r="AJ10" i="59"/>
  <c r="AM10" i="59"/>
  <c r="AA10" i="59"/>
  <c r="AD10" i="59"/>
  <c r="AI10" i="59"/>
  <c r="AC10" i="59"/>
  <c r="AF10" i="59"/>
  <c r="AH10" i="59"/>
  <c r="AL10" i="59"/>
  <c r="P41" i="56"/>
  <c r="O41" i="56"/>
  <c r="N41" i="56"/>
  <c r="B7" i="53" a="1"/>
  <c r="B7" i="53" s="1"/>
  <c r="B11" i="47" a="1"/>
  <c r="B11" i="47" s="1"/>
  <c r="W14" i="54" a="1"/>
  <c r="W14" i="54" s="1"/>
  <c r="N11" i="54" a="1"/>
  <c r="N11" i="54" s="1"/>
  <c r="N12" i="54" a="1"/>
  <c r="N12" i="54" s="1"/>
  <c r="N8" i="54" a="1"/>
  <c r="N8" i="54" s="1"/>
  <c r="N7" i="54" a="1"/>
  <c r="N7" i="54" s="1"/>
  <c r="N13" i="54" a="1"/>
  <c r="N13" i="54" s="1"/>
  <c r="W10" i="54" a="1"/>
  <c r="W10" i="54" s="1"/>
  <c r="Z10" i="54" s="1"/>
  <c r="N9" i="54" a="1"/>
  <c r="N9" i="54" s="1"/>
  <c r="W7" i="54" a="1"/>
  <c r="W7" i="54" s="1"/>
  <c r="N14" i="54" a="1"/>
  <c r="N14" i="54" s="1"/>
  <c r="Q14" i="54" s="1"/>
  <c r="N10" i="54" a="1"/>
  <c r="N10" i="54" s="1"/>
  <c r="W13" i="54" a="1"/>
  <c r="W13" i="54" s="1"/>
  <c r="W8" i="54" a="1"/>
  <c r="W8" i="54" s="1"/>
  <c r="W11" i="54" a="1"/>
  <c r="W11" i="54" s="1"/>
  <c r="Z11" i="54" s="1"/>
  <c r="W12" i="54" a="1"/>
  <c r="W12" i="54" s="1"/>
  <c r="W9" i="54" a="1"/>
  <c r="W9" i="54" s="1"/>
  <c r="Z14" i="54"/>
  <c r="Z7" i="54"/>
  <c r="K18" i="54"/>
  <c r="Q13" i="54"/>
  <c r="Q12" i="54"/>
  <c r="Q9" i="54"/>
  <c r="Q8" i="54"/>
  <c r="G7" i="49" a="1"/>
  <c r="G7" i="49" s="1"/>
  <c r="G8" i="49" s="1"/>
  <c r="C7" i="49" a="1"/>
  <c r="C7" i="49" s="1"/>
  <c r="H7" i="49" a="1"/>
  <c r="H7" i="49" s="1"/>
  <c r="H5" i="51" s="1"/>
  <c r="Y22" i="50" a="1"/>
  <c r="Y22" i="50" s="1"/>
  <c r="Y6" i="52" s="1"/>
  <c r="Z22" i="50" a="1"/>
  <c r="Z22" i="50" s="1"/>
  <c r="Z6" i="52" s="1"/>
  <c r="AA22" i="50" a="1"/>
  <c r="AA22" i="50" s="1"/>
  <c r="AA6" i="52" s="1"/>
  <c r="AB22" i="50" a="1"/>
  <c r="AB22" i="50" s="1"/>
  <c r="AB6" i="52" s="1"/>
  <c r="AC22" i="50" a="1"/>
  <c r="AC22" i="50" s="1"/>
  <c r="AC6" i="52" s="1"/>
  <c r="AD22" i="50" a="1"/>
  <c r="AD22" i="50" s="1"/>
  <c r="AD6" i="52" s="1"/>
  <c r="AE22" i="50" a="1"/>
  <c r="AE22" i="50" s="1"/>
  <c r="AE6" i="52" s="1"/>
  <c r="AF22" i="50" a="1"/>
  <c r="AF22" i="50" s="1"/>
  <c r="AF6" i="52" s="1"/>
  <c r="AG22" i="50" a="1"/>
  <c r="AG22" i="50" s="1"/>
  <c r="AG6" i="52" s="1"/>
  <c r="AH22" i="50" a="1"/>
  <c r="AH22" i="50" s="1"/>
  <c r="AH6" i="52" s="1"/>
  <c r="AI22" i="50" a="1"/>
  <c r="AI22" i="50" s="1"/>
  <c r="AI6" i="52" s="1"/>
  <c r="AJ22" i="50" a="1"/>
  <c r="AJ22" i="50" s="1"/>
  <c r="AJ6" i="52" s="1"/>
  <c r="AK22" i="50" a="1"/>
  <c r="AK22" i="50" s="1"/>
  <c r="AK6" i="52" s="1"/>
  <c r="AL22" i="50" a="1"/>
  <c r="AL22" i="50" s="1"/>
  <c r="AL6" i="52" s="1"/>
  <c r="AM22" i="50" a="1"/>
  <c r="AM22" i="50" s="1"/>
  <c r="AM6" i="52" s="1"/>
  <c r="AN22" i="50" a="1"/>
  <c r="AN22" i="50" s="1"/>
  <c r="AN6" i="52" s="1"/>
  <c r="AO22" i="50" a="1"/>
  <c r="AO22" i="50" s="1"/>
  <c r="AO6" i="52" s="1"/>
  <c r="AP22" i="50" a="1"/>
  <c r="AP22" i="50" s="1"/>
  <c r="AP6" i="52" s="1"/>
  <c r="AQ22" i="50" a="1"/>
  <c r="AQ22" i="50" s="1"/>
  <c r="AQ6" i="52" s="1"/>
  <c r="AR22" i="50" a="1"/>
  <c r="AR22" i="50" s="1"/>
  <c r="AR6" i="52" s="1"/>
  <c r="AS22" i="50" a="1"/>
  <c r="AS22" i="50" s="1"/>
  <c r="AS6" i="52" s="1"/>
  <c r="AT22" i="50" a="1"/>
  <c r="AT22" i="50" s="1"/>
  <c r="AT6" i="52" s="1"/>
  <c r="AU22" i="50" a="1"/>
  <c r="AU22" i="50" s="1"/>
  <c r="AU6" i="52" s="1"/>
  <c r="AV22" i="50" a="1"/>
  <c r="AV22" i="50" s="1"/>
  <c r="AV6" i="52" s="1"/>
  <c r="AW22" i="50" a="1"/>
  <c r="AW22" i="50" s="1"/>
  <c r="AW6" i="52" s="1"/>
  <c r="AX22" i="50" a="1"/>
  <c r="AX22" i="50" s="1"/>
  <c r="AX6" i="52" s="1"/>
  <c r="AY22" i="50" a="1"/>
  <c r="AY22" i="50" s="1"/>
  <c r="AY6" i="52" s="1"/>
  <c r="AZ22" i="50" a="1"/>
  <c r="AZ22" i="50" s="1"/>
  <c r="BA22" i="50" a="1"/>
  <c r="BA22" i="50" s="1"/>
  <c r="BB22" i="50" a="1"/>
  <c r="BB22" i="50" s="1"/>
  <c r="BC22" i="50" a="1"/>
  <c r="BC22" i="50" s="1"/>
  <c r="BD22" i="50" a="1"/>
  <c r="BD22" i="50" s="1"/>
  <c r="BE22" i="50" a="1"/>
  <c r="BE22" i="50" s="1"/>
  <c r="BF22" i="50" a="1"/>
  <c r="BF22" i="50" s="1"/>
  <c r="BG22" i="50" a="1"/>
  <c r="BG22" i="50" s="1"/>
  <c r="BH22" i="50" a="1"/>
  <c r="BH22" i="50" s="1"/>
  <c r="BI22" i="50" a="1"/>
  <c r="BI22" i="50" s="1"/>
  <c r="C17" i="50" a="1"/>
  <c r="C17" i="50" s="1"/>
  <c r="D17" i="50" a="1"/>
  <c r="D17" i="50" s="1"/>
  <c r="E17" i="50" a="1"/>
  <c r="E17" i="50" s="1"/>
  <c r="F17" i="50" a="1"/>
  <c r="F17" i="50" s="1"/>
  <c r="G17" i="50" a="1"/>
  <c r="G17" i="50" s="1"/>
  <c r="H17" i="50" a="1"/>
  <c r="H17" i="50" s="1"/>
  <c r="I17" i="50" a="1"/>
  <c r="I17" i="50" s="1"/>
  <c r="J17" i="50" a="1"/>
  <c r="J17" i="50" s="1"/>
  <c r="K17" i="50" a="1"/>
  <c r="K17" i="50" s="1"/>
  <c r="L17" i="50" a="1"/>
  <c r="L17" i="50" s="1"/>
  <c r="M17" i="50" a="1"/>
  <c r="M17" i="50" s="1"/>
  <c r="N17" i="50" a="1"/>
  <c r="N17" i="50" s="1"/>
  <c r="O17" i="50" a="1"/>
  <c r="O17" i="50" s="1"/>
  <c r="P17" i="50" a="1"/>
  <c r="P17" i="50" s="1"/>
  <c r="Q17" i="50" a="1"/>
  <c r="Q17" i="50" s="1"/>
  <c r="R17" i="50" a="1"/>
  <c r="R17" i="50" s="1"/>
  <c r="S17" i="50" a="1"/>
  <c r="S17" i="50" s="1"/>
  <c r="T17" i="50" a="1"/>
  <c r="T17" i="50" s="1"/>
  <c r="U17" i="50" a="1"/>
  <c r="U17" i="50" s="1"/>
  <c r="V17" i="50" a="1"/>
  <c r="V17" i="50" s="1"/>
  <c r="AY17" i="50" a="1"/>
  <c r="AY17" i="50" s="1"/>
  <c r="AZ17" i="50" a="1"/>
  <c r="AZ17" i="50" s="1"/>
  <c r="BA17" i="50" a="1"/>
  <c r="BA17" i="50" s="1"/>
  <c r="BB17" i="50" a="1"/>
  <c r="BB17" i="50" s="1"/>
  <c r="BC17" i="50" a="1"/>
  <c r="BC17" i="50" s="1"/>
  <c r="BD17" i="50" a="1"/>
  <c r="BD17" i="50" s="1"/>
  <c r="BE17" i="50" a="1"/>
  <c r="BE17" i="50" s="1"/>
  <c r="BF17" i="50" a="1"/>
  <c r="BF17" i="50" s="1"/>
  <c r="BG17" i="50" a="1"/>
  <c r="BG17" i="50" s="1"/>
  <c r="BH17" i="50" a="1"/>
  <c r="BH17" i="50" s="1"/>
  <c r="BI17" i="50" a="1"/>
  <c r="BI17" i="50" s="1"/>
  <c r="C12" i="50" a="1"/>
  <c r="C12" i="50" s="1"/>
  <c r="D12" i="50" a="1"/>
  <c r="D12" i="50" s="1"/>
  <c r="E12" i="50" a="1"/>
  <c r="E12" i="50" s="1"/>
  <c r="F12" i="50" a="1"/>
  <c r="F12" i="50" s="1"/>
  <c r="G12" i="50" a="1"/>
  <c r="G12" i="50" s="1"/>
  <c r="H12" i="50" a="1"/>
  <c r="H12" i="50" s="1"/>
  <c r="I12" i="50" a="1"/>
  <c r="I12" i="50" s="1"/>
  <c r="J12" i="50" a="1"/>
  <c r="J12" i="50" s="1"/>
  <c r="K12" i="50" a="1"/>
  <c r="K12" i="50" s="1"/>
  <c r="L12" i="50" a="1"/>
  <c r="L12" i="50" s="1"/>
  <c r="M12" i="50" a="1"/>
  <c r="M12" i="50" s="1"/>
  <c r="N12" i="50" a="1"/>
  <c r="N12" i="50" s="1"/>
  <c r="O12" i="50" a="1"/>
  <c r="O12" i="50" s="1"/>
  <c r="P12" i="50" a="1"/>
  <c r="P12" i="50" s="1"/>
  <c r="Q12" i="50" a="1"/>
  <c r="Q12" i="50" s="1"/>
  <c r="R12" i="50" a="1"/>
  <c r="R12" i="50" s="1"/>
  <c r="S12" i="50" a="1"/>
  <c r="S12" i="50" s="1"/>
  <c r="T12" i="50" a="1"/>
  <c r="T12" i="50" s="1"/>
  <c r="U12" i="50" a="1"/>
  <c r="U12" i="50" s="1"/>
  <c r="V12" i="50" a="1"/>
  <c r="V12" i="50" s="1"/>
  <c r="W12" i="50" a="1"/>
  <c r="W12" i="50" s="1"/>
  <c r="X12" i="50" a="1"/>
  <c r="X12" i="50" s="1"/>
  <c r="Y12" i="50" a="1"/>
  <c r="Y12" i="50" s="1"/>
  <c r="Z12" i="50" a="1"/>
  <c r="Z12" i="50" s="1"/>
  <c r="AA12" i="50" a="1"/>
  <c r="AA12" i="50" s="1"/>
  <c r="AB12" i="50" a="1"/>
  <c r="AB12" i="50" s="1"/>
  <c r="AC12" i="50" a="1"/>
  <c r="AC12" i="50" s="1"/>
  <c r="AD12" i="50" a="1"/>
  <c r="AD12" i="50" s="1"/>
  <c r="AE12" i="50" a="1"/>
  <c r="AE12" i="50" s="1"/>
  <c r="AF12" i="50" a="1"/>
  <c r="AF12" i="50" s="1"/>
  <c r="AG12" i="50" a="1"/>
  <c r="AG12" i="50" s="1"/>
  <c r="AH12" i="50" a="1"/>
  <c r="AH12" i="50" s="1"/>
  <c r="AI12" i="50" a="1"/>
  <c r="AI12" i="50" s="1"/>
  <c r="AJ12" i="50" a="1"/>
  <c r="AJ12" i="50" s="1"/>
  <c r="AK12" i="50" a="1"/>
  <c r="AK12" i="50" s="1"/>
  <c r="AL12" i="50" a="1"/>
  <c r="AL12" i="50" s="1"/>
  <c r="AM12" i="50" a="1"/>
  <c r="AM12" i="50" s="1"/>
  <c r="AN12" i="50" a="1"/>
  <c r="AN12" i="50" s="1"/>
  <c r="AO12" i="50" a="1"/>
  <c r="AO12" i="50" s="1"/>
  <c r="AP12" i="50" a="1"/>
  <c r="AP12" i="50" s="1"/>
  <c r="AQ12" i="50" a="1"/>
  <c r="AQ12" i="50" s="1"/>
  <c r="AR12" i="50" a="1"/>
  <c r="AR12" i="50" s="1"/>
  <c r="AS12" i="50" a="1"/>
  <c r="AS12" i="50" s="1"/>
  <c r="AT12" i="50" a="1"/>
  <c r="AT12" i="50" s="1"/>
  <c r="AU12" i="50" a="1"/>
  <c r="AU12" i="50" s="1"/>
  <c r="AV12" i="50" a="1"/>
  <c r="AV12" i="50" s="1"/>
  <c r="AW12" i="50" a="1"/>
  <c r="AW12" i="50" s="1"/>
  <c r="AX12" i="50" a="1"/>
  <c r="AX12" i="50" s="1"/>
  <c r="AY12" i="50" a="1"/>
  <c r="AY12" i="50" s="1"/>
  <c r="AZ12" i="50" a="1"/>
  <c r="AZ12" i="50" s="1"/>
  <c r="BA12" i="50" a="1"/>
  <c r="BA12" i="50" s="1"/>
  <c r="BB12" i="50" a="1"/>
  <c r="BB12" i="50" s="1"/>
  <c r="BC12" i="50" a="1"/>
  <c r="BC12" i="50" s="1"/>
  <c r="BD12" i="50" a="1"/>
  <c r="BD12" i="50" s="1"/>
  <c r="BE12" i="50" a="1"/>
  <c r="BE12" i="50" s="1"/>
  <c r="BF12" i="50" a="1"/>
  <c r="BF12" i="50" s="1"/>
  <c r="BG12" i="50" a="1"/>
  <c r="BG12" i="50" s="1"/>
  <c r="BH12" i="50" a="1"/>
  <c r="BH12" i="50" s="1"/>
  <c r="BI12" i="50" a="1"/>
  <c r="BI12" i="50" s="1"/>
  <c r="C7" i="50" a="1"/>
  <c r="C7" i="50" s="1"/>
  <c r="D7" i="50" a="1"/>
  <c r="D7" i="50" s="1"/>
  <c r="E7" i="50" a="1"/>
  <c r="E7" i="50" s="1"/>
  <c r="F7" i="50" a="1"/>
  <c r="F7" i="50" s="1"/>
  <c r="G7" i="50" a="1"/>
  <c r="G7" i="50" s="1"/>
  <c r="H7" i="50" a="1"/>
  <c r="H7" i="50" s="1"/>
  <c r="I7" i="50" a="1"/>
  <c r="I7" i="50" s="1"/>
  <c r="J7" i="50" a="1"/>
  <c r="J7" i="50" s="1"/>
  <c r="K7" i="50" a="1"/>
  <c r="K7" i="50" s="1"/>
  <c r="L7" i="50" a="1"/>
  <c r="L7" i="50" s="1"/>
  <c r="M7" i="50" a="1"/>
  <c r="M7" i="50" s="1"/>
  <c r="N7" i="50" a="1"/>
  <c r="N7" i="50" s="1"/>
  <c r="O7" i="50" a="1"/>
  <c r="O7" i="50" s="1"/>
  <c r="P7" i="50" a="1"/>
  <c r="P7" i="50" s="1"/>
  <c r="Q7" i="50" a="1"/>
  <c r="Q7" i="50" s="1"/>
  <c r="R7" i="50" a="1"/>
  <c r="R7" i="50" s="1"/>
  <c r="S7" i="50" a="1"/>
  <c r="S7" i="50" s="1"/>
  <c r="T7" i="50" a="1"/>
  <c r="T7" i="50" s="1"/>
  <c r="U7" i="50" a="1"/>
  <c r="U7" i="50" s="1"/>
  <c r="V7" i="50" a="1"/>
  <c r="V7" i="50" s="1"/>
  <c r="W7" i="50" a="1"/>
  <c r="W7" i="50" s="1"/>
  <c r="X7" i="50" a="1"/>
  <c r="X7" i="50" s="1"/>
  <c r="Y7" i="50" a="1"/>
  <c r="Y7" i="50" s="1"/>
  <c r="Z7" i="50" a="1"/>
  <c r="Z7" i="50" s="1"/>
  <c r="AA7" i="50" a="1"/>
  <c r="AA7" i="50" s="1"/>
  <c r="AB7" i="50" a="1"/>
  <c r="AB7" i="50" s="1"/>
  <c r="AC7" i="50" a="1"/>
  <c r="AC7" i="50" s="1"/>
  <c r="AD7" i="50" a="1"/>
  <c r="AD7" i="50" s="1"/>
  <c r="AE7" i="50" a="1"/>
  <c r="AE7" i="50" s="1"/>
  <c r="AF7" i="50" a="1"/>
  <c r="AF7" i="50" s="1"/>
  <c r="AG7" i="50" a="1"/>
  <c r="AG7" i="50" s="1"/>
  <c r="AH7" i="50" a="1"/>
  <c r="AH7" i="50" s="1"/>
  <c r="AI7" i="50" a="1"/>
  <c r="AI7" i="50" s="1"/>
  <c r="AJ7" i="50" a="1"/>
  <c r="AJ7" i="50" s="1"/>
  <c r="AK7" i="50" a="1"/>
  <c r="AK7" i="50" s="1"/>
  <c r="AL7" i="50" a="1"/>
  <c r="AL7" i="50" s="1"/>
  <c r="AM7" i="50" a="1"/>
  <c r="AM7" i="50" s="1"/>
  <c r="AN7" i="50" a="1"/>
  <c r="AN7" i="50" s="1"/>
  <c r="AO7" i="50" a="1"/>
  <c r="AO7" i="50" s="1"/>
  <c r="AP7" i="50" a="1"/>
  <c r="AP7" i="50" s="1"/>
  <c r="AQ7" i="50" a="1"/>
  <c r="AQ7" i="50" s="1"/>
  <c r="AR7" i="50" a="1"/>
  <c r="AR7" i="50" s="1"/>
  <c r="AS7" i="50" a="1"/>
  <c r="AS7" i="50" s="1"/>
  <c r="AT7" i="50" a="1"/>
  <c r="AT7" i="50" s="1"/>
  <c r="AU7" i="50" a="1"/>
  <c r="AU7" i="50" s="1"/>
  <c r="AV7" i="50" a="1"/>
  <c r="AV7" i="50" s="1"/>
  <c r="AW7" i="50" a="1"/>
  <c r="AW7" i="50" s="1"/>
  <c r="AX7" i="50" a="1"/>
  <c r="AX7" i="50" s="1"/>
  <c r="AY7" i="50" a="1"/>
  <c r="AY7" i="50" s="1"/>
  <c r="AZ7" i="50" a="1"/>
  <c r="AZ7" i="50" s="1"/>
  <c r="BA7" i="50" a="1"/>
  <c r="BA7" i="50" s="1"/>
  <c r="BB7" i="50" a="1"/>
  <c r="BB7" i="50" s="1"/>
  <c r="BC7" i="50" a="1"/>
  <c r="BC7" i="50" s="1"/>
  <c r="BD7" i="50" a="1"/>
  <c r="BD7" i="50" s="1"/>
  <c r="BE7" i="50" a="1"/>
  <c r="BE7" i="50" s="1"/>
  <c r="BF7" i="50" a="1"/>
  <c r="BF7" i="50" s="1"/>
  <c r="BG7" i="50" a="1"/>
  <c r="BG7" i="50" s="1"/>
  <c r="BH7" i="50" a="1"/>
  <c r="BH7" i="50" s="1"/>
  <c r="BI7" i="50" a="1"/>
  <c r="BI7" i="50" s="1"/>
  <c r="C71" i="53" a="1"/>
  <c r="C71" i="53" s="1"/>
  <c r="C11" i="55" s="1"/>
  <c r="D71" i="53" a="1"/>
  <c r="D71" i="53" s="1"/>
  <c r="D11" i="55" s="1"/>
  <c r="E71" i="53" a="1"/>
  <c r="E71" i="53" s="1"/>
  <c r="E11" i="55" s="1"/>
  <c r="F71" i="53" a="1"/>
  <c r="F71" i="53" s="1"/>
  <c r="G71" i="53" a="1"/>
  <c r="G71" i="53" s="1"/>
  <c r="H71" i="53" a="1"/>
  <c r="H71" i="53" s="1"/>
  <c r="I71" i="53" a="1"/>
  <c r="I71" i="53" s="1"/>
  <c r="J71" i="53" a="1"/>
  <c r="J71" i="53" s="1"/>
  <c r="K71" i="53" a="1"/>
  <c r="K71" i="53" s="1"/>
  <c r="L71" i="53" a="1"/>
  <c r="L71" i="53" s="1"/>
  <c r="M71" i="53" a="1"/>
  <c r="M71" i="53" s="1"/>
  <c r="N71" i="53" a="1"/>
  <c r="N71" i="53" s="1"/>
  <c r="O71" i="53" a="1"/>
  <c r="O71" i="53" s="1"/>
  <c r="P71" i="53" a="1"/>
  <c r="P71" i="53" s="1"/>
  <c r="B71" i="53" a="1"/>
  <c r="B71" i="53" s="1"/>
  <c r="Q71" i="53" a="1"/>
  <c r="Q71" i="53" s="1"/>
  <c r="J33" i="53" a="1"/>
  <c r="J33" i="53" s="1"/>
  <c r="L44" i="47" a="1"/>
  <c r="L44" i="47" s="1"/>
  <c r="C44" i="47" a="1"/>
  <c r="C44" i="47" s="1"/>
  <c r="E44" i="47" a="1"/>
  <c r="E44" i="47" s="1"/>
  <c r="K44" i="47" a="1"/>
  <c r="K44" i="47" s="1"/>
  <c r="F44" i="47" a="1"/>
  <c r="F44" i="47" s="1"/>
  <c r="F12" i="48" s="1"/>
  <c r="AG10" i="48" s="1"/>
  <c r="M44" i="47" a="1"/>
  <c r="M44" i="47" s="1"/>
  <c r="J44" i="47" a="1"/>
  <c r="J44" i="47" s="1"/>
  <c r="P44" i="47" a="1"/>
  <c r="P44" i="47" s="1"/>
  <c r="N44" i="47" a="1"/>
  <c r="N44" i="47" s="1"/>
  <c r="Q44" i="47" a="1"/>
  <c r="Q44" i="47" s="1"/>
  <c r="I44" i="47" a="1"/>
  <c r="I44" i="47" s="1"/>
  <c r="I66" i="47" s="1"/>
  <c r="H44" i="47" a="1"/>
  <c r="H44" i="47" s="1"/>
  <c r="H66" i="47" s="1"/>
  <c r="G44" i="47" a="1"/>
  <c r="G44" i="47" s="1"/>
  <c r="G66" i="47" s="1"/>
  <c r="B44" i="47" a="1"/>
  <c r="B44" i="47" s="1"/>
  <c r="D44" i="47" a="1"/>
  <c r="D44" i="47" s="1"/>
  <c r="O44" i="47" a="1"/>
  <c r="O44" i="47" s="1"/>
  <c r="B33" i="53" a="1"/>
  <c r="B33" i="53" s="1"/>
  <c r="B26" i="53" a="1"/>
  <c r="B26" i="53" s="1"/>
  <c r="J73" i="53" a="1"/>
  <c r="J73" i="53" s="1"/>
  <c r="Q73" i="53" a="1"/>
  <c r="Q73" i="53" s="1"/>
  <c r="Q33" i="53" a="1"/>
  <c r="Q33" i="53" s="1"/>
  <c r="P73" i="53" a="1"/>
  <c r="P73" i="53" s="1"/>
  <c r="P33" i="53" a="1"/>
  <c r="P33" i="53" s="1"/>
  <c r="O73" i="53" a="1"/>
  <c r="O73" i="53" s="1"/>
  <c r="O33" i="53" a="1"/>
  <c r="O33" i="53" s="1"/>
  <c r="N73" i="53" a="1"/>
  <c r="N73" i="53" s="1"/>
  <c r="N33" i="53" a="1"/>
  <c r="N33" i="53" s="1"/>
  <c r="M73" i="53" a="1"/>
  <c r="M73" i="53" s="1"/>
  <c r="M33" i="53" a="1"/>
  <c r="M33" i="53" s="1"/>
  <c r="L73" i="53" a="1"/>
  <c r="L73" i="53" s="1"/>
  <c r="L33" i="53" a="1"/>
  <c r="L33" i="53" s="1"/>
  <c r="K73" i="53" a="1"/>
  <c r="K73" i="53" s="1"/>
  <c r="K33" i="53" a="1"/>
  <c r="K33" i="53" s="1"/>
  <c r="I73" i="53" a="1"/>
  <c r="I73" i="53" s="1"/>
  <c r="I33" i="53" a="1"/>
  <c r="I33" i="53" s="1"/>
  <c r="H73" i="53" a="1"/>
  <c r="H73" i="53" s="1"/>
  <c r="H33" i="53" a="1"/>
  <c r="H33" i="53" s="1"/>
  <c r="G73" i="53" a="1"/>
  <c r="G73" i="53" s="1"/>
  <c r="G33" i="53" a="1"/>
  <c r="G33" i="53" s="1"/>
  <c r="F73" i="53" a="1"/>
  <c r="F73" i="53" s="1"/>
  <c r="F33" i="53" a="1"/>
  <c r="F33" i="53" s="1"/>
  <c r="E73" i="53" a="1"/>
  <c r="E73" i="53" s="1"/>
  <c r="E33" i="53" a="1"/>
  <c r="E33" i="53" s="1"/>
  <c r="D73" i="53" a="1"/>
  <c r="D73" i="53" s="1"/>
  <c r="D33" i="53" a="1"/>
  <c r="D33" i="53" s="1"/>
  <c r="C73" i="53" a="1"/>
  <c r="C73" i="53" s="1"/>
  <c r="C33" i="53" a="1"/>
  <c r="C33" i="53" s="1"/>
  <c r="B73" i="53" a="1"/>
  <c r="B73" i="53" s="1"/>
  <c r="B32" i="53" a="1"/>
  <c r="B32" i="53" s="1"/>
  <c r="B27" i="53" a="1"/>
  <c r="B27" i="53" s="1"/>
  <c r="B25" i="53" a="1"/>
  <c r="B25" i="53" s="1"/>
  <c r="B31" i="53" a="1"/>
  <c r="B31" i="53" s="1"/>
  <c r="Q65" i="53" a="1"/>
  <c r="Q65" i="53" s="1"/>
  <c r="Q6" i="55" s="1"/>
  <c r="Q32" i="53" a="1"/>
  <c r="Q32" i="53" s="1"/>
  <c r="Q26" i="53" a="1"/>
  <c r="Q26" i="53" s="1"/>
  <c r="Q121" i="55" s="1"/>
  <c r="Q25" i="53" a="1"/>
  <c r="Q25" i="53" s="1"/>
  <c r="Q120" i="55" s="1"/>
  <c r="Q31" i="53" a="1"/>
  <c r="Q31" i="53" s="1"/>
  <c r="Q27" i="53" a="1"/>
  <c r="Q27" i="53" s="1"/>
  <c r="P65" i="53" a="1"/>
  <c r="P65" i="53" s="1"/>
  <c r="P6" i="55" s="1"/>
  <c r="P31" i="53" a="1"/>
  <c r="P31" i="53" s="1"/>
  <c r="P32" i="53" a="1"/>
  <c r="P32" i="53" s="1"/>
  <c r="P25" i="53" a="1"/>
  <c r="P25" i="53" s="1"/>
  <c r="P120" i="55" s="1"/>
  <c r="P27" i="53" a="1"/>
  <c r="P27" i="53" s="1"/>
  <c r="P26" i="53" a="1"/>
  <c r="P26" i="53" s="1"/>
  <c r="P121" i="55" s="1"/>
  <c r="O65" i="53" a="1"/>
  <c r="O65" i="53" s="1"/>
  <c r="O6" i="55" s="1"/>
  <c r="O32" i="53" a="1"/>
  <c r="O32" i="53" s="1"/>
  <c r="O26" i="53" a="1"/>
  <c r="O26" i="53" s="1"/>
  <c r="O121" i="55" s="1"/>
  <c r="O31" i="53" a="1"/>
  <c r="O31" i="53" s="1"/>
  <c r="O25" i="53" a="1"/>
  <c r="O25" i="53" s="1"/>
  <c r="O120" i="55" s="1"/>
  <c r="O27" i="53" a="1"/>
  <c r="O27" i="53" s="1"/>
  <c r="N65" i="53" a="1"/>
  <c r="N65" i="53" s="1"/>
  <c r="N6" i="55" s="1"/>
  <c r="N32" i="53" a="1"/>
  <c r="N32" i="53" s="1"/>
  <c r="N31" i="53" a="1"/>
  <c r="N31" i="53" s="1"/>
  <c r="N25" i="53" a="1"/>
  <c r="N25" i="53" s="1"/>
  <c r="N120" i="55" s="1"/>
  <c r="N27" i="53" a="1"/>
  <c r="N27" i="53" s="1"/>
  <c r="N26" i="53" a="1"/>
  <c r="N26" i="53" s="1"/>
  <c r="N121" i="55" s="1"/>
  <c r="M65" i="53" a="1"/>
  <c r="M65" i="53" s="1"/>
  <c r="M6" i="55" s="1"/>
  <c r="M32" i="53" a="1"/>
  <c r="M32" i="53" s="1"/>
  <c r="M31" i="53" a="1"/>
  <c r="M31" i="53" s="1"/>
  <c r="M26" i="53" a="1"/>
  <c r="M26" i="53" s="1"/>
  <c r="M121" i="55" s="1"/>
  <c r="M25" i="53" a="1"/>
  <c r="M25" i="53" s="1"/>
  <c r="M120" i="55" s="1"/>
  <c r="M27" i="53" a="1"/>
  <c r="M27" i="53" s="1"/>
  <c r="L65" i="53" a="1"/>
  <c r="L65" i="53" s="1"/>
  <c r="L6" i="55" s="1"/>
  <c r="L27" i="53" a="1"/>
  <c r="L27" i="53" s="1"/>
  <c r="L26" i="53" a="1"/>
  <c r="L26" i="53" s="1"/>
  <c r="L121" i="55" s="1"/>
  <c r="L31" i="53" a="1"/>
  <c r="L31" i="53" s="1"/>
  <c r="L25" i="53" a="1"/>
  <c r="L25" i="53" s="1"/>
  <c r="L120" i="55" s="1"/>
  <c r="L32" i="53" a="1"/>
  <c r="L32" i="53" s="1"/>
  <c r="L38" i="53" s="1"/>
  <c r="K65" i="53" a="1"/>
  <c r="K65" i="53" s="1"/>
  <c r="K6" i="55" s="1"/>
  <c r="K27" i="53" a="1"/>
  <c r="K27" i="53" s="1"/>
  <c r="K31" i="53" a="1"/>
  <c r="K31" i="53" s="1"/>
  <c r="K32" i="53" a="1"/>
  <c r="K32" i="53" s="1"/>
  <c r="K25" i="53" a="1"/>
  <c r="K25" i="53" s="1"/>
  <c r="K120" i="55" s="1"/>
  <c r="K26" i="53" a="1"/>
  <c r="K26" i="53" s="1"/>
  <c r="K121" i="55" s="1"/>
  <c r="J65" i="53" a="1"/>
  <c r="J65" i="53" s="1"/>
  <c r="J6" i="55" s="1"/>
  <c r="J26" i="53" a="1"/>
  <c r="J26" i="53" s="1"/>
  <c r="J121" i="55" s="1"/>
  <c r="J31" i="53" a="1"/>
  <c r="J31" i="53" s="1"/>
  <c r="J25" i="53" a="1"/>
  <c r="J25" i="53" s="1"/>
  <c r="J120" i="55" s="1"/>
  <c r="J32" i="53" a="1"/>
  <c r="J32" i="53" s="1"/>
  <c r="J38" i="53" s="1"/>
  <c r="J27" i="53" a="1"/>
  <c r="J27" i="53" s="1"/>
  <c r="I65" i="53" a="1"/>
  <c r="I65" i="53" s="1"/>
  <c r="I6" i="55" s="1"/>
  <c r="I27" i="53" a="1"/>
  <c r="I27" i="53" s="1"/>
  <c r="I31" i="53" a="1"/>
  <c r="I31" i="53" s="1"/>
  <c r="I25" i="53" a="1"/>
  <c r="I25" i="53" s="1"/>
  <c r="I120" i="55" s="1"/>
  <c r="I26" i="53" a="1"/>
  <c r="I26" i="53" s="1"/>
  <c r="I121" i="55" s="1"/>
  <c r="I32" i="53" a="1"/>
  <c r="I32" i="53" s="1"/>
  <c r="H65" i="53" a="1"/>
  <c r="H65" i="53" s="1"/>
  <c r="H6" i="55" s="1"/>
  <c r="H31" i="53" a="1"/>
  <c r="H31" i="53" s="1"/>
  <c r="H32" i="53" a="1"/>
  <c r="H32" i="53" s="1"/>
  <c r="H27" i="53" a="1"/>
  <c r="H27" i="53" s="1"/>
  <c r="H25" i="53" a="1"/>
  <c r="H25" i="53" s="1"/>
  <c r="H120" i="55" s="1"/>
  <c r="H26" i="53" a="1"/>
  <c r="H26" i="53" s="1"/>
  <c r="H121" i="55" s="1"/>
  <c r="G65" i="53" a="1"/>
  <c r="G65" i="53" s="1"/>
  <c r="G90" i="53" s="1"/>
  <c r="G32" i="53" a="1"/>
  <c r="G32" i="53" s="1"/>
  <c r="G25" i="53" a="1"/>
  <c r="G25" i="53" s="1"/>
  <c r="G120" i="55" s="1"/>
  <c r="G31" i="53" a="1"/>
  <c r="G31" i="53" s="1"/>
  <c r="G26" i="53" a="1"/>
  <c r="G26" i="53" s="1"/>
  <c r="G121" i="55" s="1"/>
  <c r="G27" i="53" a="1"/>
  <c r="G27" i="53" s="1"/>
  <c r="F65" i="53" a="1"/>
  <c r="F65" i="53" s="1"/>
  <c r="F90" i="53" s="1"/>
  <c r="F25" i="53" a="1"/>
  <c r="F25" i="53" s="1"/>
  <c r="F120" i="55" s="1"/>
  <c r="F32" i="53" a="1"/>
  <c r="F32" i="53" s="1"/>
  <c r="F26" i="53" a="1"/>
  <c r="F26" i="53" s="1"/>
  <c r="F121" i="55" s="1"/>
  <c r="F31" i="53" a="1"/>
  <c r="F31" i="53" s="1"/>
  <c r="F27" i="53" a="1"/>
  <c r="F27" i="53" s="1"/>
  <c r="E65" i="53" a="1"/>
  <c r="E65" i="53" s="1"/>
  <c r="E6" i="55" s="1"/>
  <c r="E31" i="53" a="1"/>
  <c r="E31" i="53" s="1"/>
  <c r="E125" i="55" s="1"/>
  <c r="E25" i="53" a="1"/>
  <c r="E25" i="53" s="1"/>
  <c r="E32" i="53" a="1"/>
  <c r="E32" i="53" s="1"/>
  <c r="E126" i="55" s="1"/>
  <c r="E26" i="53" a="1"/>
  <c r="E26" i="53" s="1"/>
  <c r="E121" i="55" s="1"/>
  <c r="E27" i="53" a="1"/>
  <c r="E27" i="53" s="1"/>
  <c r="D65" i="53" a="1"/>
  <c r="D65" i="53" s="1"/>
  <c r="D6" i="55" s="1"/>
  <c r="D25" i="53" a="1"/>
  <c r="D25" i="53" s="1"/>
  <c r="D120" i="55" s="1"/>
  <c r="D31" i="53" a="1"/>
  <c r="D31" i="53" s="1"/>
  <c r="D125" i="55" s="1"/>
  <c r="D32" i="53" a="1"/>
  <c r="D32" i="53" s="1"/>
  <c r="D126" i="55" s="1"/>
  <c r="D26" i="53" a="1"/>
  <c r="D26" i="53" s="1"/>
  <c r="D121" i="55" s="1"/>
  <c r="D27" i="53" a="1"/>
  <c r="D27" i="53" s="1"/>
  <c r="C65" i="53" a="1"/>
  <c r="C65" i="53" s="1"/>
  <c r="C6" i="55" s="1"/>
  <c r="C27" i="53" a="1"/>
  <c r="C27" i="53" s="1"/>
  <c r="C26" i="53" a="1"/>
  <c r="C26" i="53" s="1"/>
  <c r="C121" i="55" s="1"/>
  <c r="C32" i="53" a="1"/>
  <c r="C32" i="53" s="1"/>
  <c r="C126" i="55" s="1"/>
  <c r="C25" i="53" a="1"/>
  <c r="C25" i="53" s="1"/>
  <c r="C120" i="55" s="1"/>
  <c r="C31" i="53" a="1"/>
  <c r="C31" i="53" s="1"/>
  <c r="C125" i="55" s="1"/>
  <c r="B66" i="53" a="1"/>
  <c r="B66" i="53" s="1"/>
  <c r="B65" i="53" a="1"/>
  <c r="B65" i="53" s="1"/>
  <c r="B72" i="53" a="1"/>
  <c r="B72" i="53" s="1"/>
  <c r="Q67" i="53" a="1"/>
  <c r="Q67" i="53" s="1"/>
  <c r="Q66" i="53" a="1"/>
  <c r="Q66" i="53" s="1"/>
  <c r="Q7" i="55" s="1"/>
  <c r="Q72" i="53" a="1"/>
  <c r="Q72" i="53" s="1"/>
  <c r="P67" i="53" a="1"/>
  <c r="P67" i="53" s="1"/>
  <c r="P72" i="53" a="1"/>
  <c r="P72" i="53" s="1"/>
  <c r="P66" i="53" a="1"/>
  <c r="P66" i="53" s="1"/>
  <c r="P7" i="55" s="1"/>
  <c r="O72" i="53" a="1"/>
  <c r="O72" i="53" s="1"/>
  <c r="O66" i="53" a="1"/>
  <c r="O66" i="53" s="1"/>
  <c r="N72" i="53" a="1"/>
  <c r="N72" i="53" s="1"/>
  <c r="M72" i="53" a="1"/>
  <c r="M72" i="53" s="1"/>
  <c r="L72" i="53" a="1"/>
  <c r="L72" i="53" s="1"/>
  <c r="K72" i="53" a="1"/>
  <c r="K72" i="53" s="1"/>
  <c r="J72" i="53" a="1"/>
  <c r="J72" i="53" s="1"/>
  <c r="I72" i="53" a="1"/>
  <c r="I72" i="53" s="1"/>
  <c r="H72" i="53" a="1"/>
  <c r="H72" i="53" s="1"/>
  <c r="G72" i="53" a="1"/>
  <c r="G72" i="53" s="1"/>
  <c r="F72" i="53" a="1"/>
  <c r="F72" i="53" s="1"/>
  <c r="E72" i="53" a="1"/>
  <c r="E72" i="53" s="1"/>
  <c r="E12" i="55" s="1"/>
  <c r="D72" i="53" a="1"/>
  <c r="D72" i="53" s="1"/>
  <c r="D12" i="55" s="1"/>
  <c r="C72" i="53" a="1"/>
  <c r="C72" i="53" s="1"/>
  <c r="C12" i="55" s="1"/>
  <c r="O67" i="53" a="1"/>
  <c r="O67" i="53" s="1"/>
  <c r="B67" i="53" a="1"/>
  <c r="B67" i="53" s="1"/>
  <c r="N66" i="53" a="1"/>
  <c r="N66" i="53" s="1"/>
  <c r="N67" i="53" a="1"/>
  <c r="N67" i="53" s="1"/>
  <c r="M67" i="53" a="1"/>
  <c r="M67" i="53" s="1"/>
  <c r="M66" i="53" a="1"/>
  <c r="M66" i="53" s="1"/>
  <c r="L66" i="53" a="1"/>
  <c r="L66" i="53" s="1"/>
  <c r="L67" i="53" a="1"/>
  <c r="L67" i="53" s="1"/>
  <c r="K67" i="53" a="1"/>
  <c r="K67" i="53" s="1"/>
  <c r="K66" i="53" a="1"/>
  <c r="K66" i="53" s="1"/>
  <c r="J67" i="53" a="1"/>
  <c r="J67" i="53" s="1"/>
  <c r="J66" i="53" a="1"/>
  <c r="J66" i="53" s="1"/>
  <c r="I66" i="53" a="1"/>
  <c r="I66" i="53" s="1"/>
  <c r="I67" i="53" a="1"/>
  <c r="I67" i="53" s="1"/>
  <c r="H67" i="53" a="1"/>
  <c r="H67" i="53" s="1"/>
  <c r="H66" i="53" a="1"/>
  <c r="H66" i="53" s="1"/>
  <c r="G67" i="53" a="1"/>
  <c r="G67" i="53" s="1"/>
  <c r="G66" i="53" a="1"/>
  <c r="G66" i="53" s="1"/>
  <c r="F67" i="53" a="1"/>
  <c r="F67" i="53" s="1"/>
  <c r="F66" i="53" a="1"/>
  <c r="F66" i="53" s="1"/>
  <c r="E67" i="53" a="1"/>
  <c r="E67" i="53" s="1"/>
  <c r="E66" i="53" a="1"/>
  <c r="E66" i="53" s="1"/>
  <c r="D67" i="53" a="1"/>
  <c r="D67" i="53" s="1"/>
  <c r="D66" i="53" a="1"/>
  <c r="D66" i="53" s="1"/>
  <c r="C66" i="53" a="1"/>
  <c r="C66" i="53" s="1"/>
  <c r="C67" i="53" a="1"/>
  <c r="C67" i="53" s="1"/>
  <c r="N246" i="28"/>
  <c r="M246" i="28"/>
  <c r="P246" i="28" s="1"/>
  <c r="I37" i="47" a="1"/>
  <c r="I37" i="47" s="1"/>
  <c r="N37" i="47" a="1"/>
  <c r="N37" i="47" s="1"/>
  <c r="F37" i="47" a="1"/>
  <c r="F37" i="47" s="1"/>
  <c r="F11" i="48" s="1"/>
  <c r="AG9" i="48" s="1"/>
  <c r="E37" i="47" a="1"/>
  <c r="E37" i="47" s="1"/>
  <c r="C37" i="47" a="1"/>
  <c r="C37" i="47" s="1"/>
  <c r="J37" i="47" a="1"/>
  <c r="J37" i="47" s="1"/>
  <c r="M37" i="47" a="1"/>
  <c r="M37" i="47" s="1"/>
  <c r="B37" i="47" a="1"/>
  <c r="B37" i="47" s="1"/>
  <c r="G37" i="47" a="1"/>
  <c r="G37" i="47" s="1"/>
  <c r="L37" i="47" a="1"/>
  <c r="L37" i="47" s="1"/>
  <c r="P37" i="47" a="1"/>
  <c r="P37" i="47" s="1"/>
  <c r="Q37" i="47" a="1"/>
  <c r="Q37" i="47" s="1"/>
  <c r="D37" i="47" a="1"/>
  <c r="D37" i="47" s="1"/>
  <c r="H37" i="47" a="1"/>
  <c r="H37" i="47" s="1"/>
  <c r="K37" i="47" a="1"/>
  <c r="K37" i="47" s="1"/>
  <c r="O37" i="47" a="1"/>
  <c r="O37" i="47" s="1"/>
  <c r="B30" i="47" a="1"/>
  <c r="B30" i="47" s="1"/>
  <c r="B15" i="47" a="1"/>
  <c r="B15" i="47" s="1"/>
  <c r="F22" i="49" a="1"/>
  <c r="F22" i="49" s="1"/>
  <c r="F8" i="51" s="1"/>
  <c r="F17" i="49" a="1"/>
  <c r="F17" i="49" s="1"/>
  <c r="F7" i="51" s="1"/>
  <c r="O90" i="23"/>
  <c r="C24" i="30" s="1"/>
  <c r="C23" i="30"/>
  <c r="AA17" i="50" a="1"/>
  <c r="AA17" i="50" s="1"/>
  <c r="AB17" i="50" a="1"/>
  <c r="AB17" i="50" s="1"/>
  <c r="AC17" i="50" a="1"/>
  <c r="AC17" i="50" s="1"/>
  <c r="AD17" i="50" a="1"/>
  <c r="AD17" i="50" s="1"/>
  <c r="AE17" i="50" a="1"/>
  <c r="AE17" i="50" s="1"/>
  <c r="AF17" i="50" a="1"/>
  <c r="AF17" i="50" s="1"/>
  <c r="O22" i="50" a="1"/>
  <c r="O22" i="50" s="1"/>
  <c r="O6" i="52" s="1"/>
  <c r="AG17" i="50" a="1"/>
  <c r="AG17" i="50" s="1"/>
  <c r="AH17" i="50" a="1"/>
  <c r="AH17" i="50" s="1"/>
  <c r="AI17" i="50" a="1"/>
  <c r="AI17" i="50" s="1"/>
  <c r="AJ17" i="50" a="1"/>
  <c r="AJ17" i="50" s="1"/>
  <c r="H22" i="50" a="1"/>
  <c r="H22" i="50" s="1"/>
  <c r="H6" i="52" s="1"/>
  <c r="I22" i="50" a="1"/>
  <c r="I22" i="50" s="1"/>
  <c r="I6" i="52" s="1"/>
  <c r="AK17" i="50" a="1"/>
  <c r="AK17" i="50" s="1"/>
  <c r="AL17" i="50" a="1"/>
  <c r="AL17" i="50" s="1"/>
  <c r="AM17" i="50" a="1"/>
  <c r="AM17" i="50" s="1"/>
  <c r="AN17" i="50" a="1"/>
  <c r="AN17" i="50" s="1"/>
  <c r="AO17" i="50" a="1"/>
  <c r="AO17" i="50" s="1"/>
  <c r="AP17" i="50" a="1"/>
  <c r="AP17" i="50" s="1"/>
  <c r="AQ17" i="50" a="1"/>
  <c r="AQ17" i="50" s="1"/>
  <c r="AR17" i="50" a="1"/>
  <c r="AR17" i="50" s="1"/>
  <c r="AS17" i="50" a="1"/>
  <c r="AS17" i="50" s="1"/>
  <c r="AT17" i="50" a="1"/>
  <c r="AT17" i="50" s="1"/>
  <c r="AU17" i="50" a="1"/>
  <c r="AU17" i="50" s="1"/>
  <c r="AV17" i="50" a="1"/>
  <c r="AV17" i="50" s="1"/>
  <c r="AW17" i="50" a="1"/>
  <c r="AW17" i="50" s="1"/>
  <c r="AX17" i="50" a="1"/>
  <c r="AX17" i="50" s="1"/>
  <c r="J22" i="50" a="1"/>
  <c r="J22" i="50" s="1"/>
  <c r="J6" i="52" s="1"/>
  <c r="K22" i="50" a="1"/>
  <c r="K22" i="50" s="1"/>
  <c r="K6" i="52" s="1"/>
  <c r="L22" i="50" a="1"/>
  <c r="L22" i="50" s="1"/>
  <c r="L6" i="52" s="1"/>
  <c r="M22" i="50" a="1"/>
  <c r="M22" i="50" s="1"/>
  <c r="M6" i="52" s="1"/>
  <c r="N22" i="50" a="1"/>
  <c r="N22" i="50" s="1"/>
  <c r="N6" i="52" s="1"/>
  <c r="X22" i="50" a="1"/>
  <c r="X22" i="50" s="1"/>
  <c r="X6" i="52" s="1"/>
  <c r="W22" i="50" a="1"/>
  <c r="W22" i="50" s="1"/>
  <c r="W6" i="52" s="1"/>
  <c r="V22" i="50" a="1"/>
  <c r="V22" i="50" s="1"/>
  <c r="V6" i="52" s="1"/>
  <c r="U22" i="50" a="1"/>
  <c r="U22" i="50" s="1"/>
  <c r="U6" i="52" s="1"/>
  <c r="T22" i="50" a="1"/>
  <c r="T22" i="50" s="1"/>
  <c r="T6" i="52" s="1"/>
  <c r="S22" i="50" a="1"/>
  <c r="S22" i="50" s="1"/>
  <c r="S6" i="52" s="1"/>
  <c r="R22" i="50" a="1"/>
  <c r="R22" i="50" s="1"/>
  <c r="R6" i="52" s="1"/>
  <c r="Q22" i="50" a="1"/>
  <c r="Q22" i="50" s="1"/>
  <c r="Q6" i="52" s="1"/>
  <c r="D22" i="50" a="1"/>
  <c r="D22" i="50" s="1"/>
  <c r="D6" i="52" s="1"/>
  <c r="E22" i="50" a="1"/>
  <c r="E22" i="50" s="1"/>
  <c r="E6" i="52" s="1"/>
  <c r="P22" i="50" a="1"/>
  <c r="P22" i="50" s="1"/>
  <c r="P6" i="52" s="1"/>
  <c r="F22" i="50" a="1"/>
  <c r="F22" i="50" s="1"/>
  <c r="F6" i="52" s="1"/>
  <c r="G22" i="50" a="1"/>
  <c r="G22" i="50" s="1"/>
  <c r="G6" i="52" s="1"/>
  <c r="W17" i="50" a="1"/>
  <c r="W17" i="50" s="1"/>
  <c r="X17" i="50" a="1"/>
  <c r="X17" i="50" s="1"/>
  <c r="C22" i="50" a="1"/>
  <c r="C22" i="50" s="1"/>
  <c r="C6" i="52" s="1"/>
  <c r="Y17" i="50" a="1"/>
  <c r="Y17" i="50" s="1"/>
  <c r="Z17" i="50" a="1"/>
  <c r="Z17" i="50" s="1"/>
  <c r="D7" i="49" a="1"/>
  <c r="D7" i="49" s="1"/>
  <c r="D8" i="49" s="1"/>
  <c r="E7" i="49" a="1"/>
  <c r="E7" i="49" s="1"/>
  <c r="E8" i="49" s="1"/>
  <c r="F7" i="49" a="1"/>
  <c r="F7" i="49" s="1"/>
  <c r="F8" i="49" s="1"/>
  <c r="I7" i="49" a="1"/>
  <c r="I7" i="49" s="1"/>
  <c r="J7" i="49" a="1"/>
  <c r="J7" i="49" s="1"/>
  <c r="H22" i="49" a="1"/>
  <c r="H22" i="49" s="1"/>
  <c r="H8" i="51" s="1"/>
  <c r="I22" i="49" a="1"/>
  <c r="I22" i="49" s="1"/>
  <c r="I8" i="51" s="1"/>
  <c r="J22" i="49" a="1"/>
  <c r="J22" i="49" s="1"/>
  <c r="J8" i="51" s="1"/>
  <c r="H12" i="49" a="1"/>
  <c r="H12" i="49" s="1"/>
  <c r="H6" i="51" s="1"/>
  <c r="I12" i="49" a="1"/>
  <c r="I12" i="49" s="1"/>
  <c r="I6" i="51" s="1"/>
  <c r="J17" i="49" a="1"/>
  <c r="J17" i="49" s="1"/>
  <c r="J7" i="51" s="1"/>
  <c r="J12" i="49" a="1"/>
  <c r="J12" i="49" s="1"/>
  <c r="J6" i="51" s="1"/>
  <c r="I17" i="49" a="1"/>
  <c r="I17" i="49" s="1"/>
  <c r="I7" i="51" s="1"/>
  <c r="H17" i="49" a="1"/>
  <c r="H17" i="49" s="1"/>
  <c r="H7" i="51" s="1"/>
  <c r="M208" i="28"/>
  <c r="N208" i="28"/>
  <c r="Q126" i="53" a="1"/>
  <c r="Q126" i="53" s="1"/>
  <c r="D24" i="53" a="1"/>
  <c r="D24" i="53" s="1"/>
  <c r="D119" i="55" s="1"/>
  <c r="E24" i="53" a="1"/>
  <c r="E24" i="53" s="1"/>
  <c r="E119" i="55" s="1"/>
  <c r="M160" i="53" a="1"/>
  <c r="M160" i="53" s="1"/>
  <c r="C160" i="53" a="1"/>
  <c r="C160" i="53" s="1"/>
  <c r="G160" i="53" a="1"/>
  <c r="G160" i="53" s="1"/>
  <c r="K160" i="53" a="1"/>
  <c r="K160" i="53" s="1"/>
  <c r="O160" i="53" a="1"/>
  <c r="O160" i="53" s="1"/>
  <c r="G143" i="53" a="1"/>
  <c r="G143" i="53" s="1"/>
  <c r="K143" i="53" a="1"/>
  <c r="K143" i="53" s="1"/>
  <c r="F143" i="53" a="1"/>
  <c r="F143" i="53" s="1"/>
  <c r="O143" i="53" a="1"/>
  <c r="O143" i="53" s="1"/>
  <c r="C126" i="53" a="1"/>
  <c r="C126" i="53" s="1"/>
  <c r="G126" i="53" a="1"/>
  <c r="G126" i="53" s="1"/>
  <c r="K126" i="53" a="1"/>
  <c r="K126" i="53" s="1"/>
  <c r="E160" i="53" a="1"/>
  <c r="E160" i="53" s="1"/>
  <c r="I160" i="53" a="1"/>
  <c r="I160" i="53" s="1"/>
  <c r="O126" i="53" a="1"/>
  <c r="O126" i="53" s="1"/>
  <c r="B160" i="53" a="1"/>
  <c r="B160" i="53" s="1"/>
  <c r="H143" i="53" a="1"/>
  <c r="H143" i="53" s="1"/>
  <c r="L143" i="53" a="1"/>
  <c r="L143" i="53" s="1"/>
  <c r="P143" i="53" a="1"/>
  <c r="P143" i="53" s="1"/>
  <c r="D126" i="53" a="1"/>
  <c r="D126" i="53" s="1"/>
  <c r="H126" i="53" a="1"/>
  <c r="H126" i="53" s="1"/>
  <c r="L126" i="53" a="1"/>
  <c r="L126" i="53" s="1"/>
  <c r="P126" i="53" a="1"/>
  <c r="P126" i="53" s="1"/>
  <c r="E7" i="54" a="1"/>
  <c r="E7" i="54" s="1"/>
  <c r="H7" i="54" s="1"/>
  <c r="D160" i="53" a="1"/>
  <c r="D160" i="53" s="1"/>
  <c r="H160" i="53" a="1"/>
  <c r="H160" i="53" s="1"/>
  <c r="L160" i="53" a="1"/>
  <c r="L160" i="53" s="1"/>
  <c r="P160" i="53" a="1"/>
  <c r="P160" i="53" s="1"/>
  <c r="C143" i="53" a="1"/>
  <c r="C143" i="53" s="1"/>
  <c r="D143" i="53" a="1"/>
  <c r="D143" i="53" s="1"/>
  <c r="J143" i="53" a="1"/>
  <c r="J143" i="53" s="1"/>
  <c r="N143" i="53" a="1"/>
  <c r="N143" i="53" s="1"/>
  <c r="B143" i="53" a="1"/>
  <c r="B143" i="53" s="1"/>
  <c r="F126" i="53" a="1"/>
  <c r="F126" i="53" s="1"/>
  <c r="J126" i="53" a="1"/>
  <c r="J126" i="53" s="1"/>
  <c r="N126" i="53" a="1"/>
  <c r="N126" i="53" s="1"/>
  <c r="F160" i="53" a="1"/>
  <c r="F160" i="53" s="1"/>
  <c r="J160" i="53" a="1"/>
  <c r="J160" i="53" s="1"/>
  <c r="N160" i="53" a="1"/>
  <c r="N160" i="53" s="1"/>
  <c r="Q160" i="53" a="1"/>
  <c r="Q160" i="53" s="1"/>
  <c r="E143" i="53" a="1"/>
  <c r="E143" i="53" s="1"/>
  <c r="I143" i="53" a="1"/>
  <c r="I143" i="53" s="1"/>
  <c r="M143" i="53" a="1"/>
  <c r="M143" i="53" s="1"/>
  <c r="Q143" i="53" a="1"/>
  <c r="Q143" i="53" s="1"/>
  <c r="E126" i="53" a="1"/>
  <c r="E126" i="53" s="1"/>
  <c r="I126" i="53" a="1"/>
  <c r="I126" i="53" s="1"/>
  <c r="M126" i="53" a="1"/>
  <c r="M126" i="53" s="1"/>
  <c r="G24" i="53" a="1"/>
  <c r="G24" i="53" s="1"/>
  <c r="G119" i="55" s="1"/>
  <c r="H24" i="53" a="1"/>
  <c r="H24" i="53" s="1"/>
  <c r="H119" i="55" s="1"/>
  <c r="I24" i="53" a="1"/>
  <c r="I24" i="53" s="1"/>
  <c r="I119" i="55" s="1"/>
  <c r="J24" i="53" a="1"/>
  <c r="J24" i="53" s="1"/>
  <c r="J119" i="55" s="1"/>
  <c r="K24" i="53" a="1"/>
  <c r="K24" i="53" s="1"/>
  <c r="K119" i="55" s="1"/>
  <c r="L24" i="53" a="1"/>
  <c r="L24" i="53" s="1"/>
  <c r="L119" i="55" s="1"/>
  <c r="N24" i="53" a="1"/>
  <c r="N24" i="53" s="1"/>
  <c r="N119" i="55" s="1"/>
  <c r="O24" i="53" a="1"/>
  <c r="O24" i="53" s="1"/>
  <c r="O119" i="55" s="1"/>
  <c r="P24" i="53" a="1"/>
  <c r="P24" i="53" s="1"/>
  <c r="P119" i="55" s="1"/>
  <c r="Q24" i="53" a="1"/>
  <c r="Q24" i="53" s="1"/>
  <c r="Q119" i="55" s="1"/>
  <c r="M24" i="53" a="1"/>
  <c r="M24" i="53" s="1"/>
  <c r="M119" i="55" s="1"/>
  <c r="F24" i="53" a="1"/>
  <c r="F24" i="53" s="1"/>
  <c r="F119" i="55" s="1"/>
  <c r="C24" i="53" a="1"/>
  <c r="C24" i="53" s="1"/>
  <c r="C119" i="55" s="1"/>
  <c r="Q140" i="53" a="1"/>
  <c r="Q140" i="53" s="1"/>
  <c r="B126" i="53" a="1"/>
  <c r="B126" i="53" s="1"/>
  <c r="C109" i="53" a="1"/>
  <c r="C109" i="53" s="1"/>
  <c r="D109" i="53" a="1"/>
  <c r="D109" i="53" s="1"/>
  <c r="E109" i="53" a="1"/>
  <c r="E109" i="53" s="1"/>
  <c r="F109" i="53" a="1"/>
  <c r="F109" i="53" s="1"/>
  <c r="G109" i="53" a="1"/>
  <c r="G109" i="53" s="1"/>
  <c r="H109" i="53" a="1"/>
  <c r="H109" i="53" s="1"/>
  <c r="I109" i="53" a="1"/>
  <c r="I109" i="53" s="1"/>
  <c r="J109" i="53" a="1"/>
  <c r="J109" i="53" s="1"/>
  <c r="K109" i="53" a="1"/>
  <c r="K109" i="53" s="1"/>
  <c r="L109" i="53" a="1"/>
  <c r="L109" i="53" s="1"/>
  <c r="M109" i="53" a="1"/>
  <c r="M109" i="53" s="1"/>
  <c r="N109" i="53" a="1"/>
  <c r="N109" i="53" s="1"/>
  <c r="O109" i="53" a="1"/>
  <c r="O109" i="53" s="1"/>
  <c r="P109" i="53" a="1"/>
  <c r="P109" i="53" s="1"/>
  <c r="Q109" i="53" a="1"/>
  <c r="Q109" i="53" s="1"/>
  <c r="B109" i="53" a="1"/>
  <c r="B109" i="53" s="1"/>
  <c r="C70" i="53" a="1"/>
  <c r="C70" i="53" s="1"/>
  <c r="D70" i="53" a="1"/>
  <c r="D70" i="53" s="1"/>
  <c r="E70" i="53" a="1"/>
  <c r="E70" i="53" s="1"/>
  <c r="F70" i="53" a="1"/>
  <c r="F70" i="53" s="1"/>
  <c r="G70" i="53" a="1"/>
  <c r="G70" i="53" s="1"/>
  <c r="H70" i="53" a="1"/>
  <c r="H70" i="53" s="1"/>
  <c r="I70" i="53" a="1"/>
  <c r="I70" i="53" s="1"/>
  <c r="J70" i="53" a="1"/>
  <c r="J70" i="53" s="1"/>
  <c r="K70" i="53" a="1"/>
  <c r="K70" i="53" s="1"/>
  <c r="L70" i="53" a="1"/>
  <c r="L70" i="53" s="1"/>
  <c r="M70" i="53" a="1"/>
  <c r="M70" i="53" s="1"/>
  <c r="N70" i="53" a="1"/>
  <c r="N70" i="53" s="1"/>
  <c r="O70" i="53" a="1"/>
  <c r="O70" i="53" s="1"/>
  <c r="P70" i="53" a="1"/>
  <c r="P70" i="53" s="1"/>
  <c r="Q70" i="53" a="1"/>
  <c r="Q70" i="53" s="1"/>
  <c r="C30" i="53" a="1"/>
  <c r="C30" i="53" s="1"/>
  <c r="D30" i="53" a="1"/>
  <c r="D30" i="53" s="1"/>
  <c r="E30" i="53" a="1"/>
  <c r="E30" i="53" s="1"/>
  <c r="F30" i="53" a="1"/>
  <c r="F30" i="53" s="1"/>
  <c r="G30" i="53" a="1"/>
  <c r="G30" i="53" s="1"/>
  <c r="H30" i="53" a="1"/>
  <c r="H30" i="53" s="1"/>
  <c r="I30" i="53" a="1"/>
  <c r="I30" i="53" s="1"/>
  <c r="J30" i="53" a="1"/>
  <c r="J30" i="53" s="1"/>
  <c r="K30" i="53" a="1"/>
  <c r="K30" i="53" s="1"/>
  <c r="L30" i="53" a="1"/>
  <c r="L30" i="53" s="1"/>
  <c r="M30" i="53" a="1"/>
  <c r="M30" i="53" s="1"/>
  <c r="N30" i="53" a="1"/>
  <c r="N30" i="53" s="1"/>
  <c r="O30" i="53" a="1"/>
  <c r="O30" i="53" s="1"/>
  <c r="P30" i="53" a="1"/>
  <c r="P30" i="53" s="1"/>
  <c r="Q30" i="53" a="1"/>
  <c r="Q30" i="53" s="1"/>
  <c r="C10" i="53" a="1"/>
  <c r="C10" i="53" s="1"/>
  <c r="D10" i="53" a="1"/>
  <c r="D10" i="53" s="1"/>
  <c r="E10" i="53" a="1"/>
  <c r="E10" i="53" s="1"/>
  <c r="F10" i="53" a="1"/>
  <c r="F10" i="53" s="1"/>
  <c r="G10" i="53" a="1"/>
  <c r="G10" i="53" s="1"/>
  <c r="H10" i="53" a="1"/>
  <c r="H10" i="53" s="1"/>
  <c r="I10" i="53" a="1"/>
  <c r="I10" i="53" s="1"/>
  <c r="J10" i="53" a="1"/>
  <c r="J10" i="53" s="1"/>
  <c r="K10" i="53" a="1"/>
  <c r="K10" i="53" s="1"/>
  <c r="L10" i="53" a="1"/>
  <c r="L10" i="53" s="1"/>
  <c r="M10" i="53" a="1"/>
  <c r="M10" i="53" s="1"/>
  <c r="N10" i="53" a="1"/>
  <c r="N10" i="53" s="1"/>
  <c r="O10" i="53" a="1"/>
  <c r="O10" i="53" s="1"/>
  <c r="P10" i="53" a="1"/>
  <c r="P10" i="53" s="1"/>
  <c r="Q10" i="53" a="1"/>
  <c r="Q10" i="53" s="1"/>
  <c r="B70" i="53" a="1"/>
  <c r="B70" i="53" s="1"/>
  <c r="B30" i="53" a="1"/>
  <c r="B30" i="53" s="1"/>
  <c r="B10" i="53" a="1"/>
  <c r="B10" i="53" s="1"/>
  <c r="N140" i="53" a="1"/>
  <c r="N140" i="53" s="1"/>
  <c r="P140" i="53" a="1"/>
  <c r="P140" i="53" s="1"/>
  <c r="P145" i="53" s="1"/>
  <c r="O140" i="53" a="1"/>
  <c r="O140" i="53" s="1"/>
  <c r="F140" i="53" a="1"/>
  <c r="F140" i="53" s="1"/>
  <c r="M140" i="53" a="1"/>
  <c r="M140" i="53" s="1"/>
  <c r="L140" i="53" a="1"/>
  <c r="L140" i="53" s="1"/>
  <c r="K140" i="53" a="1"/>
  <c r="K140" i="53" s="1"/>
  <c r="J140" i="53" a="1"/>
  <c r="J140" i="53" s="1"/>
  <c r="I140" i="53" a="1"/>
  <c r="I140" i="53" s="1"/>
  <c r="H140" i="53" a="1"/>
  <c r="H140" i="53" s="1"/>
  <c r="G140" i="53" a="1"/>
  <c r="G140" i="53" s="1"/>
  <c r="B24" i="53" a="1"/>
  <c r="B24" i="53" s="1"/>
  <c r="E140" i="53" a="1"/>
  <c r="E140" i="53" s="1"/>
  <c r="D140" i="53" a="1"/>
  <c r="D140" i="53" s="1"/>
  <c r="C140" i="53" a="1"/>
  <c r="C140" i="53" s="1"/>
  <c r="B140" i="53" a="1"/>
  <c r="B140" i="53" s="1"/>
  <c r="Q123" i="53" a="1"/>
  <c r="Q123" i="53" s="1"/>
  <c r="Q128" i="53" s="1"/>
  <c r="P123" i="53" a="1"/>
  <c r="P123" i="53" s="1"/>
  <c r="O123" i="53" a="1"/>
  <c r="O123" i="53" s="1"/>
  <c r="N123" i="53" a="1"/>
  <c r="N123" i="53" s="1"/>
  <c r="M123" i="53" a="1"/>
  <c r="M123" i="53" s="1"/>
  <c r="L123" i="53" a="1"/>
  <c r="L123" i="53" s="1"/>
  <c r="K123" i="53" a="1"/>
  <c r="K123" i="53" s="1"/>
  <c r="J123" i="53" a="1"/>
  <c r="J123" i="53" s="1"/>
  <c r="I123" i="53" a="1"/>
  <c r="I123" i="53" s="1"/>
  <c r="H123" i="53" a="1"/>
  <c r="H123" i="53" s="1"/>
  <c r="G123" i="53" a="1"/>
  <c r="G123" i="53" s="1"/>
  <c r="F123" i="53" a="1"/>
  <c r="F123" i="53" s="1"/>
  <c r="E123" i="53" a="1"/>
  <c r="E123" i="53" s="1"/>
  <c r="D123" i="53" a="1"/>
  <c r="D123" i="53" s="1"/>
  <c r="C123" i="53" a="1"/>
  <c r="C123" i="53" s="1"/>
  <c r="B123" i="53" a="1"/>
  <c r="B123" i="53" s="1"/>
  <c r="Q64" i="53" a="1"/>
  <c r="Q64" i="53" s="1"/>
  <c r="P64" i="53" a="1"/>
  <c r="P64" i="53" s="1"/>
  <c r="O64" i="53" a="1"/>
  <c r="O64" i="53" s="1"/>
  <c r="N64" i="53" a="1"/>
  <c r="N64" i="53" s="1"/>
  <c r="M64" i="53" a="1"/>
  <c r="M64" i="53" s="1"/>
  <c r="L64" i="53" a="1"/>
  <c r="L64" i="53" s="1"/>
  <c r="K64" i="53" a="1"/>
  <c r="K64" i="53" s="1"/>
  <c r="J64" i="53" a="1"/>
  <c r="J64" i="53" s="1"/>
  <c r="I64" i="53" a="1"/>
  <c r="I64" i="53" s="1"/>
  <c r="H64" i="53" a="1"/>
  <c r="H64" i="53" s="1"/>
  <c r="G64" i="53" a="1"/>
  <c r="G64" i="53" s="1"/>
  <c r="F64" i="53" a="1"/>
  <c r="F64" i="53" s="1"/>
  <c r="E64" i="53" a="1"/>
  <c r="E64" i="53" s="1"/>
  <c r="D64" i="53" a="1"/>
  <c r="D64" i="53" s="1"/>
  <c r="C64" i="53" a="1"/>
  <c r="C64" i="53" s="1"/>
  <c r="B64" i="53" a="1"/>
  <c r="B64" i="53" s="1"/>
  <c r="E12" i="54" a="1"/>
  <c r="E12" i="54" s="1"/>
  <c r="H12" i="54" s="1"/>
  <c r="E11" i="54" a="1"/>
  <c r="E11" i="54" s="1"/>
  <c r="H11" i="54" s="1"/>
  <c r="E10" i="54" a="1"/>
  <c r="E10" i="54" s="1"/>
  <c r="E9" i="54" a="1"/>
  <c r="E9" i="54" s="1"/>
  <c r="H9" i="54" s="1"/>
  <c r="E8" i="54" a="1"/>
  <c r="E8" i="54" s="1"/>
  <c r="H8" i="54" s="1"/>
  <c r="E13" i="54" a="1"/>
  <c r="E13" i="54" s="1"/>
  <c r="H13" i="54" s="1"/>
  <c r="E14" i="54" a="1"/>
  <c r="E14" i="54" s="1"/>
  <c r="H14" i="54" s="1"/>
  <c r="Q157" i="53" a="1"/>
  <c r="Q157" i="53" s="1"/>
  <c r="P157" i="53" a="1"/>
  <c r="P157" i="53" s="1"/>
  <c r="O157" i="53" a="1"/>
  <c r="O157" i="53" s="1"/>
  <c r="N157" i="53" a="1"/>
  <c r="N157" i="53" s="1"/>
  <c r="M157" i="53" a="1"/>
  <c r="M157" i="53" s="1"/>
  <c r="M162" i="53" s="1"/>
  <c r="L157" i="53" a="1"/>
  <c r="L157" i="53" s="1"/>
  <c r="K157" i="53" a="1"/>
  <c r="K157" i="53" s="1"/>
  <c r="K162" i="53" s="1"/>
  <c r="J157" i="53" a="1"/>
  <c r="J157" i="53" s="1"/>
  <c r="I157" i="53" a="1"/>
  <c r="I157" i="53" s="1"/>
  <c r="H157" i="53" a="1"/>
  <c r="H157" i="53" s="1"/>
  <c r="G157" i="53" a="1"/>
  <c r="G157" i="53" s="1"/>
  <c r="F157" i="53" a="1"/>
  <c r="F157" i="53" s="1"/>
  <c r="E157" i="53" a="1"/>
  <c r="E157" i="53" s="1"/>
  <c r="D157" i="53" a="1"/>
  <c r="D157" i="53" s="1"/>
  <c r="C157" i="53" a="1"/>
  <c r="C157" i="53" s="1"/>
  <c r="B157" i="53" a="1"/>
  <c r="B157" i="53" s="1"/>
  <c r="Q106" i="53" a="1"/>
  <c r="Q106" i="53" s="1"/>
  <c r="P106" i="53" a="1"/>
  <c r="P106" i="53" s="1"/>
  <c r="O106" i="53" a="1"/>
  <c r="O106" i="53" s="1"/>
  <c r="N106" i="53" a="1"/>
  <c r="N106" i="53" s="1"/>
  <c r="M106" i="53" a="1"/>
  <c r="M106" i="53" s="1"/>
  <c r="L106" i="53" a="1"/>
  <c r="L106" i="53" s="1"/>
  <c r="K106" i="53" a="1"/>
  <c r="K106" i="53" s="1"/>
  <c r="J106" i="53" a="1"/>
  <c r="J106" i="53" s="1"/>
  <c r="I106" i="53" a="1"/>
  <c r="I106" i="53" s="1"/>
  <c r="H106" i="53" a="1"/>
  <c r="H106" i="53" s="1"/>
  <c r="G106" i="53" a="1"/>
  <c r="G106" i="53" s="1"/>
  <c r="F106" i="53" a="1"/>
  <c r="F106" i="53" s="1"/>
  <c r="E106" i="53" a="1"/>
  <c r="E106" i="53" s="1"/>
  <c r="D106" i="53" a="1"/>
  <c r="D106" i="53" s="1"/>
  <c r="C106" i="53" a="1"/>
  <c r="C106" i="53" s="1"/>
  <c r="B106" i="53" a="1"/>
  <c r="B106" i="53" s="1"/>
  <c r="Q7" i="53" a="1"/>
  <c r="Q7" i="53" s="1"/>
  <c r="P7" i="53" a="1"/>
  <c r="P7" i="53" s="1"/>
  <c r="O7" i="53" a="1"/>
  <c r="O7" i="53" s="1"/>
  <c r="N7" i="53" a="1"/>
  <c r="N7" i="53" s="1"/>
  <c r="M7" i="53" a="1"/>
  <c r="M7" i="53" s="1"/>
  <c r="L7" i="53" a="1"/>
  <c r="L7" i="53" s="1"/>
  <c r="K7" i="53" a="1"/>
  <c r="K7" i="53" s="1"/>
  <c r="J7" i="53" a="1"/>
  <c r="J7" i="53" s="1"/>
  <c r="I7" i="53" a="1"/>
  <c r="I7" i="53" s="1"/>
  <c r="H7" i="53" a="1"/>
  <c r="H7" i="53" s="1"/>
  <c r="G7" i="53" a="1"/>
  <c r="G7" i="53" s="1"/>
  <c r="F7" i="53" a="1"/>
  <c r="F7" i="53" s="1"/>
  <c r="E7" i="53" a="1"/>
  <c r="E7" i="53" s="1"/>
  <c r="D7" i="53" a="1"/>
  <c r="D7" i="53" s="1"/>
  <c r="C7" i="53" a="1"/>
  <c r="C7" i="53" s="1"/>
  <c r="N740" i="28"/>
  <c r="M740" i="28"/>
  <c r="P740" i="28" s="1"/>
  <c r="O741" i="28"/>
  <c r="C28" i="30" s="1"/>
  <c r="C30" i="47" a="1"/>
  <c r="C30" i="47" s="1"/>
  <c r="D30" i="47" a="1"/>
  <c r="D30" i="47" s="1"/>
  <c r="E30" i="47" a="1"/>
  <c r="E30" i="47" s="1"/>
  <c r="F30" i="47" a="1"/>
  <c r="F30" i="47" s="1"/>
  <c r="F10" i="48" s="1"/>
  <c r="G30" i="47" a="1"/>
  <c r="G30" i="47" s="1"/>
  <c r="H30" i="47" a="1"/>
  <c r="H30" i="47" s="1"/>
  <c r="I30" i="47" a="1"/>
  <c r="I30" i="47" s="1"/>
  <c r="J30" i="47" a="1"/>
  <c r="J30" i="47" s="1"/>
  <c r="K30" i="47" a="1"/>
  <c r="K30" i="47" s="1"/>
  <c r="L30" i="47" a="1"/>
  <c r="L30" i="47" s="1"/>
  <c r="M30" i="47" a="1"/>
  <c r="M30" i="47" s="1"/>
  <c r="N30" i="47" a="1"/>
  <c r="N30" i="47" s="1"/>
  <c r="O30" i="47" a="1"/>
  <c r="O30" i="47" s="1"/>
  <c r="P30" i="47" a="1"/>
  <c r="P30" i="47" s="1"/>
  <c r="Q30" i="47" a="1"/>
  <c r="Q30" i="47" s="1"/>
  <c r="CU16" i="50"/>
  <c r="CU30" i="50"/>
  <c r="B7" i="49" a="1"/>
  <c r="B7" i="49" s="1"/>
  <c r="B22" i="50" a="1"/>
  <c r="B22" i="50" s="1"/>
  <c r="B17" i="50" a="1"/>
  <c r="B17" i="50" s="1"/>
  <c r="B12" i="50" a="1"/>
  <c r="B12" i="50" s="1"/>
  <c r="B7" i="50" a="1"/>
  <c r="B7" i="50" s="1"/>
  <c r="C22" i="49" a="1"/>
  <c r="C22" i="49" s="1"/>
  <c r="D22" i="49" a="1"/>
  <c r="D22" i="49" s="1"/>
  <c r="E22" i="49" a="1"/>
  <c r="E22" i="49" s="1"/>
  <c r="G22" i="49" a="1"/>
  <c r="G22" i="49" s="1"/>
  <c r="B22" i="49" a="1"/>
  <c r="B22" i="49" s="1"/>
  <c r="C17" i="49" a="1"/>
  <c r="C17" i="49" s="1"/>
  <c r="C7" i="51" s="1"/>
  <c r="D17" i="49" a="1"/>
  <c r="D17" i="49" s="1"/>
  <c r="E17" i="49" a="1"/>
  <c r="E17" i="49" s="1"/>
  <c r="E7" i="51" s="1"/>
  <c r="G17" i="49" a="1"/>
  <c r="G17" i="49" s="1"/>
  <c r="G7" i="51" s="1"/>
  <c r="B17" i="49" a="1"/>
  <c r="B17" i="49" s="1"/>
  <c r="C12" i="49" a="1"/>
  <c r="C12" i="49" s="1"/>
  <c r="D12" i="49" a="1"/>
  <c r="D12" i="49" s="1"/>
  <c r="E12" i="49" a="1"/>
  <c r="E12" i="49" s="1"/>
  <c r="F12" i="49" a="1"/>
  <c r="F12" i="49" s="1"/>
  <c r="G12" i="49" a="1"/>
  <c r="G12" i="49" s="1"/>
  <c r="G6" i="51" s="1"/>
  <c r="B12" i="49" a="1"/>
  <c r="B12" i="49" s="1"/>
  <c r="CU21" i="50"/>
  <c r="CU33" i="50"/>
  <c r="M6" i="28"/>
  <c r="N6" i="28"/>
  <c r="M7" i="28"/>
  <c r="N7" i="28"/>
  <c r="M8" i="28"/>
  <c r="N8" i="28"/>
  <c r="M9" i="28"/>
  <c r="N9" i="28"/>
  <c r="M10" i="28"/>
  <c r="N10" i="28"/>
  <c r="M13" i="28"/>
  <c r="N13" i="28"/>
  <c r="M14" i="28"/>
  <c r="N14" i="28"/>
  <c r="M15" i="28"/>
  <c r="N15" i="28"/>
  <c r="M16" i="28"/>
  <c r="N16" i="28"/>
  <c r="M17" i="28"/>
  <c r="N17" i="28"/>
  <c r="M18" i="28"/>
  <c r="N18" i="28"/>
  <c r="M20" i="28"/>
  <c r="N20" i="28"/>
  <c r="M21" i="28"/>
  <c r="N21" i="28"/>
  <c r="M36" i="28"/>
  <c r="N36" i="28"/>
  <c r="M37" i="28"/>
  <c r="N37" i="28"/>
  <c r="M38" i="28"/>
  <c r="N38" i="28"/>
  <c r="M209" i="28"/>
  <c r="N209" i="28"/>
  <c r="M210" i="28"/>
  <c r="N210" i="28"/>
  <c r="M211" i="28"/>
  <c r="N211" i="28"/>
  <c r="M212" i="28"/>
  <c r="N212" i="28"/>
  <c r="M213" i="28"/>
  <c r="N213" i="28"/>
  <c r="M214" i="28"/>
  <c r="N214" i="28"/>
  <c r="M215" i="28"/>
  <c r="N215" i="28"/>
  <c r="M216" i="28"/>
  <c r="N216" i="28"/>
  <c r="M217" i="28"/>
  <c r="N217" i="28"/>
  <c r="M218" i="28"/>
  <c r="N218" i="28"/>
  <c r="M219" i="28"/>
  <c r="N219" i="28"/>
  <c r="M220" i="28"/>
  <c r="N220" i="28"/>
  <c r="M221" i="28"/>
  <c r="N221" i="28"/>
  <c r="M222" i="28"/>
  <c r="N222" i="28"/>
  <c r="M223" i="28"/>
  <c r="N223" i="28"/>
  <c r="M224" i="28"/>
  <c r="N224" i="28"/>
  <c r="M225" i="28"/>
  <c r="N225" i="28"/>
  <c r="M226" i="28"/>
  <c r="N226" i="28"/>
  <c r="M227" i="28"/>
  <c r="N227" i="28"/>
  <c r="M228" i="28"/>
  <c r="N228" i="28"/>
  <c r="M229" i="28"/>
  <c r="N229" i="28"/>
  <c r="M230" i="28"/>
  <c r="N230" i="28"/>
  <c r="M231" i="28"/>
  <c r="N231" i="28"/>
  <c r="M232" i="28"/>
  <c r="N232" i="28"/>
  <c r="M233" i="28"/>
  <c r="N233" i="28"/>
  <c r="M234" i="28"/>
  <c r="N234" i="28"/>
  <c r="M235" i="28"/>
  <c r="N235" i="28"/>
  <c r="M236" i="28"/>
  <c r="N236" i="28"/>
  <c r="M237" i="28"/>
  <c r="N237" i="28"/>
  <c r="M238" i="28"/>
  <c r="N238" i="28"/>
  <c r="M239" i="28"/>
  <c r="N239" i="28"/>
  <c r="M118" i="28"/>
  <c r="N118" i="28"/>
  <c r="M119" i="28"/>
  <c r="N119" i="28"/>
  <c r="M120" i="28"/>
  <c r="N120" i="28"/>
  <c r="M121" i="28"/>
  <c r="N121" i="28"/>
  <c r="M122" i="28"/>
  <c r="N122" i="28"/>
  <c r="M123" i="28"/>
  <c r="N123" i="28"/>
  <c r="M124" i="28"/>
  <c r="N124" i="28"/>
  <c r="M125" i="28"/>
  <c r="N125" i="28"/>
  <c r="M126" i="28"/>
  <c r="N126" i="28"/>
  <c r="M127" i="28"/>
  <c r="N127" i="28"/>
  <c r="M128" i="28"/>
  <c r="N128" i="28"/>
  <c r="M129" i="28"/>
  <c r="N129" i="28"/>
  <c r="M130" i="28"/>
  <c r="N130" i="28"/>
  <c r="M131" i="28"/>
  <c r="N131" i="28"/>
  <c r="M132" i="28"/>
  <c r="N132" i="28"/>
  <c r="M133" i="28"/>
  <c r="N133" i="28"/>
  <c r="M134" i="28"/>
  <c r="N134" i="28"/>
  <c r="M135" i="28"/>
  <c r="N135" i="28"/>
  <c r="M136" i="28"/>
  <c r="N136" i="28"/>
  <c r="M11" i="28"/>
  <c r="N11" i="28"/>
  <c r="P11" i="28" s="1"/>
  <c r="M12" i="28"/>
  <c r="N12" i="28"/>
  <c r="P12" i="28" s="1"/>
  <c r="M19" i="28"/>
  <c r="N19" i="28"/>
  <c r="P19" i="28" s="1"/>
  <c r="M22" i="28"/>
  <c r="N22" i="28"/>
  <c r="M23" i="28"/>
  <c r="N23" i="28"/>
  <c r="P23" i="28" s="1"/>
  <c r="M24" i="28"/>
  <c r="N24" i="28"/>
  <c r="P24" i="28" s="1"/>
  <c r="M25" i="28"/>
  <c r="N25" i="28"/>
  <c r="M26" i="28"/>
  <c r="N26" i="28"/>
  <c r="P26" i="28" s="1"/>
  <c r="M27" i="28"/>
  <c r="N27" i="28"/>
  <c r="P27" i="28" s="1"/>
  <c r="M28" i="28"/>
  <c r="N28" i="28"/>
  <c r="P28" i="28" s="1"/>
  <c r="M29" i="28"/>
  <c r="N29" i="28"/>
  <c r="P29" i="28" s="1"/>
  <c r="M30" i="28"/>
  <c r="N30" i="28"/>
  <c r="P30" i="28" s="1"/>
  <c r="M31" i="28"/>
  <c r="N31" i="28"/>
  <c r="P31" i="28" s="1"/>
  <c r="M32" i="28"/>
  <c r="N32" i="28"/>
  <c r="P32" i="28" s="1"/>
  <c r="M33" i="28"/>
  <c r="N33" i="28"/>
  <c r="P33" i="28" s="1"/>
  <c r="M34" i="28"/>
  <c r="N34" i="28"/>
  <c r="M35" i="28"/>
  <c r="N35" i="28"/>
  <c r="P35" i="28" s="1"/>
  <c r="M39" i="28"/>
  <c r="N39" i="28"/>
  <c r="P39" i="28" s="1"/>
  <c r="M40" i="28"/>
  <c r="N40" i="28"/>
  <c r="P40" i="28" s="1"/>
  <c r="M41" i="28"/>
  <c r="N41" i="28"/>
  <c r="P41" i="28" s="1"/>
  <c r="M42" i="28"/>
  <c r="N42" i="28"/>
  <c r="P42" i="28" s="1"/>
  <c r="M43" i="28"/>
  <c r="N43" i="28"/>
  <c r="P43" i="28" s="1"/>
  <c r="M44" i="28"/>
  <c r="N44" i="28"/>
  <c r="P44" i="28" s="1"/>
  <c r="M45" i="28"/>
  <c r="N45" i="28"/>
  <c r="P45" i="28" s="1"/>
  <c r="M46" i="28"/>
  <c r="N46" i="28"/>
  <c r="P46" i="28" s="1"/>
  <c r="M47" i="28"/>
  <c r="N47" i="28"/>
  <c r="P47" i="28" s="1"/>
  <c r="M48" i="28"/>
  <c r="N48" i="28"/>
  <c r="P48" i="28" s="1"/>
  <c r="M49" i="28"/>
  <c r="N49" i="28"/>
  <c r="P49" i="28" s="1"/>
  <c r="M50" i="28"/>
  <c r="N50" i="28"/>
  <c r="M51" i="28"/>
  <c r="N51" i="28"/>
  <c r="P51" i="28" s="1"/>
  <c r="M52" i="28"/>
  <c r="N52" i="28"/>
  <c r="M53" i="28"/>
  <c r="N53" i="28"/>
  <c r="P53" i="28" s="1"/>
  <c r="M54" i="28"/>
  <c r="N54" i="28"/>
  <c r="P54" i="28" s="1"/>
  <c r="M55" i="28"/>
  <c r="N55" i="28"/>
  <c r="P55" i="28" s="1"/>
  <c r="M56" i="28"/>
  <c r="N56" i="28"/>
  <c r="P56" i="28" s="1"/>
  <c r="M57" i="28"/>
  <c r="N57" i="28"/>
  <c r="P57" i="28" s="1"/>
  <c r="M58" i="28"/>
  <c r="N58" i="28"/>
  <c r="P58" i="28" s="1"/>
  <c r="M59" i="28"/>
  <c r="N59" i="28"/>
  <c r="M60" i="28"/>
  <c r="N60" i="28"/>
  <c r="P60" i="28" s="1"/>
  <c r="M61" i="28"/>
  <c r="N61" i="28"/>
  <c r="P61" i="28" s="1"/>
  <c r="M62" i="28"/>
  <c r="N62" i="28"/>
  <c r="P62" i="28" s="1"/>
  <c r="M63" i="28"/>
  <c r="N63" i="28"/>
  <c r="P63" i="28" s="1"/>
  <c r="M64" i="28"/>
  <c r="N64" i="28"/>
  <c r="P64" i="28" s="1"/>
  <c r="M65" i="28"/>
  <c r="N65" i="28"/>
  <c r="P65" i="28" s="1"/>
  <c r="M66" i="28"/>
  <c r="N66" i="28"/>
  <c r="P66" i="28" s="1"/>
  <c r="M67" i="28"/>
  <c r="N67" i="28"/>
  <c r="P67" i="28" s="1"/>
  <c r="M68" i="28"/>
  <c r="N68" i="28"/>
  <c r="P68" i="28" s="1"/>
  <c r="M69" i="28"/>
  <c r="N69" i="28"/>
  <c r="P69" i="28" s="1"/>
  <c r="M70" i="28"/>
  <c r="N70" i="28"/>
  <c r="P70" i="28" s="1"/>
  <c r="M71" i="28"/>
  <c r="N71" i="28"/>
  <c r="P71" i="28" s="1"/>
  <c r="M72" i="28"/>
  <c r="N72" i="28"/>
  <c r="P72" i="28" s="1"/>
  <c r="M73" i="28"/>
  <c r="N73" i="28"/>
  <c r="P73" i="28" s="1"/>
  <c r="M74" i="28"/>
  <c r="N74" i="28"/>
  <c r="P74" i="28" s="1"/>
  <c r="M75" i="28"/>
  <c r="N75" i="28"/>
  <c r="M76" i="28"/>
  <c r="N76" i="28"/>
  <c r="P76" i="28" s="1"/>
  <c r="M77" i="28"/>
  <c r="N77" i="28"/>
  <c r="P77" i="28" s="1"/>
  <c r="M78" i="28"/>
  <c r="N78" i="28"/>
  <c r="P78" i="28" s="1"/>
  <c r="M79" i="28"/>
  <c r="N79" i="28"/>
  <c r="P79" i="28" s="1"/>
  <c r="M80" i="28"/>
  <c r="N80" i="28"/>
  <c r="P80" i="28" s="1"/>
  <c r="M81" i="28"/>
  <c r="N81" i="28"/>
  <c r="P81" i="28" s="1"/>
  <c r="M82" i="28"/>
  <c r="N82" i="28"/>
  <c r="P82" i="28" s="1"/>
  <c r="M83" i="28"/>
  <c r="N83" i="28"/>
  <c r="M84" i="28"/>
  <c r="N84" i="28"/>
  <c r="P84" i="28" s="1"/>
  <c r="M85" i="28"/>
  <c r="N85" i="28"/>
  <c r="P85" i="28" s="1"/>
  <c r="M86" i="28"/>
  <c r="N86" i="28"/>
  <c r="P86" i="28" s="1"/>
  <c r="M87" i="28"/>
  <c r="N87" i="28"/>
  <c r="P87" i="28" s="1"/>
  <c r="M88" i="28"/>
  <c r="N88" i="28"/>
  <c r="P88" i="28" s="1"/>
  <c r="M89" i="28"/>
  <c r="N89" i="28"/>
  <c r="P89" i="28" s="1"/>
  <c r="M90" i="28"/>
  <c r="N90" i="28"/>
  <c r="M91" i="28"/>
  <c r="N91" i="28"/>
  <c r="M92" i="28"/>
  <c r="N92" i="28"/>
  <c r="P92" i="28" s="1"/>
  <c r="M93" i="28"/>
  <c r="N93" i="28"/>
  <c r="P93" i="28" s="1"/>
  <c r="M94" i="28"/>
  <c r="N94" i="28"/>
  <c r="P94" i="28" s="1"/>
  <c r="M95" i="28"/>
  <c r="N95" i="28"/>
  <c r="P95" i="28" s="1"/>
  <c r="M96" i="28"/>
  <c r="N96" i="28"/>
  <c r="P96" i="28" s="1"/>
  <c r="M97" i="28"/>
  <c r="N97" i="28"/>
  <c r="P97" i="28" s="1"/>
  <c r="M98" i="28"/>
  <c r="N98" i="28"/>
  <c r="P98" i="28" s="1"/>
  <c r="M99" i="28"/>
  <c r="N99" i="28"/>
  <c r="P99" i="28" s="1"/>
  <c r="M100" i="28"/>
  <c r="N100" i="28"/>
  <c r="P100" i="28" s="1"/>
  <c r="M101" i="28"/>
  <c r="N101" i="28"/>
  <c r="P101" i="28" s="1"/>
  <c r="M102" i="28"/>
  <c r="N102" i="28"/>
  <c r="P102" i="28" s="1"/>
  <c r="M103" i="28"/>
  <c r="N103" i="28"/>
  <c r="P103" i="28" s="1"/>
  <c r="M104" i="28"/>
  <c r="N104" i="28"/>
  <c r="P104" i="28" s="1"/>
  <c r="M105" i="28"/>
  <c r="N105" i="28"/>
  <c r="P105" i="28" s="1"/>
  <c r="M106" i="28"/>
  <c r="N106" i="28"/>
  <c r="P106" i="28" s="1"/>
  <c r="M107" i="28"/>
  <c r="N107" i="28"/>
  <c r="M108" i="28"/>
  <c r="N108" i="28"/>
  <c r="P108" i="28" s="1"/>
  <c r="M109" i="28"/>
  <c r="N109" i="28"/>
  <c r="P109" i="28" s="1"/>
  <c r="M110" i="28"/>
  <c r="N110" i="28"/>
  <c r="P110" i="28" s="1"/>
  <c r="M111" i="28"/>
  <c r="N111" i="28"/>
  <c r="P111" i="28" s="1"/>
  <c r="M112" i="28"/>
  <c r="N112" i="28"/>
  <c r="P112" i="28" s="1"/>
  <c r="M113" i="28"/>
  <c r="N113" i="28"/>
  <c r="P113" i="28" s="1"/>
  <c r="M114" i="28"/>
  <c r="N114" i="28"/>
  <c r="P114" i="28" s="1"/>
  <c r="M115" i="28"/>
  <c r="N115" i="28"/>
  <c r="P115" i="28" s="1"/>
  <c r="M116" i="28"/>
  <c r="N116" i="28"/>
  <c r="P116" i="28" s="1"/>
  <c r="M117" i="28"/>
  <c r="N117" i="28"/>
  <c r="P117" i="28" s="1"/>
  <c r="M137" i="28"/>
  <c r="N137" i="28"/>
  <c r="P137" i="28" s="1"/>
  <c r="M138" i="28"/>
  <c r="N138" i="28"/>
  <c r="P138" i="28" s="1"/>
  <c r="M139" i="28"/>
  <c r="N139" i="28"/>
  <c r="P139" i="28" s="1"/>
  <c r="M140" i="28"/>
  <c r="N140" i="28"/>
  <c r="P140" i="28" s="1"/>
  <c r="M141" i="28"/>
  <c r="N141" i="28"/>
  <c r="P141" i="28" s="1"/>
  <c r="M142" i="28"/>
  <c r="N142" i="28"/>
  <c r="M143" i="28"/>
  <c r="N143" i="28"/>
  <c r="M144" i="28"/>
  <c r="N144" i="28"/>
  <c r="M145" i="28"/>
  <c r="N145" i="28"/>
  <c r="P145" i="28" s="1"/>
  <c r="M146" i="28"/>
  <c r="N146" i="28"/>
  <c r="P146" i="28" s="1"/>
  <c r="M147" i="28"/>
  <c r="N147" i="28"/>
  <c r="M148" i="28"/>
  <c r="N148" i="28"/>
  <c r="P148" i="28" s="1"/>
  <c r="M149" i="28"/>
  <c r="N149" i="28"/>
  <c r="P149" i="28" s="1"/>
  <c r="M150" i="28"/>
  <c r="N150" i="28"/>
  <c r="M151" i="28"/>
  <c r="N151" i="28"/>
  <c r="M152" i="28"/>
  <c r="N152" i="28"/>
  <c r="M153" i="28"/>
  <c r="N153" i="28"/>
  <c r="M154" i="28"/>
  <c r="N154" i="28"/>
  <c r="M155" i="28"/>
  <c r="N155" i="28"/>
  <c r="M156" i="28"/>
  <c r="N156" i="28"/>
  <c r="M157" i="28"/>
  <c r="N157" i="28"/>
  <c r="M158" i="28"/>
  <c r="N158" i="28"/>
  <c r="M159" i="28"/>
  <c r="N159" i="28"/>
  <c r="M160" i="28"/>
  <c r="N160" i="28"/>
  <c r="M161" i="28"/>
  <c r="N161" i="28"/>
  <c r="M162" i="28"/>
  <c r="N162" i="28"/>
  <c r="M163" i="28"/>
  <c r="N163" i="28"/>
  <c r="M164" i="28"/>
  <c r="N164" i="28"/>
  <c r="M165" i="28"/>
  <c r="N165" i="28"/>
  <c r="M166" i="28"/>
  <c r="N166" i="28"/>
  <c r="M167" i="28"/>
  <c r="N167" i="28"/>
  <c r="M168" i="28"/>
  <c r="N168" i="28"/>
  <c r="M169" i="28"/>
  <c r="N169" i="28"/>
  <c r="M170" i="28"/>
  <c r="N170" i="28"/>
  <c r="M171" i="28"/>
  <c r="N171" i="28"/>
  <c r="M172" i="28"/>
  <c r="N172" i="28"/>
  <c r="M173" i="28"/>
  <c r="N173" i="28"/>
  <c r="M174" i="28"/>
  <c r="N174" i="28"/>
  <c r="M175" i="28"/>
  <c r="N175" i="28"/>
  <c r="M176" i="28"/>
  <c r="N176" i="28"/>
  <c r="P176" i="28" s="1"/>
  <c r="M177" i="28"/>
  <c r="N177" i="28"/>
  <c r="P177" i="28" s="1"/>
  <c r="M178" i="28"/>
  <c r="N178" i="28"/>
  <c r="P178" i="28" s="1"/>
  <c r="M179" i="28"/>
  <c r="N179" i="28"/>
  <c r="P179" i="28" s="1"/>
  <c r="M180" i="28"/>
  <c r="N180" i="28"/>
  <c r="M181" i="28"/>
  <c r="N181" i="28"/>
  <c r="P181" i="28" s="1"/>
  <c r="M182" i="28"/>
  <c r="N182" i="28"/>
  <c r="P182" i="28" s="1"/>
  <c r="M183" i="28"/>
  <c r="N183" i="28"/>
  <c r="P183" i="28" s="1"/>
  <c r="M184" i="28"/>
  <c r="N184" i="28"/>
  <c r="P184" i="28" s="1"/>
  <c r="M185" i="28"/>
  <c r="N185" i="28"/>
  <c r="P185" i="28" s="1"/>
  <c r="M186" i="28"/>
  <c r="N186" i="28"/>
  <c r="P186" i="28" s="1"/>
  <c r="M187" i="28"/>
  <c r="N187" i="28"/>
  <c r="P187" i="28" s="1"/>
  <c r="M188" i="28"/>
  <c r="N188" i="28"/>
  <c r="P188" i="28" s="1"/>
  <c r="M189" i="28"/>
  <c r="N189" i="28"/>
  <c r="P189" i="28" s="1"/>
  <c r="M190" i="28"/>
  <c r="N190" i="28"/>
  <c r="P190" i="28" s="1"/>
  <c r="M191" i="28"/>
  <c r="N191" i="28"/>
  <c r="P191" i="28" s="1"/>
  <c r="M192" i="28"/>
  <c r="N192" i="28"/>
  <c r="P192" i="28" s="1"/>
  <c r="M193" i="28"/>
  <c r="N193" i="28"/>
  <c r="P193" i="28" s="1"/>
  <c r="M194" i="28"/>
  <c r="N194" i="28"/>
  <c r="P194" i="28" s="1"/>
  <c r="M195" i="28"/>
  <c r="N195" i="28"/>
  <c r="P195" i="28" s="1"/>
  <c r="M196" i="28"/>
  <c r="N196" i="28"/>
  <c r="P196" i="28" s="1"/>
  <c r="M197" i="28"/>
  <c r="N197" i="28"/>
  <c r="P197" i="28" s="1"/>
  <c r="M198" i="28"/>
  <c r="N198" i="28"/>
  <c r="M199" i="28"/>
  <c r="N199" i="28"/>
  <c r="P199" i="28" s="1"/>
  <c r="M200" i="28"/>
  <c r="N200" i="28"/>
  <c r="P200" i="28" s="1"/>
  <c r="M201" i="28"/>
  <c r="N201" i="28"/>
  <c r="P201" i="28" s="1"/>
  <c r="M202" i="28"/>
  <c r="N202" i="28"/>
  <c r="P202" i="28" s="1"/>
  <c r="M203" i="28"/>
  <c r="N203" i="28"/>
  <c r="P203" i="28" s="1"/>
  <c r="M204" i="28"/>
  <c r="N204" i="28"/>
  <c r="P204" i="28" s="1"/>
  <c r="M205" i="28"/>
  <c r="N205" i="28"/>
  <c r="P205" i="28" s="1"/>
  <c r="M206" i="28"/>
  <c r="N206" i="28"/>
  <c r="P206" i="28" s="1"/>
  <c r="M207" i="28"/>
  <c r="N207" i="28"/>
  <c r="P207" i="28" s="1"/>
  <c r="M240" i="28"/>
  <c r="N240" i="28"/>
  <c r="P240" i="28" s="1"/>
  <c r="M241" i="28"/>
  <c r="N241" i="28"/>
  <c r="M242" i="28"/>
  <c r="N242" i="28"/>
  <c r="P242" i="28" s="1"/>
  <c r="M243" i="28"/>
  <c r="N243" i="28"/>
  <c r="P243" i="28" s="1"/>
  <c r="M244" i="28"/>
  <c r="N244" i="28"/>
  <c r="P244" i="28" s="1"/>
  <c r="M245" i="28"/>
  <c r="N245" i="28"/>
  <c r="M247" i="28"/>
  <c r="N247" i="28"/>
  <c r="P247" i="28" s="1"/>
  <c r="M248" i="28"/>
  <c r="N248" i="28"/>
  <c r="M249" i="28"/>
  <c r="N249" i="28"/>
  <c r="P249" i="28" s="1"/>
  <c r="M250" i="28"/>
  <c r="N250" i="28"/>
  <c r="P250" i="28" s="1"/>
  <c r="M251" i="28"/>
  <c r="N251" i="28"/>
  <c r="P251" i="28" s="1"/>
  <c r="M252" i="28"/>
  <c r="N252" i="28"/>
  <c r="P252" i="28" s="1"/>
  <c r="M253" i="28"/>
  <c r="N253" i="28"/>
  <c r="P253" i="28" s="1"/>
  <c r="M254" i="28"/>
  <c r="N254" i="28"/>
  <c r="P254" i="28" s="1"/>
  <c r="M255" i="28"/>
  <c r="N255" i="28"/>
  <c r="P255" i="28" s="1"/>
  <c r="M256" i="28"/>
  <c r="N256" i="28"/>
  <c r="P256" i="28" s="1"/>
  <c r="M257" i="28"/>
  <c r="N257" i="28"/>
  <c r="M258" i="28"/>
  <c r="N258" i="28"/>
  <c r="M259" i="28"/>
  <c r="N259" i="28"/>
  <c r="M260" i="28"/>
  <c r="N260" i="28"/>
  <c r="P260" i="28" s="1"/>
  <c r="M261" i="28"/>
  <c r="N261" i="28"/>
  <c r="P261" i="28" s="1"/>
  <c r="M262" i="28"/>
  <c r="N262" i="28"/>
  <c r="P262" i="28" s="1"/>
  <c r="M263" i="28"/>
  <c r="N263" i="28"/>
  <c r="P263" i="28" s="1"/>
  <c r="M264" i="28"/>
  <c r="N264" i="28"/>
  <c r="P264" i="28" s="1"/>
  <c r="M265" i="28"/>
  <c r="N265" i="28"/>
  <c r="P265" i="28" s="1"/>
  <c r="M266" i="28"/>
  <c r="N266" i="28"/>
  <c r="P266" i="28" s="1"/>
  <c r="M267" i="28"/>
  <c r="N267" i="28"/>
  <c r="P267" i="28" s="1"/>
  <c r="M268" i="28"/>
  <c r="N268" i="28"/>
  <c r="P268" i="28" s="1"/>
  <c r="M269" i="28"/>
  <c r="N269" i="28"/>
  <c r="M270" i="28"/>
  <c r="N270" i="28"/>
  <c r="P270" i="28" s="1"/>
  <c r="M271" i="28"/>
  <c r="N271" i="28"/>
  <c r="P271" i="28" s="1"/>
  <c r="M272" i="28"/>
  <c r="N272" i="28"/>
  <c r="P272" i="28" s="1"/>
  <c r="M273" i="28"/>
  <c r="N273" i="28"/>
  <c r="M274" i="28"/>
  <c r="N274" i="28"/>
  <c r="M275" i="28"/>
  <c r="N275" i="28"/>
  <c r="P275" i="28" s="1"/>
  <c r="M276" i="28"/>
  <c r="N276" i="28"/>
  <c r="P276" i="28" s="1"/>
  <c r="M277" i="28"/>
  <c r="N277" i="28"/>
  <c r="P277" i="28" s="1"/>
  <c r="M278" i="28"/>
  <c r="N278" i="28"/>
  <c r="P278" i="28" s="1"/>
  <c r="M279" i="28"/>
  <c r="N279" i="28"/>
  <c r="P279" i="28" s="1"/>
  <c r="M280" i="28"/>
  <c r="N280" i="28"/>
  <c r="P280" i="28" s="1"/>
  <c r="M281" i="28"/>
  <c r="N281" i="28"/>
  <c r="M282" i="28"/>
  <c r="N282" i="28"/>
  <c r="P282" i="28" s="1"/>
  <c r="M5" i="28"/>
  <c r="N5" i="28"/>
  <c r="N283" i="28"/>
  <c r="M283" i="28"/>
  <c r="M284" i="28"/>
  <c r="N284" i="28"/>
  <c r="N285" i="28"/>
  <c r="M285" i="28"/>
  <c r="P285" i="28" s="1"/>
  <c r="M286" i="28"/>
  <c r="N286" i="28"/>
  <c r="M287" i="28"/>
  <c r="N287" i="28"/>
  <c r="M288" i="28"/>
  <c r="N288" i="28"/>
  <c r="M289" i="28"/>
  <c r="N289" i="28"/>
  <c r="N290" i="28"/>
  <c r="M290" i="28"/>
  <c r="N291" i="28"/>
  <c r="M291" i="28"/>
  <c r="P291" i="28" s="1"/>
  <c r="N292" i="28"/>
  <c r="M292" i="28"/>
  <c r="P292" i="28" s="1"/>
  <c r="M293" i="28"/>
  <c r="N293" i="28"/>
  <c r="N294" i="28"/>
  <c r="M294" i="28"/>
  <c r="P294" i="28" s="1"/>
  <c r="N295" i="28"/>
  <c r="M295" i="28"/>
  <c r="P295" i="28" s="1"/>
  <c r="M296" i="28"/>
  <c r="N296" i="28"/>
  <c r="N297" i="28"/>
  <c r="M297" i="28"/>
  <c r="P297" i="28" s="1"/>
  <c r="M298" i="28"/>
  <c r="N298" i="28"/>
  <c r="M299" i="28"/>
  <c r="N299" i="28"/>
  <c r="M300" i="28"/>
  <c r="N300" i="28"/>
  <c r="N301" i="28"/>
  <c r="M301" i="28"/>
  <c r="P301" i="28" s="1"/>
  <c r="N302" i="28"/>
  <c r="M302" i="28"/>
  <c r="P302" i="28" s="1"/>
  <c r="N303" i="28"/>
  <c r="M303" i="28"/>
  <c r="P303" i="28" s="1"/>
  <c r="N304" i="28"/>
  <c r="M304" i="28"/>
  <c r="M305" i="28"/>
  <c r="N305" i="28"/>
  <c r="N306" i="28"/>
  <c r="M306" i="28"/>
  <c r="P306" i="28" s="1"/>
  <c r="M307" i="28"/>
  <c r="N307" i="28"/>
  <c r="M308" i="28"/>
  <c r="N308" i="28"/>
  <c r="M309" i="28"/>
  <c r="N309" i="28"/>
  <c r="M310" i="28"/>
  <c r="N310" i="28"/>
  <c r="M311" i="28"/>
  <c r="N311" i="28"/>
  <c r="N312" i="28"/>
  <c r="M312" i="28"/>
  <c r="N313" i="28"/>
  <c r="M313" i="28"/>
  <c r="N314" i="28"/>
  <c r="M314" i="28"/>
  <c r="N315" i="28"/>
  <c r="M315" i="28"/>
  <c r="N316" i="28"/>
  <c r="M316" i="28"/>
  <c r="N317" i="28"/>
  <c r="M317" i="28"/>
  <c r="N318" i="28"/>
  <c r="M318" i="28"/>
  <c r="N319" i="28"/>
  <c r="M319" i="28"/>
  <c r="N320" i="28"/>
  <c r="M320" i="28"/>
  <c r="N321" i="28"/>
  <c r="M321" i="28"/>
  <c r="M322" i="28"/>
  <c r="N322" i="28"/>
  <c r="P322" i="28" s="1"/>
  <c r="N323" i="28"/>
  <c r="M323" i="28"/>
  <c r="N324" i="28"/>
  <c r="M324" i="28"/>
  <c r="M325" i="28"/>
  <c r="N325" i="28"/>
  <c r="P325" i="28" s="1"/>
  <c r="M326" i="28"/>
  <c r="N326" i="28"/>
  <c r="P326" i="28" s="1"/>
  <c r="M327" i="28"/>
  <c r="N327" i="28"/>
  <c r="P327" i="28" s="1"/>
  <c r="N328" i="28"/>
  <c r="M328" i="28"/>
  <c r="M329" i="28"/>
  <c r="N329" i="28"/>
  <c r="P329" i="28" s="1"/>
  <c r="M330" i="28"/>
  <c r="N330" i="28"/>
  <c r="P330" i="28" s="1"/>
  <c r="M331" i="28"/>
  <c r="N331" i="28"/>
  <c r="P331" i="28" s="1"/>
  <c r="M332" i="28"/>
  <c r="N332" i="28"/>
  <c r="M333" i="28"/>
  <c r="N333" i="28"/>
  <c r="P333" i="28" s="1"/>
  <c r="M334" i="28"/>
  <c r="N334" i="28"/>
  <c r="M335" i="28"/>
  <c r="N335" i="28"/>
  <c r="P335" i="28" s="1"/>
  <c r="M336" i="28"/>
  <c r="N336" i="28"/>
  <c r="P336" i="28" s="1"/>
  <c r="M337" i="28"/>
  <c r="N337" i="28"/>
  <c r="P337" i="28" s="1"/>
  <c r="N338" i="28"/>
  <c r="M338" i="28"/>
  <c r="M339" i="28"/>
  <c r="N339" i="28"/>
  <c r="P339" i="28" s="1"/>
  <c r="M340" i="28"/>
  <c r="N340" i="28"/>
  <c r="P340" i="28" s="1"/>
  <c r="M341" i="28"/>
  <c r="N341" i="28"/>
  <c r="P341" i="28" s="1"/>
  <c r="N342" i="28"/>
  <c r="M342" i="28"/>
  <c r="M343" i="28"/>
  <c r="N343" i="28"/>
  <c r="M344" i="28"/>
  <c r="N344" i="28"/>
  <c r="P344" i="28" s="1"/>
  <c r="N345" i="28"/>
  <c r="M345" i="28"/>
  <c r="N346" i="28"/>
  <c r="M346" i="28"/>
  <c r="N347" i="28"/>
  <c r="M347" i="28"/>
  <c r="N348" i="28"/>
  <c r="M348" i="28"/>
  <c r="N349" i="28"/>
  <c r="M349" i="28"/>
  <c r="N350" i="28"/>
  <c r="M350" i="28"/>
  <c r="N351" i="28"/>
  <c r="M351" i="28"/>
  <c r="N352" i="28"/>
  <c r="M352" i="28"/>
  <c r="M353" i="28"/>
  <c r="N353" i="28"/>
  <c r="P353" i="28" s="1"/>
  <c r="N354" i="28"/>
  <c r="M354" i="28"/>
  <c r="N355" i="28"/>
  <c r="M355" i="28"/>
  <c r="M356" i="28"/>
  <c r="N356" i="28"/>
  <c r="P356" i="28" s="1"/>
  <c r="N357" i="28"/>
  <c r="M357" i="28"/>
  <c r="M358" i="28"/>
  <c r="N358" i="28"/>
  <c r="P358" i="28" s="1"/>
  <c r="N359" i="28"/>
  <c r="M359" i="28"/>
  <c r="N360" i="28"/>
  <c r="M360" i="28"/>
  <c r="M361" i="28"/>
  <c r="N361" i="28"/>
  <c r="P361" i="28" s="1"/>
  <c r="M362" i="28"/>
  <c r="N362" i="28"/>
  <c r="P362" i="28" s="1"/>
  <c r="N363" i="28"/>
  <c r="M363" i="28"/>
  <c r="M364" i="28"/>
  <c r="N364" i="28"/>
  <c r="P364" i="28" s="1"/>
  <c r="N365" i="28"/>
  <c r="M365" i="28"/>
  <c r="N366" i="28"/>
  <c r="M366" i="28"/>
  <c r="N367" i="28"/>
  <c r="M367" i="28"/>
  <c r="N368" i="28"/>
  <c r="M368" i="28"/>
  <c r="N369" i="28"/>
  <c r="M369" i="28"/>
  <c r="N370" i="28"/>
  <c r="M370" i="28"/>
  <c r="N371" i="28"/>
  <c r="M371" i="28"/>
  <c r="N372" i="28"/>
  <c r="M372" i="28"/>
  <c r="M373" i="28"/>
  <c r="N373" i="28"/>
  <c r="P373" i="28" s="1"/>
  <c r="M374" i="28"/>
  <c r="N374" i="28"/>
  <c r="P374" i="28" s="1"/>
  <c r="M375" i="28"/>
  <c r="N375" i="28"/>
  <c r="P375" i="28" s="1"/>
  <c r="M376" i="28"/>
  <c r="N376" i="28"/>
  <c r="P376" i="28" s="1"/>
  <c r="M377" i="28"/>
  <c r="N377" i="28"/>
  <c r="P377" i="28" s="1"/>
  <c r="M378" i="28"/>
  <c r="N378" i="28"/>
  <c r="M379" i="28"/>
  <c r="N379" i="28"/>
  <c r="P379" i="28" s="1"/>
  <c r="M380" i="28"/>
  <c r="N380" i="28"/>
  <c r="P380" i="28" s="1"/>
  <c r="M381" i="28"/>
  <c r="N381" i="28"/>
  <c r="P381" i="28" s="1"/>
  <c r="M382" i="28"/>
  <c r="N382" i="28"/>
  <c r="P382" i="28" s="1"/>
  <c r="M383" i="28"/>
  <c r="N383" i="28"/>
  <c r="P383" i="28" s="1"/>
  <c r="M384" i="28"/>
  <c r="N384" i="28"/>
  <c r="P384" i="28" s="1"/>
  <c r="M385" i="28"/>
  <c r="N385" i="28"/>
  <c r="P385" i="28" s="1"/>
  <c r="M386" i="28"/>
  <c r="N386" i="28"/>
  <c r="M387" i="28"/>
  <c r="N387" i="28"/>
  <c r="P387" i="28" s="1"/>
  <c r="M388" i="28"/>
  <c r="N388" i="28"/>
  <c r="P388" i="28" s="1"/>
  <c r="M389" i="28"/>
  <c r="N389" i="28"/>
  <c r="P389" i="28" s="1"/>
  <c r="N390" i="28"/>
  <c r="M390" i="28"/>
  <c r="M391" i="28"/>
  <c r="N391" i="28"/>
  <c r="N392" i="28"/>
  <c r="M392" i="28"/>
  <c r="M393" i="28"/>
  <c r="N393" i="28"/>
  <c r="P393" i="28" s="1"/>
  <c r="N394" i="28"/>
  <c r="M394" i="28"/>
  <c r="N395" i="28"/>
  <c r="M395" i="28"/>
  <c r="N396" i="28"/>
  <c r="M396" i="28"/>
  <c r="N397" i="28"/>
  <c r="M397" i="28"/>
  <c r="N398" i="28"/>
  <c r="M398" i="28"/>
  <c r="M399" i="28"/>
  <c r="N399" i="28"/>
  <c r="P399" i="28" s="1"/>
  <c r="M400" i="28"/>
  <c r="N400" i="28"/>
  <c r="P400" i="28" s="1"/>
  <c r="M401" i="28"/>
  <c r="N401" i="28"/>
  <c r="P401" i="28" s="1"/>
  <c r="M402" i="28"/>
  <c r="N402" i="28"/>
  <c r="P402" i="28" s="1"/>
  <c r="M403" i="28"/>
  <c r="N403" i="28"/>
  <c r="P403" i="28" s="1"/>
  <c r="M404" i="28"/>
  <c r="N404" i="28"/>
  <c r="P404" i="28" s="1"/>
  <c r="N405" i="28"/>
  <c r="M405" i="28"/>
  <c r="N406" i="28"/>
  <c r="M406" i="28"/>
  <c r="N407" i="28"/>
  <c r="M407" i="28"/>
  <c r="M408" i="28"/>
  <c r="N408" i="28"/>
  <c r="P408" i="28" s="1"/>
  <c r="M409" i="28"/>
  <c r="N409" i="28"/>
  <c r="P409" i="28" s="1"/>
  <c r="M410" i="28"/>
  <c r="N410" i="28"/>
  <c r="M411" i="28"/>
  <c r="N411" i="28"/>
  <c r="M412" i="28"/>
  <c r="N412" i="28"/>
  <c r="M413" i="28"/>
  <c r="N413" i="28"/>
  <c r="P413" i="28" s="1"/>
  <c r="N414" i="28"/>
  <c r="M414" i="28"/>
  <c r="N415" i="28"/>
  <c r="M415" i="28"/>
  <c r="N416" i="28"/>
  <c r="M416" i="28"/>
  <c r="M417" i="28"/>
  <c r="N417" i="28"/>
  <c r="P417" i="28" s="1"/>
  <c r="N418" i="28"/>
  <c r="M418" i="28"/>
  <c r="M419" i="28"/>
  <c r="N419" i="28"/>
  <c r="P419" i="28" s="1"/>
  <c r="M420" i="28"/>
  <c r="N420" i="28"/>
  <c r="P420" i="28" s="1"/>
  <c r="N421" i="28"/>
  <c r="M421" i="28"/>
  <c r="N422" i="28"/>
  <c r="M422" i="28"/>
  <c r="N423" i="28"/>
  <c r="M423" i="28"/>
  <c r="N424" i="28"/>
  <c r="M424" i="28"/>
  <c r="M425" i="28"/>
  <c r="N425" i="28"/>
  <c r="P425" i="28" s="1"/>
  <c r="M426" i="28"/>
  <c r="N426" i="28"/>
  <c r="P426" i="28" s="1"/>
  <c r="N427" i="28"/>
  <c r="M427" i="28"/>
  <c r="M428" i="28"/>
  <c r="N428" i="28"/>
  <c r="P428" i="28" s="1"/>
  <c r="M429" i="28"/>
  <c r="N429" i="28"/>
  <c r="P429" i="28" s="1"/>
  <c r="N430" i="28"/>
  <c r="M430" i="28"/>
  <c r="N431" i="28"/>
  <c r="M431" i="28"/>
  <c r="N432" i="28"/>
  <c r="M432" i="28"/>
  <c r="N433" i="28"/>
  <c r="M433" i="28"/>
  <c r="N434" i="28"/>
  <c r="M434" i="28"/>
  <c r="N435" i="28"/>
  <c r="M435" i="28"/>
  <c r="N436" i="28"/>
  <c r="M436" i="28"/>
  <c r="N437" i="28"/>
  <c r="M437" i="28"/>
  <c r="N438" i="28"/>
  <c r="M438" i="28"/>
  <c r="N439" i="28"/>
  <c r="M439" i="28"/>
  <c r="N440" i="28"/>
  <c r="M440" i="28"/>
  <c r="N441" i="28"/>
  <c r="M441" i="28"/>
  <c r="N442" i="28"/>
  <c r="M442" i="28"/>
  <c r="N443" i="28"/>
  <c r="M443" i="28"/>
  <c r="N444" i="28"/>
  <c r="M444" i="28"/>
  <c r="N445" i="28"/>
  <c r="M445" i="28"/>
  <c r="N446" i="28"/>
  <c r="M446" i="28"/>
  <c r="N447" i="28"/>
  <c r="M447" i="28"/>
  <c r="N448" i="28"/>
  <c r="M448" i="28"/>
  <c r="N449" i="28"/>
  <c r="M449" i="28"/>
  <c r="N450" i="28"/>
  <c r="M450" i="28"/>
  <c r="N451" i="28"/>
  <c r="M451" i="28"/>
  <c r="N452" i="28"/>
  <c r="M452" i="28"/>
  <c r="N453" i="28"/>
  <c r="M453" i="28"/>
  <c r="N454" i="28"/>
  <c r="M454" i="28"/>
  <c r="M455" i="28"/>
  <c r="N455" i="28"/>
  <c r="P455" i="28" s="1"/>
  <c r="M456" i="28"/>
  <c r="N456" i="28"/>
  <c r="M457" i="28"/>
  <c r="N457" i="28"/>
  <c r="N458" i="28"/>
  <c r="M458" i="28"/>
  <c r="M459" i="28"/>
  <c r="N459" i="28"/>
  <c r="P459" i="28" s="1"/>
  <c r="M460" i="28"/>
  <c r="N460" i="28"/>
  <c r="P460" i="28" s="1"/>
  <c r="M461" i="28"/>
  <c r="N461" i="28"/>
  <c r="P461" i="28" s="1"/>
  <c r="M462" i="28"/>
  <c r="N462" i="28"/>
  <c r="P462" i="28" s="1"/>
  <c r="M463" i="28"/>
  <c r="N463" i="28"/>
  <c r="P463" i="28" s="1"/>
  <c r="N464" i="28"/>
  <c r="M464" i="28"/>
  <c r="N465" i="28"/>
  <c r="M465" i="28"/>
  <c r="N466" i="28"/>
  <c r="M466" i="28"/>
  <c r="N467" i="28"/>
  <c r="M467" i="28"/>
  <c r="N468" i="28"/>
  <c r="M468" i="28"/>
  <c r="N469" i="28"/>
  <c r="M469" i="28"/>
  <c r="N470" i="28"/>
  <c r="M470" i="28"/>
  <c r="N471" i="28"/>
  <c r="M471" i="28"/>
  <c r="N472" i="28"/>
  <c r="M472" i="28"/>
  <c r="N473" i="28"/>
  <c r="M473" i="28"/>
  <c r="N474" i="28"/>
  <c r="M474" i="28"/>
  <c r="P474" i="28" s="1"/>
  <c r="N475" i="28"/>
  <c r="M475" i="28"/>
  <c r="P475" i="28" s="1"/>
  <c r="N476" i="28"/>
  <c r="M476" i="28"/>
  <c r="P476" i="28" s="1"/>
  <c r="M477" i="28"/>
  <c r="N477" i="28"/>
  <c r="N478" i="28"/>
  <c r="M478" i="28"/>
  <c r="P478" i="28" s="1"/>
  <c r="N479" i="28"/>
  <c r="M479" i="28"/>
  <c r="P479" i="28" s="1"/>
  <c r="N480" i="28"/>
  <c r="M480" i="28"/>
  <c r="P480" i="28" s="1"/>
  <c r="N481" i="28"/>
  <c r="M481" i="28"/>
  <c r="P481" i="28" s="1"/>
  <c r="M482" i="28"/>
  <c r="N482" i="28"/>
  <c r="N483" i="28"/>
  <c r="M483" i="28"/>
  <c r="P483" i="28" s="1"/>
  <c r="N484" i="28"/>
  <c r="M484" i="28"/>
  <c r="P484" i="28" s="1"/>
  <c r="M485" i="28"/>
  <c r="N485" i="28"/>
  <c r="M486" i="28"/>
  <c r="N486" i="28"/>
  <c r="M487" i="28"/>
  <c r="N487" i="28"/>
  <c r="M488" i="28"/>
  <c r="N488" i="28"/>
  <c r="M489" i="28"/>
  <c r="N489" i="28"/>
  <c r="M490" i="28"/>
  <c r="N490" i="28"/>
  <c r="M491" i="28"/>
  <c r="N491" i="28"/>
  <c r="M492" i="28"/>
  <c r="N492" i="28"/>
  <c r="M493" i="28"/>
  <c r="N493" i="28"/>
  <c r="M494" i="28"/>
  <c r="N494" i="28"/>
  <c r="M495" i="28"/>
  <c r="N495" i="28"/>
  <c r="M496" i="28"/>
  <c r="N496" i="28"/>
  <c r="M497" i="28"/>
  <c r="N497" i="28"/>
  <c r="M498" i="28"/>
  <c r="N498" i="28"/>
  <c r="M499" i="28"/>
  <c r="N499" i="28"/>
  <c r="M500" i="28"/>
  <c r="N500" i="28"/>
  <c r="M501" i="28"/>
  <c r="N501" i="28"/>
  <c r="M502" i="28"/>
  <c r="N502" i="28"/>
  <c r="N503" i="28"/>
  <c r="M503" i="28"/>
  <c r="P503" i="28" s="1"/>
  <c r="M504" i="28"/>
  <c r="N504" i="28"/>
  <c r="M505" i="28"/>
  <c r="N505" i="28"/>
  <c r="M506" i="28"/>
  <c r="N506" i="28"/>
  <c r="M507" i="28"/>
  <c r="N507" i="28"/>
  <c r="M508" i="28"/>
  <c r="N508" i="28"/>
  <c r="M509" i="28"/>
  <c r="N509" i="28"/>
  <c r="M510" i="28"/>
  <c r="N510" i="28"/>
  <c r="M511" i="28"/>
  <c r="N511" i="28"/>
  <c r="M512" i="28"/>
  <c r="N512" i="28"/>
  <c r="M513" i="28"/>
  <c r="N513" i="28"/>
  <c r="M514" i="28"/>
  <c r="N514" i="28"/>
  <c r="M515" i="28"/>
  <c r="N515" i="28"/>
  <c r="M516" i="28"/>
  <c r="N516" i="28"/>
  <c r="M517" i="28"/>
  <c r="N517" i="28"/>
  <c r="M518" i="28"/>
  <c r="N518" i="28"/>
  <c r="M519" i="28"/>
  <c r="N519" i="28"/>
  <c r="M520" i="28"/>
  <c r="N520" i="28"/>
  <c r="M521" i="28"/>
  <c r="N521" i="28"/>
  <c r="M522" i="28"/>
  <c r="N522" i="28"/>
  <c r="M523" i="28"/>
  <c r="N523" i="28"/>
  <c r="M524" i="28"/>
  <c r="N524" i="28"/>
  <c r="M525" i="28"/>
  <c r="N525" i="28"/>
  <c r="M526" i="28"/>
  <c r="N526" i="28"/>
  <c r="N527" i="28"/>
  <c r="M527" i="28"/>
  <c r="P527" i="28" s="1"/>
  <c r="N528" i="28"/>
  <c r="M528" i="28"/>
  <c r="P528" i="28" s="1"/>
  <c r="N529" i="28"/>
  <c r="M529" i="28"/>
  <c r="N530" i="28"/>
  <c r="M530" i="28"/>
  <c r="P530" i="28" s="1"/>
  <c r="N531" i="28"/>
  <c r="M531" i="28"/>
  <c r="P531" i="28" s="1"/>
  <c r="N532" i="28"/>
  <c r="M532" i="28"/>
  <c r="P532" i="28" s="1"/>
  <c r="N533" i="28"/>
  <c r="M533" i="28"/>
  <c r="P533" i="28" s="1"/>
  <c r="N534" i="28"/>
  <c r="M534" i="28"/>
  <c r="P534" i="28" s="1"/>
  <c r="N535" i="28"/>
  <c r="M535" i="28"/>
  <c r="P535" i="28" s="1"/>
  <c r="N536" i="28"/>
  <c r="M536" i="28"/>
  <c r="P536" i="28" s="1"/>
  <c r="M537" i="28"/>
  <c r="N537" i="28"/>
  <c r="N538" i="28"/>
  <c r="M538" i="28"/>
  <c r="P538" i="28" s="1"/>
  <c r="N539" i="28"/>
  <c r="M539" i="28"/>
  <c r="P539" i="28" s="1"/>
  <c r="M540" i="28"/>
  <c r="N540" i="28"/>
  <c r="N541" i="28"/>
  <c r="M541" i="28"/>
  <c r="P541" i="28" s="1"/>
  <c r="N542" i="28"/>
  <c r="M542" i="28"/>
  <c r="M543" i="28"/>
  <c r="N543" i="28"/>
  <c r="M544" i="28"/>
  <c r="N544" i="28"/>
  <c r="N545" i="28"/>
  <c r="M545" i="28"/>
  <c r="P545" i="28" s="1"/>
  <c r="M546" i="28"/>
  <c r="N546" i="28"/>
  <c r="M547" i="28"/>
  <c r="N547" i="28"/>
  <c r="M548" i="28"/>
  <c r="N548" i="28"/>
  <c r="M549" i="28"/>
  <c r="N549" i="28"/>
  <c r="N550" i="28"/>
  <c r="M550" i="28"/>
  <c r="P550" i="28" s="1"/>
  <c r="M551" i="28"/>
  <c r="N551" i="28"/>
  <c r="M552" i="28"/>
  <c r="N552" i="28"/>
  <c r="M553" i="28"/>
  <c r="N553" i="28"/>
  <c r="N554" i="28"/>
  <c r="M554" i="28"/>
  <c r="P554" i="28" s="1"/>
  <c r="N555" i="28"/>
  <c r="M555" i="28"/>
  <c r="N556" i="28"/>
  <c r="M556" i="28"/>
  <c r="P556" i="28" s="1"/>
  <c r="M557" i="28"/>
  <c r="N557" i="28"/>
  <c r="N558" i="28"/>
  <c r="M558" i="28"/>
  <c r="P558" i="28" s="1"/>
  <c r="N559" i="28"/>
  <c r="M559" i="28"/>
  <c r="M560" i="28"/>
  <c r="N560" i="28"/>
  <c r="M561" i="28"/>
  <c r="N561" i="28"/>
  <c r="M562" i="28"/>
  <c r="N562" i="28"/>
  <c r="N563" i="28"/>
  <c r="M563" i="28"/>
  <c r="M564" i="28"/>
  <c r="N564" i="28"/>
  <c r="N565" i="28"/>
  <c r="M565" i="28"/>
  <c r="P565" i="28" s="1"/>
  <c r="N566" i="28"/>
  <c r="M566" i="28"/>
  <c r="P566" i="28" s="1"/>
  <c r="M567" i="28"/>
  <c r="N567" i="28"/>
  <c r="N568" i="28"/>
  <c r="M568" i="28"/>
  <c r="P568" i="28" s="1"/>
  <c r="N569" i="28"/>
  <c r="M569" i="28"/>
  <c r="P569" i="28" s="1"/>
  <c r="M570" i="28"/>
  <c r="N570" i="28"/>
  <c r="M571" i="28"/>
  <c r="N571" i="28"/>
  <c r="M572" i="28"/>
  <c r="N572" i="28"/>
  <c r="M573" i="28"/>
  <c r="N573" i="28"/>
  <c r="M574" i="28"/>
  <c r="N574" i="28"/>
  <c r="M575" i="28"/>
  <c r="N575" i="28"/>
  <c r="N576" i="28"/>
  <c r="M576" i="28"/>
  <c r="P576" i="28" s="1"/>
  <c r="M577" i="28"/>
  <c r="N577" i="28"/>
  <c r="N578" i="28"/>
  <c r="M578" i="28"/>
  <c r="N579" i="28"/>
  <c r="M579" i="28"/>
  <c r="N580" i="28"/>
  <c r="M580" i="28"/>
  <c r="N581" i="28"/>
  <c r="M581" i="28"/>
  <c r="P581" i="28" s="1"/>
  <c r="N582" i="28"/>
  <c r="M582" i="28"/>
  <c r="P582" i="28" s="1"/>
  <c r="N583" i="28"/>
  <c r="M583" i="28"/>
  <c r="N584" i="28"/>
  <c r="M584" i="28"/>
  <c r="P584" i="28" s="1"/>
  <c r="N585" i="28"/>
  <c r="M585" i="28"/>
  <c r="P585" i="28" s="1"/>
  <c r="M586" i="28"/>
  <c r="N586" i="28"/>
  <c r="M587" i="28"/>
  <c r="N587" i="28"/>
  <c r="N588" i="28"/>
  <c r="M588" i="28"/>
  <c r="P588" i="28" s="1"/>
  <c r="N589" i="28"/>
  <c r="M589" i="28"/>
  <c r="P589" i="28" s="1"/>
  <c r="N590" i="28"/>
  <c r="M590" i="28"/>
  <c r="P590" i="28" s="1"/>
  <c r="N591" i="28"/>
  <c r="M591" i="28"/>
  <c r="P591" i="28" s="1"/>
  <c r="N592" i="28"/>
  <c r="M592" i="28"/>
  <c r="P592" i="28" s="1"/>
  <c r="N593" i="28"/>
  <c r="M593" i="28"/>
  <c r="P593" i="28" s="1"/>
  <c r="N594" i="28"/>
  <c r="M594" i="28"/>
  <c r="P594" i="28" s="1"/>
  <c r="N595" i="28"/>
  <c r="M595" i="28"/>
  <c r="P595" i="28" s="1"/>
  <c r="N596" i="28"/>
  <c r="M596" i="28"/>
  <c r="P596" i="28" s="1"/>
  <c r="N597" i="28"/>
  <c r="M597" i="28"/>
  <c r="P597" i="28" s="1"/>
  <c r="N598" i="28"/>
  <c r="M598" i="28"/>
  <c r="P598" i="28" s="1"/>
  <c r="N599" i="28"/>
  <c r="M599" i="28"/>
  <c r="P599" i="28" s="1"/>
  <c r="N600" i="28"/>
  <c r="M600" i="28"/>
  <c r="P600" i="28" s="1"/>
  <c r="N601" i="28"/>
  <c r="M601" i="28"/>
  <c r="P601" i="28" s="1"/>
  <c r="N602" i="28"/>
  <c r="M602" i="28"/>
  <c r="P602" i="28" s="1"/>
  <c r="N603" i="28"/>
  <c r="M603" i="28"/>
  <c r="P603" i="28" s="1"/>
  <c r="N604" i="28"/>
  <c r="M604" i="28"/>
  <c r="P604" i="28" s="1"/>
  <c r="N605" i="28"/>
  <c r="M605" i="28"/>
  <c r="P605" i="28" s="1"/>
  <c r="M606" i="28"/>
  <c r="N606" i="28"/>
  <c r="M607" i="28"/>
  <c r="N607" i="28"/>
  <c r="N608" i="28"/>
  <c r="M608" i="28"/>
  <c r="P608" i="28" s="1"/>
  <c r="N609" i="28"/>
  <c r="M609" i="28"/>
  <c r="P609" i="28" s="1"/>
  <c r="N610" i="28"/>
  <c r="M610" i="28"/>
  <c r="P610" i="28" s="1"/>
  <c r="N611" i="28"/>
  <c r="M611" i="28"/>
  <c r="N612" i="28"/>
  <c r="M612" i="28"/>
  <c r="P612" i="28" s="1"/>
  <c r="N613" i="28"/>
  <c r="M613" i="28"/>
  <c r="P613" i="28" s="1"/>
  <c r="N614" i="28"/>
  <c r="M614" i="28"/>
  <c r="P614" i="28" s="1"/>
  <c r="N615" i="28"/>
  <c r="M615" i="28"/>
  <c r="P615" i="28" s="1"/>
  <c r="M616" i="28"/>
  <c r="N616" i="28"/>
  <c r="M617" i="28"/>
  <c r="N617" i="28"/>
  <c r="M618" i="28"/>
  <c r="N618" i="28"/>
  <c r="M619" i="28"/>
  <c r="N619" i="28"/>
  <c r="M620" i="28"/>
  <c r="N620" i="28"/>
  <c r="M621" i="28"/>
  <c r="N621" i="28"/>
  <c r="M622" i="28"/>
  <c r="N622" i="28"/>
  <c r="M623" i="28"/>
  <c r="N623" i="28"/>
  <c r="M624" i="28"/>
  <c r="N624" i="28"/>
  <c r="M625" i="28"/>
  <c r="N625" i="28"/>
  <c r="M626" i="28"/>
  <c r="N626" i="28"/>
  <c r="M627" i="28"/>
  <c r="N627" i="28"/>
  <c r="N628" i="28"/>
  <c r="M628" i="28"/>
  <c r="P628" i="28" s="1"/>
  <c r="N629" i="28"/>
  <c r="M629" i="28"/>
  <c r="N630" i="28"/>
  <c r="M630" i="28"/>
  <c r="P630" i="28" s="1"/>
  <c r="N631" i="28"/>
  <c r="M631" i="28"/>
  <c r="P631" i="28" s="1"/>
  <c r="N632" i="28"/>
  <c r="M632" i="28"/>
  <c r="P632" i="28" s="1"/>
  <c r="N633" i="28"/>
  <c r="M633" i="28"/>
  <c r="P633" i="28" s="1"/>
  <c r="N634" i="28"/>
  <c r="M634" i="28"/>
  <c r="N635" i="28"/>
  <c r="M635" i="28"/>
  <c r="P635" i="28" s="1"/>
  <c r="N636" i="28"/>
  <c r="M636" i="28"/>
  <c r="P636" i="28" s="1"/>
  <c r="M637" i="28"/>
  <c r="N637" i="28"/>
  <c r="M638" i="28"/>
  <c r="N638" i="28"/>
  <c r="M639" i="28"/>
  <c r="N639" i="28"/>
  <c r="M640" i="28"/>
  <c r="N640" i="28"/>
  <c r="M641" i="28"/>
  <c r="N641" i="28"/>
  <c r="N642" i="28"/>
  <c r="M642" i="28"/>
  <c r="P642" i="28" s="1"/>
  <c r="N643" i="28"/>
  <c r="M643" i="28"/>
  <c r="P643" i="28" s="1"/>
  <c r="N644" i="28"/>
  <c r="M644" i="28"/>
  <c r="P644" i="28" s="1"/>
  <c r="N645" i="28"/>
  <c r="M645" i="28"/>
  <c r="P645" i="28" s="1"/>
  <c r="N646" i="28"/>
  <c r="M646" i="28"/>
  <c r="P646" i="28" s="1"/>
  <c r="N647" i="28"/>
  <c r="M647" i="28"/>
  <c r="P647" i="28" s="1"/>
  <c r="N648" i="28"/>
  <c r="M648" i="28"/>
  <c r="P648" i="28" s="1"/>
  <c r="N649" i="28"/>
  <c r="M649" i="28"/>
  <c r="P649" i="28" s="1"/>
  <c r="N650" i="28"/>
  <c r="M650" i="28"/>
  <c r="P650" i="28" s="1"/>
  <c r="N651" i="28"/>
  <c r="M651" i="28"/>
  <c r="P651" i="28" s="1"/>
  <c r="N652" i="28"/>
  <c r="M652" i="28"/>
  <c r="P652" i="28" s="1"/>
  <c r="N653" i="28"/>
  <c r="M653" i="28"/>
  <c r="P653" i="28" s="1"/>
  <c r="N654" i="28"/>
  <c r="M654" i="28"/>
  <c r="P654" i="28" s="1"/>
  <c r="N655" i="28"/>
  <c r="M655" i="28"/>
  <c r="P655" i="28" s="1"/>
  <c r="N656" i="28"/>
  <c r="M656" i="28"/>
  <c r="M657" i="28"/>
  <c r="N657" i="28"/>
  <c r="M658" i="28"/>
  <c r="N658" i="28"/>
  <c r="M659" i="28"/>
  <c r="N659" i="28"/>
  <c r="M660" i="28"/>
  <c r="N660" i="28"/>
  <c r="N661" i="28"/>
  <c r="M661" i="28"/>
  <c r="P661" i="28" s="1"/>
  <c r="N662" i="28"/>
  <c r="M662" i="28"/>
  <c r="P662" i="28" s="1"/>
  <c r="N663" i="28"/>
  <c r="M663" i="28"/>
  <c r="P663" i="28" s="1"/>
  <c r="N664" i="28"/>
  <c r="M664" i="28"/>
  <c r="N665" i="28"/>
  <c r="M665" i="28"/>
  <c r="P665" i="28" s="1"/>
  <c r="N666" i="28"/>
  <c r="M666" i="28"/>
  <c r="P666" i="28" s="1"/>
  <c r="N667" i="28"/>
  <c r="M667" i="28"/>
  <c r="N668" i="28"/>
  <c r="M668" i="28"/>
  <c r="P668" i="28" s="1"/>
  <c r="N669" i="28"/>
  <c r="M669" i="28"/>
  <c r="P669" i="28" s="1"/>
  <c r="M670" i="28"/>
  <c r="N670" i="28"/>
  <c r="N671" i="28"/>
  <c r="M671" i="28"/>
  <c r="P671" i="28" s="1"/>
  <c r="N672" i="28"/>
  <c r="M672" i="28"/>
  <c r="P672" i="28" s="1"/>
  <c r="N673" i="28"/>
  <c r="M673" i="28"/>
  <c r="N674" i="28"/>
  <c r="M674" i="28"/>
  <c r="P674" i="28" s="1"/>
  <c r="N675" i="28"/>
  <c r="M675" i="28"/>
  <c r="M676" i="28"/>
  <c r="N676" i="28"/>
  <c r="M677" i="28"/>
  <c r="N677" i="28"/>
  <c r="N678" i="28"/>
  <c r="M678" i="28"/>
  <c r="N679" i="28"/>
  <c r="M679" i="28"/>
  <c r="P679" i="28" s="1"/>
  <c r="N680" i="28"/>
  <c r="M680" i="28"/>
  <c r="P680" i="28" s="1"/>
  <c r="N681" i="28"/>
  <c r="M681" i="28"/>
  <c r="P681" i="28" s="1"/>
  <c r="M682" i="28"/>
  <c r="N682" i="28"/>
  <c r="N683" i="28"/>
  <c r="M683" i="28"/>
  <c r="M684" i="28"/>
  <c r="N684" i="28"/>
  <c r="M685" i="28"/>
  <c r="N685" i="28"/>
  <c r="M686" i="28"/>
  <c r="N686" i="28"/>
  <c r="N687" i="28"/>
  <c r="M687" i="28"/>
  <c r="P687" i="28" s="1"/>
  <c r="N688" i="28"/>
  <c r="M688" i="28"/>
  <c r="P688" i="28" s="1"/>
  <c r="M689" i="28"/>
  <c r="N689" i="28"/>
  <c r="N690" i="28"/>
  <c r="M690" i="28"/>
  <c r="P690" i="28" s="1"/>
  <c r="M691" i="28"/>
  <c r="N691" i="28"/>
  <c r="M692" i="28"/>
  <c r="N692" i="28"/>
  <c r="M693" i="28"/>
  <c r="N693" i="28"/>
  <c r="M694" i="28"/>
  <c r="N694" i="28"/>
  <c r="M695" i="28"/>
  <c r="N695" i="28"/>
  <c r="N696" i="28"/>
  <c r="M696" i="28"/>
  <c r="P696" i="28" s="1"/>
  <c r="N697" i="28"/>
  <c r="M697" i="28"/>
  <c r="N698" i="28"/>
  <c r="M698" i="28"/>
  <c r="P698" i="28" s="1"/>
  <c r="N699" i="28"/>
  <c r="M699" i="28"/>
  <c r="N700" i="28"/>
  <c r="M700" i="28"/>
  <c r="P700" i="28" s="1"/>
  <c r="N701" i="28"/>
  <c r="M701" i="28"/>
  <c r="P701" i="28" s="1"/>
  <c r="N702" i="28"/>
  <c r="M702" i="28"/>
  <c r="P702" i="28" s="1"/>
  <c r="N703" i="28"/>
  <c r="M703" i="28"/>
  <c r="P703" i="28" s="1"/>
  <c r="N704" i="28"/>
  <c r="M704" i="28"/>
  <c r="P704" i="28" s="1"/>
  <c r="N705" i="28"/>
  <c r="M705" i="28"/>
  <c r="P705" i="28" s="1"/>
  <c r="N706" i="28"/>
  <c r="M706" i="28"/>
  <c r="P706" i="28" s="1"/>
  <c r="N707" i="28"/>
  <c r="M707" i="28"/>
  <c r="P707" i="28" s="1"/>
  <c r="N708" i="28"/>
  <c r="M708" i="28"/>
  <c r="P708" i="28" s="1"/>
  <c r="N709" i="28"/>
  <c r="M709" i="28"/>
  <c r="P709" i="28" s="1"/>
  <c r="N710" i="28"/>
  <c r="M710" i="28"/>
  <c r="N711" i="28"/>
  <c r="M711" i="28"/>
  <c r="P711" i="28" s="1"/>
  <c r="N712" i="28"/>
  <c r="M712" i="28"/>
  <c r="P712" i="28" s="1"/>
  <c r="N713" i="28"/>
  <c r="M713" i="28"/>
  <c r="P713" i="28" s="1"/>
  <c r="N714" i="28"/>
  <c r="M714" i="28"/>
  <c r="P714" i="28" s="1"/>
  <c r="N715" i="28"/>
  <c r="M715" i="28"/>
  <c r="P715" i="28" s="1"/>
  <c r="N716" i="28"/>
  <c r="M716" i="28"/>
  <c r="P716" i="28" s="1"/>
  <c r="N717" i="28"/>
  <c r="M717" i="28"/>
  <c r="P717" i="28" s="1"/>
  <c r="N718" i="28"/>
  <c r="M718" i="28"/>
  <c r="P718" i="28" s="1"/>
  <c r="N719" i="28"/>
  <c r="M719" i="28"/>
  <c r="P719" i="28" s="1"/>
  <c r="N720" i="28"/>
  <c r="M720" i="28"/>
  <c r="M721" i="28"/>
  <c r="N721" i="28"/>
  <c r="M722" i="28"/>
  <c r="N722" i="28"/>
  <c r="M723" i="28"/>
  <c r="N723" i="28"/>
  <c r="N724" i="28"/>
  <c r="M724" i="28"/>
  <c r="N725" i="28"/>
  <c r="M725" i="28"/>
  <c r="P725" i="28" s="1"/>
  <c r="N726" i="28"/>
  <c r="M726" i="28"/>
  <c r="N727" i="28"/>
  <c r="M727" i="28"/>
  <c r="P727" i="28" s="1"/>
  <c r="N728" i="28"/>
  <c r="M728" i="28"/>
  <c r="P728" i="28" s="1"/>
  <c r="N729" i="28"/>
  <c r="M729" i="28"/>
  <c r="P729" i="28" s="1"/>
  <c r="N730" i="28"/>
  <c r="M730" i="28"/>
  <c r="N731" i="28"/>
  <c r="M731" i="28"/>
  <c r="P731" i="28" s="1"/>
  <c r="N732" i="28"/>
  <c r="M732" i="28"/>
  <c r="P732" i="28" s="1"/>
  <c r="N733" i="28"/>
  <c r="M733" i="28"/>
  <c r="P733" i="28" s="1"/>
  <c r="N734" i="28"/>
  <c r="M734" i="28"/>
  <c r="P734" i="28" s="1"/>
  <c r="N735" i="28"/>
  <c r="M735" i="28"/>
  <c r="P735" i="28" s="1"/>
  <c r="N736" i="28"/>
  <c r="M736" i="28"/>
  <c r="P736" i="28" s="1"/>
  <c r="N737" i="28"/>
  <c r="M737" i="28"/>
  <c r="P737" i="28" s="1"/>
  <c r="N738" i="28"/>
  <c r="M738" i="28"/>
  <c r="P738" i="28" s="1"/>
  <c r="N739" i="28"/>
  <c r="M739" i="28"/>
  <c r="N2" i="28"/>
  <c r="M2" i="28"/>
  <c r="M3" i="28"/>
  <c r="N3" i="28"/>
  <c r="P3" i="28" s="1"/>
  <c r="N4" i="28"/>
  <c r="M4" i="28"/>
  <c r="P90" i="23"/>
  <c r="C25" i="30" s="1"/>
  <c r="I729" i="46"/>
  <c r="Q6" i="23"/>
  <c r="Q7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3" i="23"/>
  <c r="Q4" i="23"/>
  <c r="Q5" i="23"/>
  <c r="CJ13" i="50" l="1"/>
  <c r="CR13" i="50"/>
  <c r="BV13" i="50"/>
  <c r="CM13" i="50"/>
  <c r="CR18" i="50"/>
  <c r="CP18" i="50"/>
  <c r="CM18" i="50"/>
  <c r="CP13" i="50"/>
  <c r="AN26" i="59"/>
  <c r="U26" i="59"/>
  <c r="U82" i="60" s="1"/>
  <c r="E26" i="59"/>
  <c r="E82" i="60" s="1"/>
  <c r="L12" i="59"/>
  <c r="L10" i="60" s="1"/>
  <c r="O11" i="59"/>
  <c r="O12" i="59" s="1"/>
  <c r="O10" i="60" s="1"/>
  <c r="AC11" i="59"/>
  <c r="AC12" i="59" s="1"/>
  <c r="AC10" i="60" s="1"/>
  <c r="U11" i="59"/>
  <c r="U12" i="59" s="1"/>
  <c r="U10" i="60" s="1"/>
  <c r="AC18" i="59"/>
  <c r="X9" i="60"/>
  <c r="AC26" i="59"/>
  <c r="AC82" i="60" s="1"/>
  <c r="D26" i="59"/>
  <c r="D82" i="60" s="1"/>
  <c r="X11" i="59"/>
  <c r="X12" i="59" s="1"/>
  <c r="X10" i="60" s="1"/>
  <c r="S11" i="59"/>
  <c r="S12" i="59" s="1"/>
  <c r="S10" i="60" s="1"/>
  <c r="AB18" i="59"/>
  <c r="L18" i="59"/>
  <c r="AC17" i="59"/>
  <c r="AC23" i="59" s="1"/>
  <c r="H9" i="59"/>
  <c r="H6" i="60"/>
  <c r="X17" i="59"/>
  <c r="X49" i="60" s="1"/>
  <c r="X46" i="60"/>
  <c r="Y18" i="59"/>
  <c r="C26" i="59"/>
  <c r="C82" i="60" s="1"/>
  <c r="J12" i="59"/>
  <c r="J10" i="60" s="1"/>
  <c r="R11" i="59"/>
  <c r="R12" i="59" s="1"/>
  <c r="R10" i="60" s="1"/>
  <c r="AA18" i="59"/>
  <c r="AA26" i="59" s="1"/>
  <c r="AA82" i="60" s="1"/>
  <c r="J9" i="59"/>
  <c r="J6" i="60"/>
  <c r="H17" i="59"/>
  <c r="H49" i="60" s="1"/>
  <c r="H46" i="60"/>
  <c r="AD26" i="59"/>
  <c r="AD82" i="60" s="1"/>
  <c r="R26" i="59"/>
  <c r="R82" i="60" s="1"/>
  <c r="Z18" i="59"/>
  <c r="Z26" i="59" s="1"/>
  <c r="Z82" i="60" s="1"/>
  <c r="N17" i="59"/>
  <c r="N49" i="60" s="1"/>
  <c r="N46" i="60"/>
  <c r="J17" i="59"/>
  <c r="J49" i="60" s="1"/>
  <c r="J46" i="60"/>
  <c r="AL17" i="59"/>
  <c r="AL49" i="60" s="1"/>
  <c r="AL46" i="60"/>
  <c r="AM26" i="59"/>
  <c r="AM82" i="60" s="1"/>
  <c r="AK9" i="60"/>
  <c r="F17" i="59"/>
  <c r="F49" i="60" s="1"/>
  <c r="F46" i="60"/>
  <c r="D17" i="59"/>
  <c r="D49" i="60" s="1"/>
  <c r="D46" i="60"/>
  <c r="O26" i="59"/>
  <c r="O82" i="60" s="1"/>
  <c r="C12" i="59"/>
  <c r="C10" i="60" s="1"/>
  <c r="AH11" i="59"/>
  <c r="AH12" i="59" s="1"/>
  <c r="AH10" i="60" s="1"/>
  <c r="AM11" i="59"/>
  <c r="AM12" i="59" s="1"/>
  <c r="AM10" i="60" s="1"/>
  <c r="AM18" i="59"/>
  <c r="W18" i="59"/>
  <c r="Y17" i="59"/>
  <c r="Y23" i="59" s="1"/>
  <c r="AM23" i="59"/>
  <c r="AM9" i="60"/>
  <c r="P26" i="59"/>
  <c r="P82" i="60" s="1"/>
  <c r="AL11" i="59"/>
  <c r="AL12" i="59" s="1"/>
  <c r="AL10" i="60" s="1"/>
  <c r="X18" i="59"/>
  <c r="AE11" i="59"/>
  <c r="AE12" i="59" s="1"/>
  <c r="AE10" i="60" s="1"/>
  <c r="AJ11" i="59"/>
  <c r="AJ12" i="59" s="1"/>
  <c r="AJ10" i="60" s="1"/>
  <c r="AL18" i="59"/>
  <c r="AL26" i="59" s="1"/>
  <c r="AL82" i="60" s="1"/>
  <c r="V18" i="59"/>
  <c r="M9" i="59"/>
  <c r="M6" i="60"/>
  <c r="E9" i="59"/>
  <c r="E6" i="60"/>
  <c r="M26" i="59"/>
  <c r="M82" i="60" s="1"/>
  <c r="AN9" i="59"/>
  <c r="AA11" i="59"/>
  <c r="AA12" i="59" s="1"/>
  <c r="AA10" i="60" s="1"/>
  <c r="AI11" i="59"/>
  <c r="AI12" i="59" s="1"/>
  <c r="AI10" i="60" s="1"/>
  <c r="AK18" i="59"/>
  <c r="U18" i="59"/>
  <c r="K9" i="59"/>
  <c r="K6" i="60"/>
  <c r="G9" i="59"/>
  <c r="G6" i="60"/>
  <c r="AM17" i="59"/>
  <c r="AM49" i="60" s="1"/>
  <c r="AM46" i="60"/>
  <c r="AB26" i="59"/>
  <c r="AB82" i="60" s="1"/>
  <c r="L26" i="59"/>
  <c r="L82" i="60" s="1"/>
  <c r="W11" i="59"/>
  <c r="W12" i="59" s="1"/>
  <c r="W10" i="60" s="1"/>
  <c r="AG11" i="59"/>
  <c r="AG12" i="59" s="1"/>
  <c r="AG10" i="60" s="1"/>
  <c r="AJ18" i="59"/>
  <c r="AJ26" i="59" s="1"/>
  <c r="AJ82" i="60" s="1"/>
  <c r="T18" i="59"/>
  <c r="T26" i="59" s="1"/>
  <c r="T82" i="60" s="1"/>
  <c r="I9" i="59"/>
  <c r="I6" i="60"/>
  <c r="I12" i="59"/>
  <c r="I10" i="60" s="1"/>
  <c r="T11" i="59"/>
  <c r="T12" i="59" s="1"/>
  <c r="T10" i="60" s="1"/>
  <c r="AF11" i="59"/>
  <c r="AF12" i="59" s="1"/>
  <c r="AF10" i="60" s="1"/>
  <c r="AI18" i="59"/>
  <c r="AI26" i="59" s="1"/>
  <c r="AI82" i="60" s="1"/>
  <c r="S18" i="59"/>
  <c r="S26" i="59" s="1"/>
  <c r="S82" i="60" s="1"/>
  <c r="I17" i="59"/>
  <c r="I49" i="60" s="1"/>
  <c r="I46" i="60"/>
  <c r="G17" i="59"/>
  <c r="G49" i="60" s="1"/>
  <c r="G46" i="60"/>
  <c r="C9" i="59"/>
  <c r="C6" i="60"/>
  <c r="AK26" i="59"/>
  <c r="AK82" i="60" s="1"/>
  <c r="J26" i="59"/>
  <c r="J82" i="60" s="1"/>
  <c r="N11" i="59"/>
  <c r="AD11" i="59"/>
  <c r="AD12" i="59" s="1"/>
  <c r="AD10" i="60" s="1"/>
  <c r="AH18" i="59"/>
  <c r="R18" i="59"/>
  <c r="AK17" i="59"/>
  <c r="AK49" i="60" s="1"/>
  <c r="AK46" i="60"/>
  <c r="Y26" i="59"/>
  <c r="Y82" i="60" s="1"/>
  <c r="I26" i="59"/>
  <c r="I82" i="60" s="1"/>
  <c r="AB11" i="59"/>
  <c r="AB12" i="59" s="1"/>
  <c r="AB10" i="60" s="1"/>
  <c r="AG18" i="59"/>
  <c r="AG26" i="59" s="1"/>
  <c r="AG82" i="60" s="1"/>
  <c r="Q18" i="59"/>
  <c r="Q26" i="59" s="1"/>
  <c r="Q82" i="60" s="1"/>
  <c r="K17" i="59"/>
  <c r="K49" i="60" s="1"/>
  <c r="K46" i="60"/>
  <c r="C17" i="59"/>
  <c r="C49" i="60" s="1"/>
  <c r="C46" i="60"/>
  <c r="X26" i="59"/>
  <c r="X82" i="60" s="1"/>
  <c r="H26" i="59"/>
  <c r="H82" i="60" s="1"/>
  <c r="Z11" i="59"/>
  <c r="Z12" i="59" s="1"/>
  <c r="Z10" i="60" s="1"/>
  <c r="AF18" i="59"/>
  <c r="AF26" i="59" s="1"/>
  <c r="AF82" i="60" s="1"/>
  <c r="P18" i="59"/>
  <c r="V17" i="59"/>
  <c r="V49" i="60" s="1"/>
  <c r="M17" i="59"/>
  <c r="M49" i="60" s="1"/>
  <c r="M46" i="60"/>
  <c r="AL9" i="60"/>
  <c r="E17" i="59"/>
  <c r="E49" i="60" s="1"/>
  <c r="E46" i="60"/>
  <c r="B12" i="59"/>
  <c r="B10" i="60" s="1"/>
  <c r="W26" i="59"/>
  <c r="W82" i="60" s="1"/>
  <c r="Y11" i="59"/>
  <c r="Y12" i="59" s="1"/>
  <c r="Y10" i="60" s="1"/>
  <c r="AE18" i="59"/>
  <c r="AE26" i="59" s="1"/>
  <c r="AE82" i="60" s="1"/>
  <c r="O18" i="59"/>
  <c r="Z17" i="59"/>
  <c r="Z49" i="60" s="1"/>
  <c r="N9" i="59"/>
  <c r="N6" i="60"/>
  <c r="AH26" i="59"/>
  <c r="AH82" i="60" s="1"/>
  <c r="V26" i="59"/>
  <c r="V82" i="60" s="1"/>
  <c r="Q11" i="59"/>
  <c r="Q12" i="59" s="1"/>
  <c r="Q10" i="60" s="1"/>
  <c r="AK11" i="59"/>
  <c r="AK12" i="59" s="1"/>
  <c r="AK10" i="60" s="1"/>
  <c r="V11" i="59"/>
  <c r="V12" i="59" s="1"/>
  <c r="V10" i="60" s="1"/>
  <c r="AD18" i="59"/>
  <c r="N18" i="59"/>
  <c r="N26" i="59" s="1"/>
  <c r="N82" i="60" s="1"/>
  <c r="AA17" i="59"/>
  <c r="AA49" i="60" s="1"/>
  <c r="W17" i="59"/>
  <c r="W49" i="60" s="1"/>
  <c r="L9" i="59"/>
  <c r="L9" i="60" s="1"/>
  <c r="L6" i="60"/>
  <c r="F9" i="59"/>
  <c r="F6" i="60"/>
  <c r="D9" i="59"/>
  <c r="D6" i="60"/>
  <c r="BS8" i="50"/>
  <c r="CT28" i="50"/>
  <c r="BS11" i="50"/>
  <c r="BS13" i="50" s="1"/>
  <c r="CT16" i="50"/>
  <c r="CT18" i="50" s="1"/>
  <c r="CK13" i="50"/>
  <c r="BS16" i="50"/>
  <c r="BS18" i="50" s="1"/>
  <c r="CS16" i="50"/>
  <c r="CS18" i="50" s="1"/>
  <c r="CO16" i="50"/>
  <c r="CO18" i="50" s="1"/>
  <c r="CK21" i="50"/>
  <c r="CT21" i="50"/>
  <c r="CT23" i="50" s="1"/>
  <c r="BS28" i="50"/>
  <c r="CS28" i="50"/>
  <c r="CK18" i="50"/>
  <c r="BR8" i="50"/>
  <c r="CS8" i="50"/>
  <c r="CT11" i="50"/>
  <c r="CT13" i="50" s="1"/>
  <c r="BR11" i="50"/>
  <c r="BR13" i="50" s="1"/>
  <c r="CS11" i="50"/>
  <c r="CS13" i="50" s="1"/>
  <c r="CJ18" i="50"/>
  <c r="BR16" i="50"/>
  <c r="BR18" i="50" s="1"/>
  <c r="CJ8" i="50"/>
  <c r="BR21" i="50"/>
  <c r="CR21" i="50"/>
  <c r="CN13" i="50"/>
  <c r="CR28" i="50"/>
  <c r="CN18" i="50"/>
  <c r="BW13" i="50"/>
  <c r="BX13" i="50"/>
  <c r="BY13" i="50"/>
  <c r="BZ13" i="50"/>
  <c r="CQ21" i="50"/>
  <c r="CQ24" i="50" s="1"/>
  <c r="CQ11" i="50"/>
  <c r="CQ13" i="50" s="1"/>
  <c r="CQ28" i="50"/>
  <c r="CQ8" i="50"/>
  <c r="CQ16" i="50"/>
  <c r="CQ18" i="50" s="1"/>
  <c r="CI21" i="50"/>
  <c r="CI28" i="50"/>
  <c r="CI16" i="50"/>
  <c r="CI18" i="50" s="1"/>
  <c r="CI11" i="50"/>
  <c r="CI13" i="50" s="1"/>
  <c r="CI8" i="50"/>
  <c r="CB21" i="50"/>
  <c r="CB23" i="50" s="1"/>
  <c r="CB16" i="50"/>
  <c r="CB18" i="50" s="1"/>
  <c r="CB11" i="50"/>
  <c r="CB13" i="50" s="1"/>
  <c r="CB8" i="50"/>
  <c r="CF28" i="50"/>
  <c r="CF21" i="50"/>
  <c r="CF23" i="50" s="1"/>
  <c r="CF16" i="50"/>
  <c r="CF18" i="50" s="1"/>
  <c r="CF11" i="50"/>
  <c r="CF13" i="50" s="1"/>
  <c r="CF8" i="50"/>
  <c r="BQ21" i="50"/>
  <c r="BQ11" i="50"/>
  <c r="BQ13" i="50" s="1"/>
  <c r="BQ8" i="50"/>
  <c r="BQ16" i="50"/>
  <c r="BQ18" i="50" s="1"/>
  <c r="BQ28" i="50"/>
  <c r="H16" i="51"/>
  <c r="CU22" i="50"/>
  <c r="CU23" i="50" s="1"/>
  <c r="CU17" i="50"/>
  <c r="CU18" i="50" s="1"/>
  <c r="CU12" i="50"/>
  <c r="BJ23" i="50"/>
  <c r="BJ24" i="50"/>
  <c r="BK23" i="50"/>
  <c r="BK25" i="50"/>
  <c r="BK24" i="50"/>
  <c r="BL23" i="50"/>
  <c r="BL24" i="50"/>
  <c r="BL25" i="50"/>
  <c r="BO23" i="50"/>
  <c r="BO25" i="50"/>
  <c r="BO24" i="50"/>
  <c r="BV23" i="50"/>
  <c r="BV24" i="50"/>
  <c r="BV25" i="50"/>
  <c r="CA23" i="50"/>
  <c r="CA25" i="50"/>
  <c r="CA24" i="50"/>
  <c r="CH23" i="50"/>
  <c r="CH24" i="50"/>
  <c r="CH25" i="50"/>
  <c r="K8" i="51"/>
  <c r="K21" i="49"/>
  <c r="K23" i="49" s="1"/>
  <c r="K10" i="51" s="1"/>
  <c r="K16" i="49"/>
  <c r="K18" i="49" s="1"/>
  <c r="K5" i="51"/>
  <c r="K11" i="49"/>
  <c r="M40" i="49"/>
  <c r="L12" i="49" a="1"/>
  <c r="L12" i="49" s="1"/>
  <c r="L17" i="49" a="1"/>
  <c r="L17" i="49" s="1"/>
  <c r="L7" i="49" a="1"/>
  <c r="L7" i="49" s="1"/>
  <c r="L30" i="49" s="1"/>
  <c r="L33" i="49" s="1"/>
  <c r="L13" i="51" s="1"/>
  <c r="L22" i="49" a="1"/>
  <c r="L22" i="49" s="1"/>
  <c r="K6" i="51"/>
  <c r="K13" i="49"/>
  <c r="K8" i="49"/>
  <c r="K28" i="49"/>
  <c r="K12" i="51" s="1"/>
  <c r="B8" i="49"/>
  <c r="K30" i="49"/>
  <c r="K33" i="49" s="1"/>
  <c r="K13" i="51" s="1"/>
  <c r="K31" i="49"/>
  <c r="CB31" i="50"/>
  <c r="CB32" i="50" s="1"/>
  <c r="BK31" i="50"/>
  <c r="BK32" i="50" s="1"/>
  <c r="CC31" i="50"/>
  <c r="CC32" i="50" s="1"/>
  <c r="CI31" i="50"/>
  <c r="CI32" i="50" s="1"/>
  <c r="CG31" i="50"/>
  <c r="CG32" i="50" s="1"/>
  <c r="CF31" i="50"/>
  <c r="CF32" i="50" s="1"/>
  <c r="CE31" i="50"/>
  <c r="CE32" i="50" s="1"/>
  <c r="CH31" i="50"/>
  <c r="CH32" i="50" s="1"/>
  <c r="CD31" i="50"/>
  <c r="CD32" i="50" s="1"/>
  <c r="BJ31" i="50"/>
  <c r="BJ32" i="50" s="1"/>
  <c r="BZ31" i="50"/>
  <c r="BZ32" i="50" s="1"/>
  <c r="BX31" i="50"/>
  <c r="BX32" i="50" s="1"/>
  <c r="BV31" i="50"/>
  <c r="BV32" i="50" s="1"/>
  <c r="BT31" i="50"/>
  <c r="BT32" i="50" s="1"/>
  <c r="BR31" i="50"/>
  <c r="BR32" i="50" s="1"/>
  <c r="BP31" i="50"/>
  <c r="BP32" i="50" s="1"/>
  <c r="BN31" i="50"/>
  <c r="BN32" i="50" s="1"/>
  <c r="BL31" i="50"/>
  <c r="BL32" i="50" s="1"/>
  <c r="CA31" i="50"/>
  <c r="CA32" i="50" s="1"/>
  <c r="BY31" i="50"/>
  <c r="BY32" i="50" s="1"/>
  <c r="BW31" i="50"/>
  <c r="BW32" i="50" s="1"/>
  <c r="BU31" i="50"/>
  <c r="BU32" i="50" s="1"/>
  <c r="BS31" i="50"/>
  <c r="BS32" i="50" s="1"/>
  <c r="CR31" i="50"/>
  <c r="CR32" i="50" s="1"/>
  <c r="CO31" i="50"/>
  <c r="CO32" i="50" s="1"/>
  <c r="CL31" i="50"/>
  <c r="CL32" i="50" s="1"/>
  <c r="CT31" i="50"/>
  <c r="CT32" i="50" s="1"/>
  <c r="CQ31" i="50"/>
  <c r="CQ32" i="50" s="1"/>
  <c r="CN31" i="50"/>
  <c r="CN32" i="50" s="1"/>
  <c r="CK31" i="50"/>
  <c r="CK32" i="50" s="1"/>
  <c r="CS31" i="50"/>
  <c r="CS32" i="50" s="1"/>
  <c r="CP31" i="50"/>
  <c r="CP32" i="50" s="1"/>
  <c r="CM31" i="50"/>
  <c r="CM32" i="50" s="1"/>
  <c r="CJ31" i="50"/>
  <c r="CJ32" i="50" s="1"/>
  <c r="BQ31" i="50"/>
  <c r="BQ32" i="50" s="1"/>
  <c r="BO31" i="50"/>
  <c r="BO32" i="50" s="1"/>
  <c r="BM31" i="50"/>
  <c r="BM32" i="50" s="1"/>
  <c r="CK30" i="50"/>
  <c r="CK33" i="50" s="1"/>
  <c r="CQ30" i="50"/>
  <c r="CQ33" i="50" s="1"/>
  <c r="CL30" i="50"/>
  <c r="CL33" i="50" s="1"/>
  <c r="CS30" i="50"/>
  <c r="CS33" i="50" s="1"/>
  <c r="CM30" i="50"/>
  <c r="CM33" i="50" s="1"/>
  <c r="CJ30" i="50"/>
  <c r="CJ33" i="50" s="1"/>
  <c r="CR30" i="50"/>
  <c r="CR33" i="50" s="1"/>
  <c r="CO30" i="50"/>
  <c r="CO33" i="50" s="1"/>
  <c r="CT30" i="50"/>
  <c r="CT33" i="50" s="1"/>
  <c r="CN30" i="50"/>
  <c r="CN33" i="50" s="1"/>
  <c r="CP30" i="50"/>
  <c r="CP33" i="50" s="1"/>
  <c r="BX30" i="50"/>
  <c r="BX33" i="50" s="1"/>
  <c r="CE30" i="50"/>
  <c r="CE33" i="50" s="1"/>
  <c r="BK30" i="50"/>
  <c r="BK33" i="50" s="1"/>
  <c r="BZ30" i="50"/>
  <c r="BZ33" i="50" s="1"/>
  <c r="CA30" i="50"/>
  <c r="CA33" i="50" s="1"/>
  <c r="CB30" i="50"/>
  <c r="CB33" i="50" s="1"/>
  <c r="CC30" i="50"/>
  <c r="CC33" i="50" s="1"/>
  <c r="BV30" i="50"/>
  <c r="BV33" i="50" s="1"/>
  <c r="CI30" i="50"/>
  <c r="CI33" i="50" s="1"/>
  <c r="CH30" i="50"/>
  <c r="CH33" i="50" s="1"/>
  <c r="CG30" i="50"/>
  <c r="CG33" i="50" s="1"/>
  <c r="CF30" i="50"/>
  <c r="CF33" i="50" s="1"/>
  <c r="BM30" i="50"/>
  <c r="BM33" i="50" s="1"/>
  <c r="BN30" i="50"/>
  <c r="BN33" i="50" s="1"/>
  <c r="BO30" i="50"/>
  <c r="BO33" i="50" s="1"/>
  <c r="BJ30" i="50"/>
  <c r="BJ33" i="50" s="1"/>
  <c r="BL30" i="50"/>
  <c r="BL33" i="50" s="1"/>
  <c r="BP30" i="50"/>
  <c r="BP33" i="50" s="1"/>
  <c r="BQ30" i="50"/>
  <c r="BQ33" i="50" s="1"/>
  <c r="BR30" i="50"/>
  <c r="BR33" i="50" s="1"/>
  <c r="BS30" i="50"/>
  <c r="BS33" i="50" s="1"/>
  <c r="BT30" i="50"/>
  <c r="BT33" i="50" s="1"/>
  <c r="BU30" i="50"/>
  <c r="BU33" i="50" s="1"/>
  <c r="BW30" i="50"/>
  <c r="BW33" i="50" s="1"/>
  <c r="BY30" i="50"/>
  <c r="BY33" i="50" s="1"/>
  <c r="CD30" i="50"/>
  <c r="CD33" i="50" s="1"/>
  <c r="CJ25" i="50"/>
  <c r="CJ24" i="50"/>
  <c r="CK23" i="50"/>
  <c r="CK25" i="50"/>
  <c r="CK24" i="50"/>
  <c r="CM23" i="50"/>
  <c r="CM25" i="50"/>
  <c r="CM24" i="50"/>
  <c r="CN23" i="50"/>
  <c r="CN25" i="50"/>
  <c r="CN24" i="50"/>
  <c r="CO23" i="50"/>
  <c r="CO25" i="50"/>
  <c r="CO24" i="50"/>
  <c r="CP23" i="50"/>
  <c r="CP25" i="50"/>
  <c r="CP24" i="50"/>
  <c r="CR23" i="50"/>
  <c r="CR25" i="50"/>
  <c r="CR24" i="50"/>
  <c r="CS23" i="50"/>
  <c r="CS25" i="50"/>
  <c r="CS24" i="50"/>
  <c r="BM23" i="50"/>
  <c r="BM25" i="50"/>
  <c r="BM24" i="50"/>
  <c r="BN23" i="50"/>
  <c r="BN25" i="50"/>
  <c r="BN24" i="50"/>
  <c r="BP23" i="50"/>
  <c r="BP25" i="50"/>
  <c r="BP24" i="50"/>
  <c r="BR25" i="50"/>
  <c r="BR24" i="50"/>
  <c r="BR23" i="50"/>
  <c r="BS23" i="50"/>
  <c r="BS25" i="50"/>
  <c r="BS24" i="50"/>
  <c r="BT23" i="50"/>
  <c r="BT25" i="50"/>
  <c r="BT24" i="50"/>
  <c r="BU23" i="50"/>
  <c r="BU25" i="50"/>
  <c r="BU24" i="50"/>
  <c r="BW23" i="50"/>
  <c r="BW25" i="50"/>
  <c r="BW24" i="50"/>
  <c r="BX23" i="50"/>
  <c r="BX25" i="50"/>
  <c r="BX24" i="50"/>
  <c r="BY23" i="50"/>
  <c r="BY25" i="50"/>
  <c r="BY24" i="50"/>
  <c r="BZ23" i="50"/>
  <c r="BZ25" i="50"/>
  <c r="BZ24" i="50"/>
  <c r="CB25" i="50"/>
  <c r="CB24" i="50"/>
  <c r="CC23" i="50"/>
  <c r="CC25" i="50"/>
  <c r="CC24" i="50"/>
  <c r="CD23" i="50"/>
  <c r="CD25" i="50"/>
  <c r="CD24" i="50"/>
  <c r="CE23" i="50"/>
  <c r="CE25" i="50"/>
  <c r="CE24" i="50"/>
  <c r="CG23" i="50"/>
  <c r="CG25" i="50"/>
  <c r="CG24" i="50"/>
  <c r="CI23" i="50"/>
  <c r="CI25" i="50"/>
  <c r="CI24" i="50"/>
  <c r="H17" i="51"/>
  <c r="H15" i="51"/>
  <c r="B47" i="60"/>
  <c r="AN16" i="59"/>
  <c r="AN17" i="59" s="1"/>
  <c r="B19" i="59"/>
  <c r="C19" i="59"/>
  <c r="D19" i="59"/>
  <c r="D27" i="59" s="1"/>
  <c r="E19" i="59"/>
  <c r="E20" i="59" s="1"/>
  <c r="E50" i="60" s="1"/>
  <c r="F19" i="59"/>
  <c r="F20" i="59" s="1"/>
  <c r="F50" i="60" s="1"/>
  <c r="G19" i="59"/>
  <c r="G48" i="60" s="1"/>
  <c r="H19" i="59"/>
  <c r="H27" i="59" s="1"/>
  <c r="I19" i="59"/>
  <c r="I27" i="59" s="1"/>
  <c r="J19" i="59"/>
  <c r="J20" i="59" s="1"/>
  <c r="J50" i="60" s="1"/>
  <c r="K19" i="59"/>
  <c r="K20" i="59" s="1"/>
  <c r="K50" i="60" s="1"/>
  <c r="L19" i="59"/>
  <c r="L48" i="60" s="1"/>
  <c r="M19" i="59"/>
  <c r="M27" i="59" s="1"/>
  <c r="N19" i="59"/>
  <c r="N20" i="59" s="1"/>
  <c r="N50" i="60" s="1"/>
  <c r="O19" i="59"/>
  <c r="O20" i="59" s="1"/>
  <c r="O50" i="60" s="1"/>
  <c r="P19" i="59"/>
  <c r="P20" i="59" s="1"/>
  <c r="P50" i="60" s="1"/>
  <c r="Q19" i="59"/>
  <c r="Q20" i="59" s="1"/>
  <c r="Q50" i="60" s="1"/>
  <c r="R19" i="59"/>
  <c r="R20" i="59" s="1"/>
  <c r="R50" i="60" s="1"/>
  <c r="S19" i="59"/>
  <c r="S20" i="59" s="1"/>
  <c r="S50" i="60" s="1"/>
  <c r="T19" i="59"/>
  <c r="T20" i="59" s="1"/>
  <c r="T50" i="60" s="1"/>
  <c r="U19" i="59"/>
  <c r="V19" i="59"/>
  <c r="W19" i="59"/>
  <c r="X19" i="59"/>
  <c r="Y19" i="59"/>
  <c r="Z19" i="59"/>
  <c r="AA19" i="59"/>
  <c r="AB19" i="59"/>
  <c r="AC19" i="59"/>
  <c r="AD19" i="59"/>
  <c r="AE19" i="59"/>
  <c r="AF19" i="59"/>
  <c r="AG19" i="59"/>
  <c r="AH19" i="59"/>
  <c r="AI19" i="59"/>
  <c r="AJ19" i="59"/>
  <c r="AK19" i="59"/>
  <c r="AL19" i="59"/>
  <c r="AM19" i="59"/>
  <c r="AH49" i="60"/>
  <c r="AH23" i="59"/>
  <c r="S47" i="60"/>
  <c r="S17" i="59"/>
  <c r="O47" i="60"/>
  <c r="O17" i="59"/>
  <c r="AJ49" i="60"/>
  <c r="AJ23" i="59"/>
  <c r="AG49" i="60"/>
  <c r="AG23" i="59"/>
  <c r="U49" i="60"/>
  <c r="U23" i="59"/>
  <c r="Q17" i="59"/>
  <c r="Q47" i="60"/>
  <c r="AI23" i="59"/>
  <c r="AI49" i="60"/>
  <c r="AF49" i="60"/>
  <c r="AF23" i="59"/>
  <c r="P47" i="60"/>
  <c r="P17" i="59"/>
  <c r="AD49" i="60"/>
  <c r="AD23" i="59"/>
  <c r="R17" i="59"/>
  <c r="R47" i="60"/>
  <c r="AB49" i="60"/>
  <c r="AB23" i="59"/>
  <c r="AE49" i="60"/>
  <c r="AE23" i="59"/>
  <c r="T47" i="60"/>
  <c r="T17" i="59"/>
  <c r="AA23" i="59"/>
  <c r="L17" i="59"/>
  <c r="L47" i="60"/>
  <c r="B23" i="59"/>
  <c r="B27" i="59"/>
  <c r="B20" i="59"/>
  <c r="B50" i="60" s="1"/>
  <c r="B48" i="60"/>
  <c r="D20" i="59"/>
  <c r="D50" i="60" s="1"/>
  <c r="E48" i="60"/>
  <c r="E27" i="59"/>
  <c r="R48" i="60"/>
  <c r="S27" i="59"/>
  <c r="S48" i="60"/>
  <c r="C21" i="50"/>
  <c r="C28" i="50"/>
  <c r="C16" i="50"/>
  <c r="C18" i="50" s="1"/>
  <c r="C5" i="52"/>
  <c r="C8" i="50"/>
  <c r="C11" i="50"/>
  <c r="C13" i="50" s="1"/>
  <c r="D16" i="50"/>
  <c r="D18" i="50" s="1"/>
  <c r="D8" i="50"/>
  <c r="D21" i="50"/>
  <c r="D11" i="50"/>
  <c r="D13" i="50" s="1"/>
  <c r="D5" i="52"/>
  <c r="D28" i="50"/>
  <c r="E11" i="50"/>
  <c r="E13" i="50" s="1"/>
  <c r="E5" i="52"/>
  <c r="E16" i="50"/>
  <c r="E18" i="50" s="1"/>
  <c r="E8" i="50"/>
  <c r="E21" i="50"/>
  <c r="E28" i="50"/>
  <c r="F16" i="50"/>
  <c r="F18" i="50" s="1"/>
  <c r="F8" i="50"/>
  <c r="F5" i="52"/>
  <c r="F28" i="50"/>
  <c r="F21" i="50"/>
  <c r="F11" i="50"/>
  <c r="F13" i="50" s="1"/>
  <c r="G11" i="50"/>
  <c r="G13" i="50" s="1"/>
  <c r="G5" i="52"/>
  <c r="G21" i="50"/>
  <c r="G28" i="50"/>
  <c r="G16" i="50"/>
  <c r="G18" i="50" s="1"/>
  <c r="G8" i="50"/>
  <c r="H28" i="50"/>
  <c r="H5" i="52"/>
  <c r="H8" i="50"/>
  <c r="H16" i="50"/>
  <c r="H18" i="50" s="1"/>
  <c r="H21" i="50"/>
  <c r="H11" i="50"/>
  <c r="H13" i="50" s="1"/>
  <c r="I28" i="50"/>
  <c r="I21" i="50"/>
  <c r="I16" i="50"/>
  <c r="I18" i="50" s="1"/>
  <c r="I8" i="50"/>
  <c r="I11" i="50"/>
  <c r="I13" i="50" s="1"/>
  <c r="I5" i="52"/>
  <c r="J21" i="50"/>
  <c r="J5" i="52"/>
  <c r="J28" i="50"/>
  <c r="J8" i="50"/>
  <c r="J11" i="50"/>
  <c r="J13" i="50" s="1"/>
  <c r="J16" i="50"/>
  <c r="J18" i="50" s="1"/>
  <c r="K21" i="50"/>
  <c r="K28" i="50"/>
  <c r="K8" i="50"/>
  <c r="K16" i="50"/>
  <c r="K18" i="50" s="1"/>
  <c r="K5" i="52"/>
  <c r="K11" i="50"/>
  <c r="K13" i="50" s="1"/>
  <c r="L28" i="50"/>
  <c r="L8" i="50"/>
  <c r="L21" i="50"/>
  <c r="L5" i="52"/>
  <c r="L16" i="50"/>
  <c r="L18" i="50" s="1"/>
  <c r="L11" i="50"/>
  <c r="L13" i="50" s="1"/>
  <c r="M11" i="50"/>
  <c r="M13" i="50" s="1"/>
  <c r="M21" i="50"/>
  <c r="M8" i="50"/>
  <c r="M28" i="50"/>
  <c r="M5" i="52"/>
  <c r="M16" i="50"/>
  <c r="M18" i="50" s="1"/>
  <c r="N5" i="52"/>
  <c r="N16" i="50"/>
  <c r="N18" i="50" s="1"/>
  <c r="N21" i="50"/>
  <c r="N28" i="50"/>
  <c r="N11" i="50"/>
  <c r="N13" i="50" s="1"/>
  <c r="N8" i="50"/>
  <c r="O21" i="50"/>
  <c r="O28" i="50"/>
  <c r="O5" i="52"/>
  <c r="O11" i="50"/>
  <c r="O13" i="50" s="1"/>
  <c r="O16" i="50"/>
  <c r="O18" i="50" s="1"/>
  <c r="O8" i="50"/>
  <c r="P16" i="50"/>
  <c r="P18" i="50" s="1"/>
  <c r="P11" i="50"/>
  <c r="P13" i="50" s="1"/>
  <c r="P8" i="50"/>
  <c r="P5" i="52"/>
  <c r="P28" i="50"/>
  <c r="P21" i="50"/>
  <c r="Q28" i="50"/>
  <c r="Q8" i="50"/>
  <c r="Q5" i="52"/>
  <c r="Q11" i="50"/>
  <c r="Q13" i="50" s="1"/>
  <c r="Q21" i="50"/>
  <c r="Q16" i="50"/>
  <c r="Q18" i="50" s="1"/>
  <c r="R28" i="50"/>
  <c r="R11" i="50"/>
  <c r="R13" i="50" s="1"/>
  <c r="R8" i="50"/>
  <c r="R5" i="52"/>
  <c r="R16" i="50"/>
  <c r="R18" i="50" s="1"/>
  <c r="R21" i="50"/>
  <c r="S21" i="50"/>
  <c r="S11" i="50"/>
  <c r="S13" i="50" s="1"/>
  <c r="S5" i="52"/>
  <c r="S16" i="50"/>
  <c r="S18" i="50" s="1"/>
  <c r="S8" i="50"/>
  <c r="S28" i="50"/>
  <c r="T16" i="50"/>
  <c r="T18" i="50" s="1"/>
  <c r="T28" i="50"/>
  <c r="T5" i="52"/>
  <c r="T21" i="50"/>
  <c r="T11" i="50"/>
  <c r="T13" i="50" s="1"/>
  <c r="T8" i="50"/>
  <c r="U5" i="52"/>
  <c r="U28" i="50"/>
  <c r="U11" i="50"/>
  <c r="U13" i="50" s="1"/>
  <c r="U8" i="50"/>
  <c r="U21" i="50"/>
  <c r="U16" i="50"/>
  <c r="U18" i="50" s="1"/>
  <c r="V21" i="50"/>
  <c r="V28" i="50"/>
  <c r="V16" i="50"/>
  <c r="V18" i="50" s="1"/>
  <c r="V5" i="52"/>
  <c r="V11" i="50"/>
  <c r="V13" i="50" s="1"/>
  <c r="V8" i="50"/>
  <c r="W21" i="50"/>
  <c r="W5" i="52"/>
  <c r="W28" i="50"/>
  <c r="W11" i="50"/>
  <c r="W13" i="50" s="1"/>
  <c r="W8" i="50"/>
  <c r="W16" i="50"/>
  <c r="W18" i="50" s="1"/>
  <c r="X5" i="52"/>
  <c r="X11" i="50"/>
  <c r="X13" i="50" s="1"/>
  <c r="X8" i="50"/>
  <c r="X28" i="50"/>
  <c r="X16" i="50"/>
  <c r="X18" i="50" s="1"/>
  <c r="X21" i="50"/>
  <c r="Y28" i="50"/>
  <c r="Y21" i="50"/>
  <c r="Y11" i="50"/>
  <c r="Y13" i="50" s="1"/>
  <c r="Y16" i="50"/>
  <c r="Y18" i="50" s="1"/>
  <c r="Y5" i="52"/>
  <c r="Y8" i="50"/>
  <c r="Z5" i="52"/>
  <c r="Z16" i="50"/>
  <c r="Z18" i="50" s="1"/>
  <c r="Z8" i="50"/>
  <c r="Z28" i="50"/>
  <c r="Z11" i="50"/>
  <c r="Z13" i="50" s="1"/>
  <c r="Z21" i="50"/>
  <c r="AA8" i="50"/>
  <c r="AA16" i="50"/>
  <c r="AA18" i="50" s="1"/>
  <c r="AA28" i="50"/>
  <c r="AA11" i="50"/>
  <c r="AA13" i="50" s="1"/>
  <c r="AA21" i="50"/>
  <c r="AA5" i="52"/>
  <c r="AB16" i="50"/>
  <c r="AB18" i="50" s="1"/>
  <c r="AB21" i="50"/>
  <c r="AB11" i="50"/>
  <c r="AB13" i="50" s="1"/>
  <c r="AB28" i="50"/>
  <c r="AB5" i="52"/>
  <c r="AB8" i="50"/>
  <c r="AC5" i="52"/>
  <c r="AC28" i="50"/>
  <c r="AC16" i="50"/>
  <c r="AC18" i="50" s="1"/>
  <c r="AC21" i="50"/>
  <c r="AC8" i="50"/>
  <c r="AC11" i="50"/>
  <c r="AC13" i="50" s="1"/>
  <c r="AD16" i="50"/>
  <c r="AD18" i="50" s="1"/>
  <c r="AD21" i="50"/>
  <c r="AD8" i="50"/>
  <c r="AD11" i="50"/>
  <c r="AD13" i="50" s="1"/>
  <c r="AD5" i="52"/>
  <c r="AD28" i="50"/>
  <c r="AE8" i="50"/>
  <c r="AE5" i="52"/>
  <c r="AE16" i="50"/>
  <c r="AE18" i="50" s="1"/>
  <c r="AE11" i="50"/>
  <c r="AE13" i="50" s="1"/>
  <c r="AE21" i="50"/>
  <c r="AE28" i="50"/>
  <c r="AF28" i="50"/>
  <c r="AF21" i="50"/>
  <c r="AF5" i="52"/>
  <c r="AF8" i="50"/>
  <c r="AF16" i="50"/>
  <c r="AF18" i="50" s="1"/>
  <c r="AF11" i="50"/>
  <c r="AF13" i="50" s="1"/>
  <c r="AG5" i="52"/>
  <c r="AG16" i="50"/>
  <c r="AG18" i="50" s="1"/>
  <c r="AG21" i="50"/>
  <c r="AG28" i="50"/>
  <c r="AG11" i="50"/>
  <c r="AG13" i="50" s="1"/>
  <c r="AG8" i="50"/>
  <c r="AH11" i="50"/>
  <c r="AH13" i="50" s="1"/>
  <c r="AH21" i="50"/>
  <c r="AH28" i="50"/>
  <c r="AH5" i="52"/>
  <c r="AH16" i="50"/>
  <c r="AH18" i="50" s="1"/>
  <c r="AH8" i="50"/>
  <c r="AI11" i="50"/>
  <c r="AI13" i="50" s="1"/>
  <c r="AI21" i="50"/>
  <c r="AI16" i="50"/>
  <c r="AI18" i="50" s="1"/>
  <c r="AI28" i="50"/>
  <c r="AI5" i="52"/>
  <c r="AI8" i="50"/>
  <c r="AJ28" i="50"/>
  <c r="AJ16" i="50"/>
  <c r="AJ18" i="50" s="1"/>
  <c r="AJ11" i="50"/>
  <c r="AJ13" i="50" s="1"/>
  <c r="AJ8" i="50"/>
  <c r="AJ21" i="50"/>
  <c r="AJ5" i="52"/>
  <c r="AK28" i="50"/>
  <c r="AK21" i="50"/>
  <c r="AK16" i="50"/>
  <c r="AK18" i="50" s="1"/>
  <c r="AK5" i="52"/>
  <c r="AK11" i="50"/>
  <c r="AK13" i="50" s="1"/>
  <c r="AK8" i="50"/>
  <c r="AL28" i="50"/>
  <c r="AL11" i="50"/>
  <c r="AL13" i="50" s="1"/>
  <c r="AL8" i="50"/>
  <c r="AL21" i="50"/>
  <c r="AL16" i="50"/>
  <c r="AL18" i="50" s="1"/>
  <c r="AL5" i="52"/>
  <c r="AM8" i="50"/>
  <c r="AM28" i="50"/>
  <c r="AM21" i="50"/>
  <c r="AM11" i="50"/>
  <c r="AM13" i="50" s="1"/>
  <c r="AM5" i="52"/>
  <c r="AM16" i="50"/>
  <c r="AM18" i="50" s="1"/>
  <c r="AN28" i="50"/>
  <c r="AN16" i="50"/>
  <c r="AN18" i="50" s="1"/>
  <c r="AN21" i="50"/>
  <c r="AN5" i="52"/>
  <c r="AN11" i="50"/>
  <c r="AN13" i="50" s="1"/>
  <c r="AN8" i="50"/>
  <c r="AO16" i="50"/>
  <c r="AO18" i="50" s="1"/>
  <c r="AO21" i="50"/>
  <c r="AO5" i="52"/>
  <c r="AO8" i="50"/>
  <c r="AO28" i="50"/>
  <c r="AO11" i="50"/>
  <c r="AO13" i="50" s="1"/>
  <c r="AP16" i="50"/>
  <c r="AP18" i="50" s="1"/>
  <c r="AP21" i="50"/>
  <c r="AP11" i="50"/>
  <c r="AP13" i="50" s="1"/>
  <c r="AP5" i="52"/>
  <c r="AP28" i="50"/>
  <c r="AP8" i="50"/>
  <c r="AQ16" i="50"/>
  <c r="AQ18" i="50" s="1"/>
  <c r="AQ11" i="50"/>
  <c r="AQ13" i="50" s="1"/>
  <c r="AQ21" i="50"/>
  <c r="AQ5" i="52"/>
  <c r="AQ8" i="50"/>
  <c r="AR5" i="52"/>
  <c r="AR16" i="50"/>
  <c r="AR18" i="50" s="1"/>
  <c r="AR28" i="50"/>
  <c r="AR8" i="50"/>
  <c r="AR21" i="50"/>
  <c r="AR11" i="50"/>
  <c r="AR13" i="50" s="1"/>
  <c r="AS11" i="50"/>
  <c r="AS13" i="50" s="1"/>
  <c r="AS16" i="50"/>
  <c r="AS18" i="50" s="1"/>
  <c r="AS5" i="52"/>
  <c r="AS28" i="50"/>
  <c r="AS21" i="50"/>
  <c r="AS8" i="50"/>
  <c r="AT5" i="52"/>
  <c r="AT11" i="50"/>
  <c r="AT13" i="50" s="1"/>
  <c r="AT8" i="50"/>
  <c r="AT21" i="50"/>
  <c r="AT28" i="50"/>
  <c r="AT16" i="50"/>
  <c r="AT18" i="50" s="1"/>
  <c r="AU5" i="52"/>
  <c r="AU16" i="50"/>
  <c r="AU18" i="50" s="1"/>
  <c r="AU11" i="50"/>
  <c r="AU13" i="50" s="1"/>
  <c r="AU21" i="50"/>
  <c r="AU28" i="50"/>
  <c r="AU8" i="50"/>
  <c r="AV16" i="50"/>
  <c r="AV18" i="50" s="1"/>
  <c r="AV11" i="50"/>
  <c r="AV13" i="50" s="1"/>
  <c r="AV8" i="50"/>
  <c r="AV21" i="50"/>
  <c r="AV28" i="50"/>
  <c r="AV5" i="52"/>
  <c r="AW16" i="50"/>
  <c r="AW18" i="50" s="1"/>
  <c r="AW21" i="50"/>
  <c r="AW8" i="50"/>
  <c r="AW11" i="50"/>
  <c r="AW13" i="50" s="1"/>
  <c r="AW28" i="50"/>
  <c r="AW5" i="52"/>
  <c r="AX28" i="50"/>
  <c r="AX16" i="50"/>
  <c r="AX18" i="50" s="1"/>
  <c r="AX21" i="50"/>
  <c r="AX8" i="50"/>
  <c r="AX11" i="50"/>
  <c r="AX13" i="50" s="1"/>
  <c r="AX5" i="52"/>
  <c r="AY16" i="50"/>
  <c r="AY18" i="50" s="1"/>
  <c r="AY5" i="52"/>
  <c r="AY11" i="50"/>
  <c r="AY13" i="50" s="1"/>
  <c r="AY28" i="50"/>
  <c r="AY21" i="50"/>
  <c r="AY8" i="50"/>
  <c r="AZ21" i="50"/>
  <c r="AZ16" i="50"/>
  <c r="AZ18" i="50" s="1"/>
  <c r="AZ28" i="50"/>
  <c r="AZ5" i="52"/>
  <c r="AZ11" i="50"/>
  <c r="AZ13" i="50" s="1"/>
  <c r="AZ8" i="50"/>
  <c r="BA16" i="50"/>
  <c r="BA18" i="50" s="1"/>
  <c r="BA21" i="50"/>
  <c r="BA28" i="50"/>
  <c r="BA11" i="50"/>
  <c r="BA13" i="50" s="1"/>
  <c r="BA5" i="52"/>
  <c r="BA8" i="50"/>
  <c r="BB21" i="50"/>
  <c r="BB8" i="50"/>
  <c r="BB28" i="50"/>
  <c r="BB11" i="50"/>
  <c r="BB13" i="50" s="1"/>
  <c r="BB5" i="52"/>
  <c r="BB16" i="50"/>
  <c r="BB18" i="50" s="1"/>
  <c r="BC21" i="50"/>
  <c r="BC28" i="50"/>
  <c r="BC5" i="52"/>
  <c r="BC11" i="50"/>
  <c r="BC13" i="50" s="1"/>
  <c r="BC16" i="50"/>
  <c r="BC18" i="50" s="1"/>
  <c r="BC8" i="50"/>
  <c r="BD28" i="50"/>
  <c r="BD8" i="50"/>
  <c r="BD16" i="50"/>
  <c r="BD18" i="50" s="1"/>
  <c r="BD5" i="52"/>
  <c r="BD21" i="50"/>
  <c r="BD11" i="50"/>
  <c r="BD13" i="50" s="1"/>
  <c r="BE11" i="50"/>
  <c r="BE13" i="50" s="1"/>
  <c r="BE16" i="50"/>
  <c r="BE18" i="50" s="1"/>
  <c r="BE5" i="52"/>
  <c r="BE21" i="50"/>
  <c r="BE28" i="50"/>
  <c r="BE8" i="50"/>
  <c r="BF5" i="52"/>
  <c r="BF11" i="50"/>
  <c r="BF13" i="50" s="1"/>
  <c r="BF16" i="50"/>
  <c r="BF18" i="50" s="1"/>
  <c r="BF8" i="50"/>
  <c r="BF28" i="50"/>
  <c r="BF21" i="50"/>
  <c r="BG5" i="52"/>
  <c r="BG16" i="50"/>
  <c r="BG18" i="50" s="1"/>
  <c r="BG11" i="50"/>
  <c r="BG13" i="50" s="1"/>
  <c r="BG8" i="50"/>
  <c r="BG21" i="50"/>
  <c r="BG28" i="50"/>
  <c r="BH5" i="52"/>
  <c r="BH16" i="50"/>
  <c r="BH18" i="50" s="1"/>
  <c r="BH11" i="50"/>
  <c r="BH13" i="50" s="1"/>
  <c r="BH8" i="50"/>
  <c r="BH21" i="50"/>
  <c r="BH28" i="50"/>
  <c r="BI21" i="50"/>
  <c r="BI5" i="52"/>
  <c r="BI16" i="50"/>
  <c r="BI18" i="50" s="1"/>
  <c r="BI11" i="50"/>
  <c r="BI13" i="50" s="1"/>
  <c r="BI8" i="50"/>
  <c r="BI28" i="50"/>
  <c r="L66" i="47"/>
  <c r="N19" i="47"/>
  <c r="N8" i="47"/>
  <c r="N24" i="47"/>
  <c r="N29" i="47"/>
  <c r="P24" i="47"/>
  <c r="P8" i="47"/>
  <c r="P19" i="47"/>
  <c r="P29" i="47"/>
  <c r="O24" i="47"/>
  <c r="O8" i="47"/>
  <c r="O19" i="47"/>
  <c r="O29" i="47"/>
  <c r="M19" i="47"/>
  <c r="M29" i="47"/>
  <c r="M24" i="47"/>
  <c r="M8" i="47"/>
  <c r="L8" i="47"/>
  <c r="L24" i="47"/>
  <c r="L29" i="47"/>
  <c r="L19" i="47"/>
  <c r="K8" i="47"/>
  <c r="K19" i="47"/>
  <c r="K29" i="47"/>
  <c r="K24" i="47"/>
  <c r="J24" i="47"/>
  <c r="J19" i="47"/>
  <c r="J8" i="47"/>
  <c r="J29" i="47"/>
  <c r="I19" i="47"/>
  <c r="I24" i="47"/>
  <c r="I8" i="47"/>
  <c r="I29" i="47"/>
  <c r="G24" i="47"/>
  <c r="G8" i="47"/>
  <c r="G19" i="47"/>
  <c r="G29" i="47"/>
  <c r="H29" i="47"/>
  <c r="H8" i="47"/>
  <c r="H19" i="47"/>
  <c r="H24" i="47"/>
  <c r="C66" i="47"/>
  <c r="K66" i="47"/>
  <c r="P134" i="28"/>
  <c r="P555" i="28"/>
  <c r="P583" i="28"/>
  <c r="P675" i="28"/>
  <c r="R167" i="53"/>
  <c r="R162" i="53"/>
  <c r="R161" i="53"/>
  <c r="P133" i="28"/>
  <c r="C162" i="53"/>
  <c r="P135" i="28"/>
  <c r="Z13" i="54"/>
  <c r="Z8" i="54"/>
  <c r="P136" i="28"/>
  <c r="R38" i="53"/>
  <c r="P142" i="28"/>
  <c r="K12" i="47"/>
  <c r="R144" i="53"/>
  <c r="P412" i="28"/>
  <c r="X12" i="54"/>
  <c r="Y12" i="54"/>
  <c r="Z12" i="54"/>
  <c r="C24" i="47"/>
  <c r="C8" i="47"/>
  <c r="F24" i="47"/>
  <c r="F8" i="47"/>
  <c r="E24" i="47"/>
  <c r="E8" i="47"/>
  <c r="D8" i="47"/>
  <c r="D24" i="47"/>
  <c r="V61" i="53"/>
  <c r="V60" i="53"/>
  <c r="V103" i="53"/>
  <c r="V102" i="53"/>
  <c r="D12" i="47"/>
  <c r="P12" i="47"/>
  <c r="J12" i="47"/>
  <c r="Q12" i="47"/>
  <c r="M12" i="47"/>
  <c r="G12" i="47"/>
  <c r="R36" i="53"/>
  <c r="R39" i="53"/>
  <c r="P273" i="28"/>
  <c r="N12" i="47"/>
  <c r="L12" i="47"/>
  <c r="I12" i="47"/>
  <c r="H12" i="47"/>
  <c r="E12" i="47"/>
  <c r="P656" i="28"/>
  <c r="O12" i="47"/>
  <c r="F12" i="47"/>
  <c r="M43" i="47"/>
  <c r="M16" i="47"/>
  <c r="M66" i="47"/>
  <c r="F43" i="47"/>
  <c r="F16" i="47"/>
  <c r="F66" i="47"/>
  <c r="G43" i="47"/>
  <c r="G16" i="47"/>
  <c r="D66" i="47"/>
  <c r="D43" i="47"/>
  <c r="D16" i="47"/>
  <c r="I16" i="47"/>
  <c r="I43" i="47"/>
  <c r="H43" i="47"/>
  <c r="H16" i="47"/>
  <c r="K43" i="47"/>
  <c r="K16" i="47"/>
  <c r="C16" i="47"/>
  <c r="C43" i="47"/>
  <c r="O16" i="47"/>
  <c r="O66" i="47"/>
  <c r="O43" i="47"/>
  <c r="N43" i="47"/>
  <c r="N16" i="47"/>
  <c r="N66" i="47"/>
  <c r="E16" i="47"/>
  <c r="E66" i="47"/>
  <c r="E43" i="47"/>
  <c r="P43" i="47"/>
  <c r="P16" i="47"/>
  <c r="P66" i="47"/>
  <c r="J16" i="47"/>
  <c r="J66" i="47"/>
  <c r="J43" i="47"/>
  <c r="L16" i="47"/>
  <c r="L43" i="47"/>
  <c r="R128" i="53"/>
  <c r="R133" i="53"/>
  <c r="R129" i="53"/>
  <c r="R80" i="53"/>
  <c r="R5" i="55"/>
  <c r="R77" i="53"/>
  <c r="R81" i="53"/>
  <c r="R90" i="53"/>
  <c r="R6" i="55"/>
  <c r="R35" i="53"/>
  <c r="R40" i="53"/>
  <c r="R119" i="55"/>
  <c r="R145" i="53"/>
  <c r="R150" i="53"/>
  <c r="R107" i="53" a="1"/>
  <c r="R107" i="53" s="1"/>
  <c r="M20" i="47" a="1"/>
  <c r="M20" i="47" s="1"/>
  <c r="M21" i="47" s="1"/>
  <c r="D20" i="47" a="1"/>
  <c r="D20" i="47" s="1"/>
  <c r="D21" i="47" s="1"/>
  <c r="K20" i="47" a="1"/>
  <c r="K20" i="47" s="1"/>
  <c r="K21" i="47" s="1"/>
  <c r="O20" i="47" a="1"/>
  <c r="O20" i="47" s="1"/>
  <c r="O21" i="47" s="1"/>
  <c r="C20" i="47" a="1"/>
  <c r="C20" i="47" s="1"/>
  <c r="C21" i="47" s="1"/>
  <c r="R68" i="53" a="1"/>
  <c r="R68" i="53" s="1"/>
  <c r="R87" i="53" s="1"/>
  <c r="J20" i="47" a="1"/>
  <c r="J20" i="47" s="1"/>
  <c r="J21" i="47" s="1"/>
  <c r="R28" i="53" a="1"/>
  <c r="R28" i="53" s="1"/>
  <c r="F20" i="47" a="1"/>
  <c r="F20" i="47" s="1"/>
  <c r="P20" i="47" a="1"/>
  <c r="P20" i="47" s="1"/>
  <c r="P21" i="47" s="1"/>
  <c r="I20" i="47" a="1"/>
  <c r="I20" i="47" s="1"/>
  <c r="I21" i="47" s="1"/>
  <c r="R20" i="47" a="1"/>
  <c r="R20" i="47" s="1"/>
  <c r="Q20" i="47" a="1"/>
  <c r="Q20" i="47" s="1"/>
  <c r="R8" i="53" a="1"/>
  <c r="R8" i="53" s="1"/>
  <c r="R15" i="53" s="1"/>
  <c r="G20" i="47" a="1"/>
  <c r="G20" i="47" s="1"/>
  <c r="G21" i="47" s="1"/>
  <c r="L20" i="47" a="1"/>
  <c r="L20" i="47" s="1"/>
  <c r="L21" i="47" s="1"/>
  <c r="E20" i="47" a="1"/>
  <c r="E20" i="47" s="1"/>
  <c r="E21" i="47" s="1"/>
  <c r="R141" i="53" a="1"/>
  <c r="R141" i="53" s="1"/>
  <c r="R158" i="53" a="1"/>
  <c r="R158" i="53" s="1"/>
  <c r="R165" i="53" s="1"/>
  <c r="R124" i="53" a="1"/>
  <c r="R124" i="53" s="1"/>
  <c r="R131" i="53" s="1"/>
  <c r="H20" i="47" a="1"/>
  <c r="H20" i="47" s="1"/>
  <c r="H21" i="47" s="1"/>
  <c r="N20" i="47" a="1"/>
  <c r="N20" i="47" s="1"/>
  <c r="N21" i="47" s="1"/>
  <c r="L25" i="47" a="1"/>
  <c r="L25" i="47" s="1"/>
  <c r="L26" i="47" s="1"/>
  <c r="R125" i="53" a="1"/>
  <c r="R125" i="53" s="1"/>
  <c r="R132" i="53" s="1"/>
  <c r="R9" i="53" a="1"/>
  <c r="R9" i="53" s="1"/>
  <c r="R16" i="53" s="1"/>
  <c r="R29" i="53" a="1"/>
  <c r="R29" i="53" s="1"/>
  <c r="N25" i="47" a="1"/>
  <c r="N25" i="47" s="1"/>
  <c r="N26" i="47" s="1"/>
  <c r="M25" i="47" a="1"/>
  <c r="M25" i="47" s="1"/>
  <c r="M26" i="47" s="1"/>
  <c r="Q25" i="47" a="1"/>
  <c r="Q25" i="47" s="1"/>
  <c r="R25" i="47" a="1"/>
  <c r="R25" i="47" s="1"/>
  <c r="R50" i="47" s="1"/>
  <c r="P25" i="47" a="1"/>
  <c r="P25" i="47" s="1"/>
  <c r="P26" i="47" s="1"/>
  <c r="R69" i="53" a="1"/>
  <c r="R69" i="53" s="1"/>
  <c r="R88" i="53" s="1"/>
  <c r="R159" i="53" a="1"/>
  <c r="R159" i="53" s="1"/>
  <c r="R166" i="53" s="1"/>
  <c r="R108" i="53" a="1"/>
  <c r="R108" i="53" s="1"/>
  <c r="R115" i="53" s="1"/>
  <c r="O25" i="47" a="1"/>
  <c r="O25" i="47" s="1"/>
  <c r="O26" i="47" s="1"/>
  <c r="R142" i="53" a="1"/>
  <c r="R142" i="53" s="1"/>
  <c r="R149" i="53" s="1"/>
  <c r="G25" i="47" a="1"/>
  <c r="G25" i="47" s="1"/>
  <c r="G26" i="47" s="1"/>
  <c r="H25" i="47" a="1"/>
  <c r="H25" i="47" s="1"/>
  <c r="H26" i="47" s="1"/>
  <c r="C25" i="47" a="1"/>
  <c r="C25" i="47" s="1"/>
  <c r="J25" i="47" a="1"/>
  <c r="J25" i="47" s="1"/>
  <c r="J26" i="47" s="1"/>
  <c r="E25" i="47" a="1"/>
  <c r="E25" i="47" s="1"/>
  <c r="I25" i="47" a="1"/>
  <c r="I25" i="47" s="1"/>
  <c r="I26" i="47" s="1"/>
  <c r="F25" i="47" a="1"/>
  <c r="F25" i="47" s="1"/>
  <c r="F9" i="48" s="1"/>
  <c r="K25" i="47" a="1"/>
  <c r="K25" i="47" s="1"/>
  <c r="K26" i="47" s="1"/>
  <c r="D25" i="47" a="1"/>
  <c r="D25" i="47" s="1"/>
  <c r="R45" i="53"/>
  <c r="R47" i="53"/>
  <c r="R46" i="53"/>
  <c r="S68" i="53" a="1"/>
  <c r="S68" i="53" s="1"/>
  <c r="S65" i="53" a="1"/>
  <c r="S65" i="53" s="1"/>
  <c r="S123" i="53" a="1"/>
  <c r="S123" i="53" s="1"/>
  <c r="S134" i="53" s="1"/>
  <c r="S141" i="53" a="1"/>
  <c r="S141" i="53" s="1"/>
  <c r="S29" i="53" a="1"/>
  <c r="S29" i="53" s="1"/>
  <c r="S24" i="53" a="1"/>
  <c r="S24" i="53" s="1"/>
  <c r="S125" i="53" a="1"/>
  <c r="S125" i="53" s="1"/>
  <c r="S158" i="53" a="1"/>
  <c r="S158" i="53" s="1"/>
  <c r="S8" i="53" a="1"/>
  <c r="S8" i="53" s="1"/>
  <c r="S32" i="53" a="1"/>
  <c r="S32" i="53" s="1"/>
  <c r="S26" i="53" a="1"/>
  <c r="S26" i="53" s="1"/>
  <c r="S108" i="53" a="1"/>
  <c r="S108" i="53" s="1"/>
  <c r="S7" i="53" a="1"/>
  <c r="S7" i="53" s="1"/>
  <c r="S18" i="53" s="1"/>
  <c r="S21" i="53" s="1"/>
  <c r="S28" i="53" a="1"/>
  <c r="S28" i="53" s="1"/>
  <c r="S72" i="53" a="1"/>
  <c r="S72" i="53" s="1"/>
  <c r="S67" i="53" a="1"/>
  <c r="S67" i="53" s="1"/>
  <c r="S126" i="53" a="1"/>
  <c r="S126" i="53" s="1"/>
  <c r="S159" i="53" a="1"/>
  <c r="S159" i="53" s="1"/>
  <c r="T311" i="53"/>
  <c r="S9" i="53" a="1"/>
  <c r="S9" i="53" s="1"/>
  <c r="S31" i="53" a="1"/>
  <c r="S31" i="53" s="1"/>
  <c r="S27" i="53" a="1"/>
  <c r="S27" i="53" s="1"/>
  <c r="S73" i="53" a="1"/>
  <c r="S73" i="53" s="1"/>
  <c r="S86" i="53" s="1"/>
  <c r="S71" i="53" a="1"/>
  <c r="S71" i="53" s="1"/>
  <c r="S66" i="53" a="1"/>
  <c r="S66" i="53" s="1"/>
  <c r="S109" i="53" a="1"/>
  <c r="S109" i="53" s="1"/>
  <c r="S142" i="53" a="1"/>
  <c r="S142" i="53" s="1"/>
  <c r="S140" i="53" a="1"/>
  <c r="S140" i="53" s="1"/>
  <c r="S151" i="53" s="1"/>
  <c r="S160" i="53" a="1"/>
  <c r="S160" i="53" s="1"/>
  <c r="S33" i="53" a="1"/>
  <c r="S33" i="53" s="1"/>
  <c r="S44" i="53" s="1"/>
  <c r="S25" i="53" a="1"/>
  <c r="S25" i="53" s="1"/>
  <c r="S107" i="53" a="1"/>
  <c r="S107" i="53" s="1"/>
  <c r="S124" i="53" a="1"/>
  <c r="S124" i="53" s="1"/>
  <c r="S10" i="53" a="1"/>
  <c r="S10" i="53" s="1"/>
  <c r="S30" i="53" a="1"/>
  <c r="S30" i="53" s="1"/>
  <c r="S70" i="53" a="1"/>
  <c r="S70" i="53" s="1"/>
  <c r="S64" i="53" a="1"/>
  <c r="S64" i="53" s="1"/>
  <c r="S157" i="53" a="1"/>
  <c r="S157" i="53" s="1"/>
  <c r="S168" i="53" s="1"/>
  <c r="S69" i="53" a="1"/>
  <c r="S69" i="53" s="1"/>
  <c r="S106" i="53" a="1"/>
  <c r="S106" i="53" s="1"/>
  <c r="S143" i="53" a="1"/>
  <c r="S143" i="53" s="1"/>
  <c r="R49" i="53"/>
  <c r="R48" i="53"/>
  <c r="R37" i="53"/>
  <c r="R13" i="53"/>
  <c r="R17" i="53"/>
  <c r="R12" i="53"/>
  <c r="R116" i="53"/>
  <c r="R111" i="53"/>
  <c r="R110" i="53"/>
  <c r="R78" i="53"/>
  <c r="R79" i="53"/>
  <c r="R82" i="53"/>
  <c r="R91" i="53"/>
  <c r="R74" i="53"/>
  <c r="R89" i="53"/>
  <c r="R75" i="53"/>
  <c r="R18" i="53"/>
  <c r="R21" i="53" s="1"/>
  <c r="B11" i="55"/>
  <c r="R96" i="53"/>
  <c r="R99" i="53" s="1"/>
  <c r="R84" i="53"/>
  <c r="B44" i="53"/>
  <c r="R44" i="53"/>
  <c r="B121" i="55"/>
  <c r="R52" i="53"/>
  <c r="R61" i="53" s="1"/>
  <c r="R141" i="55" s="1"/>
  <c r="R86" i="53"/>
  <c r="B126" i="55"/>
  <c r="R43" i="53"/>
  <c r="R55" i="53"/>
  <c r="R58" i="53" s="1"/>
  <c r="B120" i="55"/>
  <c r="R51" i="53"/>
  <c r="R60" i="53" s="1"/>
  <c r="R139" i="55" s="1"/>
  <c r="B125" i="55"/>
  <c r="R54" i="53"/>
  <c r="R57" i="53" s="1"/>
  <c r="R42" i="53"/>
  <c r="B7" i="55"/>
  <c r="R94" i="53"/>
  <c r="R103" i="53" s="1"/>
  <c r="R27" i="55" s="1"/>
  <c r="B6" i="55"/>
  <c r="R93" i="53"/>
  <c r="R102" i="53" s="1"/>
  <c r="R25" i="55" s="1"/>
  <c r="R85" i="53"/>
  <c r="R97" i="53"/>
  <c r="R100" i="53" s="1"/>
  <c r="R164" i="53"/>
  <c r="R169" i="53"/>
  <c r="R152" i="53"/>
  <c r="R147" i="53"/>
  <c r="R135" i="53"/>
  <c r="R130" i="53"/>
  <c r="R118" i="53"/>
  <c r="R113" i="53"/>
  <c r="R95" i="53"/>
  <c r="R98" i="53" s="1"/>
  <c r="R83" i="53"/>
  <c r="B41" i="53"/>
  <c r="B127" i="55" s="1"/>
  <c r="R53" i="53"/>
  <c r="R56" i="53" s="1"/>
  <c r="R41" i="53"/>
  <c r="R19" i="53"/>
  <c r="R20" i="53" s="1"/>
  <c r="R14" i="53"/>
  <c r="R50" i="53"/>
  <c r="R59" i="53" s="1"/>
  <c r="R137" i="55" s="1"/>
  <c r="R151" i="53"/>
  <c r="R134" i="53"/>
  <c r="R92" i="53"/>
  <c r="R101" i="53" s="1"/>
  <c r="R23" i="55" s="1"/>
  <c r="R168" i="53"/>
  <c r="R117" i="53"/>
  <c r="F11" i="55"/>
  <c r="F126" i="55"/>
  <c r="F125" i="55"/>
  <c r="F12" i="55"/>
  <c r="F10" i="55"/>
  <c r="F124" i="55"/>
  <c r="C128" i="53"/>
  <c r="Q24" i="47"/>
  <c r="Q19" i="47"/>
  <c r="Q29" i="47"/>
  <c r="Q8" i="47"/>
  <c r="Q16" i="47"/>
  <c r="Q43" i="47"/>
  <c r="Q66" i="47"/>
  <c r="R36" i="47"/>
  <c r="R58" i="47"/>
  <c r="R12" i="47"/>
  <c r="R16" i="47"/>
  <c r="R43" i="47"/>
  <c r="R66" i="47"/>
  <c r="S15" i="47" a="1"/>
  <c r="S15" i="47" s="1"/>
  <c r="S20" i="47" a="1"/>
  <c r="S20" i="47" s="1"/>
  <c r="S25" i="47" a="1"/>
  <c r="S25" i="47" s="1"/>
  <c r="S30" i="47" a="1"/>
  <c r="S30" i="47" s="1"/>
  <c r="S37" i="47" a="1"/>
  <c r="S37" i="47" s="1"/>
  <c r="S61" i="47" s="1"/>
  <c r="S62" i="47" s="1"/>
  <c r="S11" i="47" a="1"/>
  <c r="S11" i="47" s="1"/>
  <c r="S6" i="48" s="1"/>
  <c r="S44" i="47" a="1"/>
  <c r="S44" i="47" s="1"/>
  <c r="S69" i="47" s="1"/>
  <c r="R52" i="47"/>
  <c r="R55" i="47" s="1"/>
  <c r="R23" i="48" s="1"/>
  <c r="R19" i="47"/>
  <c r="R21" i="47" s="1"/>
  <c r="R8" i="47"/>
  <c r="R24" i="47"/>
  <c r="R29" i="47"/>
  <c r="B12" i="47"/>
  <c r="R60" i="47"/>
  <c r="R63" i="47" s="1"/>
  <c r="R25" i="48" s="1"/>
  <c r="R69" i="47"/>
  <c r="R61" i="47"/>
  <c r="R62" i="47" s="1"/>
  <c r="R53" i="47"/>
  <c r="R54" i="47" s="1"/>
  <c r="S53" i="47"/>
  <c r="S54" i="47" s="1"/>
  <c r="R68" i="47"/>
  <c r="B66" i="47"/>
  <c r="B16" i="47"/>
  <c r="S7" i="47" a="1"/>
  <c r="S7" i="47" s="1"/>
  <c r="S5" i="48" s="1"/>
  <c r="T80" i="47"/>
  <c r="AG8" i="48"/>
  <c r="V68" i="47"/>
  <c r="V71" i="47" s="1"/>
  <c r="P304" i="28"/>
  <c r="P50" i="28"/>
  <c r="P667" i="28"/>
  <c r="P180" i="28"/>
  <c r="P52" i="28"/>
  <c r="C12" i="48"/>
  <c r="AD10" i="48" s="1"/>
  <c r="E12" i="48"/>
  <c r="AF10" i="48" s="1"/>
  <c r="D12" i="48"/>
  <c r="AE10" i="48" s="1"/>
  <c r="E11" i="48"/>
  <c r="C11" i="48"/>
  <c r="B61" i="47"/>
  <c r="B62" i="47" s="1"/>
  <c r="D11" i="48"/>
  <c r="B53" i="47"/>
  <c r="M5" i="48"/>
  <c r="N5" i="48"/>
  <c r="O5" i="48"/>
  <c r="P5" i="48"/>
  <c r="P2" i="28"/>
  <c r="P343" i="28"/>
  <c r="P456" i="28"/>
  <c r="P391" i="28"/>
  <c r="P59" i="28"/>
  <c r="P143" i="28"/>
  <c r="P730" i="28"/>
  <c r="P144" i="28"/>
  <c r="P75" i="28"/>
  <c r="AF9" i="48"/>
  <c r="AD9" i="48"/>
  <c r="AD8" i="48" s="1"/>
  <c r="AE9" i="48"/>
  <c r="AE8" i="48" s="1"/>
  <c r="P332" i="28"/>
  <c r="P281" i="28"/>
  <c r="P290" i="28"/>
  <c r="P563" i="28"/>
  <c r="P457" i="28"/>
  <c r="P673" i="28"/>
  <c r="N18" i="54"/>
  <c r="Q10" i="54"/>
  <c r="Q18" i="54" s="1"/>
  <c r="Q12" i="53"/>
  <c r="P12" i="53"/>
  <c r="O12" i="53"/>
  <c r="P91" i="28"/>
  <c r="P241" i="28"/>
  <c r="Z9" i="54"/>
  <c r="Z18" i="54" s="1"/>
  <c r="W18" i="54"/>
  <c r="V11" i="54" a="1"/>
  <c r="V11" i="54" s="1"/>
  <c r="Y11" i="54" s="1"/>
  <c r="M10" i="54" a="1"/>
  <c r="M10" i="54" s="1"/>
  <c r="M13" i="54" a="1"/>
  <c r="M13" i="54" s="1"/>
  <c r="P13" i="54" s="1"/>
  <c r="V12" i="54" a="1"/>
  <c r="V12" i="54" s="1"/>
  <c r="V8" i="54" a="1"/>
  <c r="V8" i="54" s="1"/>
  <c r="Y8" i="54" s="1"/>
  <c r="V13" i="54" a="1"/>
  <c r="V13" i="54" s="1"/>
  <c r="Y13" i="54" s="1"/>
  <c r="M14" i="54" a="1"/>
  <c r="M14" i="54" s="1"/>
  <c r="P14" i="54" s="1"/>
  <c r="M11" i="54" a="1"/>
  <c r="M11" i="54" s="1"/>
  <c r="P11" i="54" s="1"/>
  <c r="V10" i="54" a="1"/>
  <c r="V10" i="54" s="1"/>
  <c r="Y10" i="54" s="1"/>
  <c r="M8" i="54" a="1"/>
  <c r="M8" i="54" s="1"/>
  <c r="P8" i="54" s="1"/>
  <c r="V14" i="54" a="1"/>
  <c r="V14" i="54" s="1"/>
  <c r="Y14" i="54" s="1"/>
  <c r="M9" i="54" a="1"/>
  <c r="M9" i="54" s="1"/>
  <c r="P9" i="54" s="1"/>
  <c r="M7" i="54" a="1"/>
  <c r="M7" i="54" s="1"/>
  <c r="P7" i="54" s="1"/>
  <c r="V7" i="54" a="1"/>
  <c r="V7" i="54" s="1"/>
  <c r="Y7" i="54" s="1"/>
  <c r="M12" i="54" a="1"/>
  <c r="M12" i="54" s="1"/>
  <c r="P12" i="54" s="1"/>
  <c r="V9" i="54" a="1"/>
  <c r="V9" i="54" s="1"/>
  <c r="L8" i="54" a="1"/>
  <c r="L8" i="54" s="1"/>
  <c r="O8" i="54" s="1"/>
  <c r="U13" i="54" a="1"/>
  <c r="U13" i="54" s="1"/>
  <c r="X13" i="54" s="1"/>
  <c r="L12" i="54" a="1"/>
  <c r="L12" i="54" s="1"/>
  <c r="O12" i="54" s="1"/>
  <c r="L10" i="54" a="1"/>
  <c r="L10" i="54" s="1"/>
  <c r="U10" i="54" a="1"/>
  <c r="U10" i="54" s="1"/>
  <c r="X10" i="54" s="1"/>
  <c r="L7" i="54" a="1"/>
  <c r="L7" i="54" s="1"/>
  <c r="O7" i="54" s="1"/>
  <c r="L13" i="54" a="1"/>
  <c r="L13" i="54" s="1"/>
  <c r="O13" i="54" s="1"/>
  <c r="L14" i="54" a="1"/>
  <c r="L14" i="54" s="1"/>
  <c r="O14" i="54" s="1"/>
  <c r="U8" i="54" a="1"/>
  <c r="U8" i="54" s="1"/>
  <c r="X8" i="54" s="1"/>
  <c r="L11" i="54" a="1"/>
  <c r="L11" i="54" s="1"/>
  <c r="O11" i="54" s="1"/>
  <c r="L9" i="54" a="1"/>
  <c r="L9" i="54" s="1"/>
  <c r="O9" i="54" s="1"/>
  <c r="U14" i="54" a="1"/>
  <c r="U14" i="54" s="1"/>
  <c r="X14" i="54" s="1"/>
  <c r="U12" i="54" a="1"/>
  <c r="U12" i="54" s="1"/>
  <c r="U9" i="54" a="1"/>
  <c r="U9" i="54" s="1"/>
  <c r="U11" i="54" a="1"/>
  <c r="U11" i="54" s="1"/>
  <c r="X11" i="54" s="1"/>
  <c r="U7" i="54" a="1"/>
  <c r="U7" i="54" s="1"/>
  <c r="X7" i="54" s="1"/>
  <c r="P334" i="28"/>
  <c r="AQ28" i="50"/>
  <c r="P579" i="28"/>
  <c r="N145" i="53"/>
  <c r="P22" i="28"/>
  <c r="E48" i="53"/>
  <c r="E120" i="55"/>
  <c r="B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12" i="48"/>
  <c r="Q79" i="53"/>
  <c r="P79" i="53"/>
  <c r="N90" i="53"/>
  <c r="B8" i="53" a="1"/>
  <c r="B8" i="53" s="1"/>
  <c r="B13" i="53" s="1"/>
  <c r="C8" i="54" a="1"/>
  <c r="C8" i="54" s="1"/>
  <c r="G81" i="53"/>
  <c r="G6" i="55"/>
  <c r="F81" i="53"/>
  <c r="F6" i="55"/>
  <c r="B78" i="53"/>
  <c r="B20" i="55" s="1"/>
  <c r="V20" i="55" s="1"/>
  <c r="B12" i="55"/>
  <c r="O79" i="53"/>
  <c r="O7" i="55"/>
  <c r="N79" i="53"/>
  <c r="N7" i="55"/>
  <c r="M79" i="53"/>
  <c r="M7" i="55"/>
  <c r="L79" i="53"/>
  <c r="L7" i="55"/>
  <c r="K79" i="53"/>
  <c r="K7" i="55"/>
  <c r="J79" i="53"/>
  <c r="J7" i="55"/>
  <c r="I79" i="53"/>
  <c r="I7" i="55"/>
  <c r="H79" i="53"/>
  <c r="H7" i="55"/>
  <c r="G79" i="53"/>
  <c r="G7" i="55"/>
  <c r="F79" i="53"/>
  <c r="F21" i="55" s="1"/>
  <c r="F7" i="55"/>
  <c r="E79" i="53"/>
  <c r="E21" i="55" s="1"/>
  <c r="E7" i="55"/>
  <c r="D79" i="53"/>
  <c r="D21" i="55" s="1"/>
  <c r="D7" i="55"/>
  <c r="C79" i="53"/>
  <c r="C21" i="55" s="1"/>
  <c r="C7" i="55"/>
  <c r="F68" i="47"/>
  <c r="E68" i="47"/>
  <c r="D68" i="47"/>
  <c r="I68" i="47"/>
  <c r="H68" i="47"/>
  <c r="N68" i="47"/>
  <c r="O68" i="47"/>
  <c r="P68" i="47"/>
  <c r="Q68" i="47"/>
  <c r="C68" i="47"/>
  <c r="G68" i="47"/>
  <c r="B68" i="47"/>
  <c r="K68" i="47"/>
  <c r="L68" i="47"/>
  <c r="M68" i="47"/>
  <c r="J68" i="47"/>
  <c r="B60" i="47"/>
  <c r="B63" i="47" s="1"/>
  <c r="B58" i="47"/>
  <c r="D48" i="53"/>
  <c r="I49" i="53"/>
  <c r="B39" i="53"/>
  <c r="B135" i="55" s="1"/>
  <c r="V135" i="55" s="1"/>
  <c r="D55" i="53"/>
  <c r="D58" i="53" s="1"/>
  <c r="D142" i="55" s="1"/>
  <c r="E55" i="53"/>
  <c r="E58" i="53" s="1"/>
  <c r="E142" i="55" s="1"/>
  <c r="F55" i="53"/>
  <c r="F58" i="53" s="1"/>
  <c r="F142" i="55" s="1"/>
  <c r="G55" i="53"/>
  <c r="G58" i="53" s="1"/>
  <c r="I55" i="53"/>
  <c r="I58" i="53" s="1"/>
  <c r="J55" i="53"/>
  <c r="J58" i="53" s="1"/>
  <c r="L55" i="53"/>
  <c r="L58" i="53" s="1"/>
  <c r="M55" i="53"/>
  <c r="M58" i="53" s="1"/>
  <c r="P55" i="53"/>
  <c r="P58" i="53" s="1"/>
  <c r="B55" i="53"/>
  <c r="B58" i="53" s="1"/>
  <c r="O55" i="53"/>
  <c r="O58" i="53" s="1"/>
  <c r="C55" i="53"/>
  <c r="C58" i="53" s="1"/>
  <c r="H55" i="53"/>
  <c r="H58" i="53" s="1"/>
  <c r="K55" i="53"/>
  <c r="K58" i="53" s="1"/>
  <c r="N55" i="53"/>
  <c r="N58" i="53" s="1"/>
  <c r="Q55" i="53"/>
  <c r="Q58" i="53" s="1"/>
  <c r="C54" i="53"/>
  <c r="C57" i="53" s="1"/>
  <c r="E54" i="53"/>
  <c r="E57" i="53" s="1"/>
  <c r="E140" i="55" s="1"/>
  <c r="I54" i="53"/>
  <c r="I57" i="53" s="1"/>
  <c r="K54" i="53"/>
  <c r="K57" i="53" s="1"/>
  <c r="L54" i="53"/>
  <c r="L57" i="53" s="1"/>
  <c r="M54" i="53"/>
  <c r="M57" i="53" s="1"/>
  <c r="P54" i="53"/>
  <c r="P57" i="53" s="1"/>
  <c r="Q54" i="53"/>
  <c r="Q57" i="53" s="1"/>
  <c r="N54" i="53"/>
  <c r="N57" i="53" s="1"/>
  <c r="F54" i="53"/>
  <c r="F57" i="53" s="1"/>
  <c r="F140" i="55" s="1"/>
  <c r="B54" i="53"/>
  <c r="B57" i="53" s="1"/>
  <c r="G54" i="53"/>
  <c r="G57" i="53" s="1"/>
  <c r="D54" i="53"/>
  <c r="D57" i="53" s="1"/>
  <c r="D140" i="55" s="1"/>
  <c r="H54" i="53"/>
  <c r="H57" i="53" s="1"/>
  <c r="J54" i="53"/>
  <c r="J57" i="53" s="1"/>
  <c r="O54" i="53"/>
  <c r="O57" i="53" s="1"/>
  <c r="C49" i="53"/>
  <c r="C48" i="53"/>
  <c r="Q48" i="53"/>
  <c r="G48" i="53"/>
  <c r="J49" i="53"/>
  <c r="F48" i="53"/>
  <c r="L49" i="53"/>
  <c r="G52" i="53"/>
  <c r="G61" i="53" s="1"/>
  <c r="G141" i="55" s="1"/>
  <c r="I52" i="53"/>
  <c r="I61" i="53" s="1"/>
  <c r="I141" i="55" s="1"/>
  <c r="K52" i="53"/>
  <c r="K61" i="53" s="1"/>
  <c r="K141" i="55" s="1"/>
  <c r="J52" i="53"/>
  <c r="J61" i="53" s="1"/>
  <c r="J141" i="55" s="1"/>
  <c r="D52" i="53"/>
  <c r="D61" i="53" s="1"/>
  <c r="D141" i="55" s="1"/>
  <c r="P52" i="53"/>
  <c r="P61" i="53" s="1"/>
  <c r="P141" i="55" s="1"/>
  <c r="F52" i="53"/>
  <c r="F61" i="53" s="1"/>
  <c r="F141" i="55" s="1"/>
  <c r="B52" i="53"/>
  <c r="B61" i="53" s="1"/>
  <c r="Q52" i="53"/>
  <c r="Q61" i="53" s="1"/>
  <c r="Q141" i="55" s="1"/>
  <c r="O52" i="53"/>
  <c r="O61" i="53" s="1"/>
  <c r="O141" i="55" s="1"/>
  <c r="N52" i="53"/>
  <c r="N61" i="53" s="1"/>
  <c r="N141" i="55" s="1"/>
  <c r="M52" i="53"/>
  <c r="M61" i="53" s="1"/>
  <c r="M141" i="55" s="1"/>
  <c r="C52" i="53"/>
  <c r="C61" i="53" s="1"/>
  <c r="E52" i="53"/>
  <c r="E61" i="53" s="1"/>
  <c r="E141" i="55" s="1"/>
  <c r="H52" i="53"/>
  <c r="H61" i="53" s="1"/>
  <c r="H141" i="55" s="1"/>
  <c r="L52" i="53"/>
  <c r="L61" i="53" s="1"/>
  <c r="L141" i="55" s="1"/>
  <c r="B48" i="53"/>
  <c r="M51" i="53"/>
  <c r="M60" i="53" s="1"/>
  <c r="M139" i="55" s="1"/>
  <c r="O51" i="53"/>
  <c r="O60" i="53" s="1"/>
  <c r="O139" i="55" s="1"/>
  <c r="P51" i="53"/>
  <c r="P60" i="53" s="1"/>
  <c r="P139" i="55" s="1"/>
  <c r="Q51" i="53"/>
  <c r="Q60" i="53" s="1"/>
  <c r="Q139" i="55" s="1"/>
  <c r="B51" i="53"/>
  <c r="B60" i="53" s="1"/>
  <c r="D51" i="53"/>
  <c r="D60" i="53" s="1"/>
  <c r="D139" i="55" s="1"/>
  <c r="K51" i="53"/>
  <c r="K60" i="53" s="1"/>
  <c r="K139" i="55" s="1"/>
  <c r="N51" i="53"/>
  <c r="N60" i="53" s="1"/>
  <c r="N139" i="55" s="1"/>
  <c r="C51" i="53"/>
  <c r="C60" i="53" s="1"/>
  <c r="E51" i="53"/>
  <c r="E60" i="53" s="1"/>
  <c r="E139" i="55" s="1"/>
  <c r="F51" i="53"/>
  <c r="F60" i="53" s="1"/>
  <c r="F139" i="55" s="1"/>
  <c r="G51" i="53"/>
  <c r="G60" i="53" s="1"/>
  <c r="G139" i="55" s="1"/>
  <c r="H51" i="53"/>
  <c r="H60" i="53" s="1"/>
  <c r="H139" i="55" s="1"/>
  <c r="I51" i="53"/>
  <c r="I60" i="53" s="1"/>
  <c r="I139" i="55" s="1"/>
  <c r="J51" i="53"/>
  <c r="J60" i="53" s="1"/>
  <c r="J139" i="55" s="1"/>
  <c r="L51" i="53"/>
  <c r="L60" i="53" s="1"/>
  <c r="L139" i="55" s="1"/>
  <c r="B49" i="53"/>
  <c r="Q39" i="53"/>
  <c r="Q49" i="53"/>
  <c r="P37" i="53"/>
  <c r="P48" i="53"/>
  <c r="P39" i="53"/>
  <c r="P49" i="53"/>
  <c r="O39" i="53"/>
  <c r="O49" i="53"/>
  <c r="O37" i="53"/>
  <c r="O48" i="53"/>
  <c r="N37" i="53"/>
  <c r="N48" i="53"/>
  <c r="N39" i="53"/>
  <c r="N49" i="53"/>
  <c r="M39" i="53"/>
  <c r="M49" i="53"/>
  <c r="M37" i="53"/>
  <c r="M48" i="53"/>
  <c r="L37" i="53"/>
  <c r="L48" i="53"/>
  <c r="K37" i="53"/>
  <c r="K48" i="53"/>
  <c r="K39" i="53"/>
  <c r="K49" i="53"/>
  <c r="J37" i="53"/>
  <c r="J48" i="53"/>
  <c r="I37" i="53"/>
  <c r="I48" i="53"/>
  <c r="H37" i="53"/>
  <c r="H48" i="53"/>
  <c r="H39" i="53"/>
  <c r="H49" i="53"/>
  <c r="G39" i="53"/>
  <c r="G49" i="53"/>
  <c r="F39" i="53"/>
  <c r="F135" i="55" s="1"/>
  <c r="F49" i="53"/>
  <c r="E39" i="53"/>
  <c r="E135" i="55" s="1"/>
  <c r="E49" i="53"/>
  <c r="D39" i="53"/>
  <c r="D135" i="55" s="1"/>
  <c r="D49" i="53"/>
  <c r="B47" i="53"/>
  <c r="F36" i="53"/>
  <c r="F132" i="55" s="1"/>
  <c r="Q37" i="53"/>
  <c r="C37" i="53"/>
  <c r="C133" i="55" s="1"/>
  <c r="I38" i="53"/>
  <c r="C44" i="53"/>
  <c r="E44" i="53"/>
  <c r="H44" i="53"/>
  <c r="J44" i="53"/>
  <c r="L44" i="53"/>
  <c r="N44" i="53"/>
  <c r="P44" i="53"/>
  <c r="D44" i="53"/>
  <c r="F44" i="53"/>
  <c r="G44" i="53"/>
  <c r="I44" i="53"/>
  <c r="K44" i="53"/>
  <c r="M44" i="53"/>
  <c r="O44" i="53"/>
  <c r="Q44" i="53"/>
  <c r="Q43" i="53"/>
  <c r="O43" i="53"/>
  <c r="M43" i="53"/>
  <c r="I43" i="53"/>
  <c r="G43" i="53"/>
  <c r="E43" i="53"/>
  <c r="E129" i="55" s="1"/>
  <c r="C43" i="53"/>
  <c r="C129" i="55" s="1"/>
  <c r="B43" i="53"/>
  <c r="B129" i="55" s="1"/>
  <c r="P43" i="53"/>
  <c r="D43" i="53"/>
  <c r="D129" i="55" s="1"/>
  <c r="N43" i="53"/>
  <c r="L43" i="53"/>
  <c r="K43" i="53"/>
  <c r="J43" i="53"/>
  <c r="H43" i="53"/>
  <c r="F43" i="53"/>
  <c r="F129" i="55" s="1"/>
  <c r="D42" i="53"/>
  <c r="D128" i="55" s="1"/>
  <c r="F42" i="53"/>
  <c r="F128" i="55" s="1"/>
  <c r="H42" i="53"/>
  <c r="J42" i="53"/>
  <c r="L42" i="53"/>
  <c r="M42" i="53"/>
  <c r="O42" i="53"/>
  <c r="Q42" i="53"/>
  <c r="B42" i="53"/>
  <c r="B128" i="55" s="1"/>
  <c r="C42" i="53"/>
  <c r="C128" i="55" s="1"/>
  <c r="E42" i="53"/>
  <c r="E128" i="55" s="1"/>
  <c r="G42" i="53"/>
  <c r="I42" i="53"/>
  <c r="K42" i="53"/>
  <c r="N42" i="53"/>
  <c r="P42" i="53"/>
  <c r="E37" i="53"/>
  <c r="E133" i="55" s="1"/>
  <c r="D37" i="53"/>
  <c r="D133" i="55" s="1"/>
  <c r="C39" i="53"/>
  <c r="C135" i="55" s="1"/>
  <c r="C75" i="53"/>
  <c r="C17" i="55" s="1"/>
  <c r="G36" i="53"/>
  <c r="I86" i="53"/>
  <c r="H86" i="53"/>
  <c r="G86" i="53"/>
  <c r="F86" i="53"/>
  <c r="E86" i="53"/>
  <c r="D86" i="53"/>
  <c r="L86" i="53"/>
  <c r="C86" i="53"/>
  <c r="J86" i="53"/>
  <c r="K86" i="53"/>
  <c r="M86" i="53"/>
  <c r="N86" i="53"/>
  <c r="O86" i="53"/>
  <c r="P86" i="53"/>
  <c r="Q86" i="53"/>
  <c r="B86" i="53"/>
  <c r="B36" i="53"/>
  <c r="B132" i="55" s="1"/>
  <c r="Q36" i="53"/>
  <c r="M36" i="53"/>
  <c r="H36" i="53"/>
  <c r="O78" i="53"/>
  <c r="K78" i="53"/>
  <c r="F78" i="53"/>
  <c r="F20" i="55" s="1"/>
  <c r="F37" i="53"/>
  <c r="F133" i="55" s="1"/>
  <c r="F38" i="53"/>
  <c r="F134" i="55" s="1"/>
  <c r="E36" i="53"/>
  <c r="E132" i="55" s="1"/>
  <c r="E38" i="53"/>
  <c r="E134" i="55" s="1"/>
  <c r="D36" i="53"/>
  <c r="D132" i="55" s="1"/>
  <c r="C36" i="53"/>
  <c r="C132" i="55" s="1"/>
  <c r="M78" i="53"/>
  <c r="H78" i="53"/>
  <c r="C78" i="53"/>
  <c r="C20" i="55" s="1"/>
  <c r="I75" i="53"/>
  <c r="H75" i="53"/>
  <c r="G75" i="53"/>
  <c r="F75" i="53"/>
  <c r="F17" i="55" s="1"/>
  <c r="E75" i="53"/>
  <c r="E17" i="55" s="1"/>
  <c r="D75" i="53"/>
  <c r="D17" i="55" s="1"/>
  <c r="Q38" i="53"/>
  <c r="M38" i="53"/>
  <c r="L36" i="53"/>
  <c r="O38" i="53"/>
  <c r="N38" i="53"/>
  <c r="J36" i="53"/>
  <c r="I39" i="53"/>
  <c r="P36" i="53"/>
  <c r="O36" i="53"/>
  <c r="K38" i="53"/>
  <c r="G37" i="53"/>
  <c r="B77" i="53"/>
  <c r="B19" i="55" s="1"/>
  <c r="V19" i="55" s="1"/>
  <c r="B37" i="53"/>
  <c r="B133" i="55" s="1"/>
  <c r="V133" i="55" s="1"/>
  <c r="K36" i="53"/>
  <c r="C38" i="53"/>
  <c r="C134" i="55" s="1"/>
  <c r="L39" i="53"/>
  <c r="Q78" i="53"/>
  <c r="N78" i="53"/>
  <c r="I78" i="53"/>
  <c r="D78" i="53"/>
  <c r="D20" i="55" s="1"/>
  <c r="B38" i="53"/>
  <c r="B134" i="55" s="1"/>
  <c r="N36" i="53"/>
  <c r="H38" i="53"/>
  <c r="L78" i="53"/>
  <c r="G78" i="53"/>
  <c r="J39" i="53"/>
  <c r="G38" i="53"/>
  <c r="D38" i="53"/>
  <c r="D134" i="55" s="1"/>
  <c r="P78" i="53"/>
  <c r="P38" i="53"/>
  <c r="I36" i="53"/>
  <c r="J78" i="53"/>
  <c r="E78" i="53"/>
  <c r="E20" i="55" s="1"/>
  <c r="F34" i="53"/>
  <c r="F130" i="55" s="1"/>
  <c r="O162" i="53"/>
  <c r="L162" i="53"/>
  <c r="J162" i="53"/>
  <c r="I162" i="53"/>
  <c r="B94" i="53"/>
  <c r="B103" i="53" s="1"/>
  <c r="B79" i="53"/>
  <c r="B21" i="55" s="1"/>
  <c r="Q162" i="53"/>
  <c r="P162" i="53"/>
  <c r="N162" i="53"/>
  <c r="B96" i="53"/>
  <c r="B99" i="53" s="1"/>
  <c r="B76" i="53"/>
  <c r="B18" i="55" s="1"/>
  <c r="V18" i="55" s="1"/>
  <c r="H162" i="53"/>
  <c r="G162" i="53"/>
  <c r="F162" i="53"/>
  <c r="G145" i="53"/>
  <c r="E145" i="53"/>
  <c r="D145" i="53"/>
  <c r="C145" i="53"/>
  <c r="N128" i="53"/>
  <c r="B128" i="53"/>
  <c r="B91" i="53"/>
  <c r="Q97" i="53"/>
  <c r="Q100" i="53" s="1"/>
  <c r="P97" i="53"/>
  <c r="P100" i="53" s="1"/>
  <c r="O97" i="53"/>
  <c r="O100" i="53" s="1"/>
  <c r="N97" i="53"/>
  <c r="N100" i="53" s="1"/>
  <c r="M97" i="53"/>
  <c r="M100" i="53" s="1"/>
  <c r="L97" i="53"/>
  <c r="L100" i="53" s="1"/>
  <c r="K97" i="53"/>
  <c r="K100" i="53" s="1"/>
  <c r="J97" i="53"/>
  <c r="J100" i="53" s="1"/>
  <c r="I97" i="53"/>
  <c r="I100" i="53" s="1"/>
  <c r="H97" i="53"/>
  <c r="H100" i="53" s="1"/>
  <c r="G97" i="53"/>
  <c r="G100" i="53" s="1"/>
  <c r="F97" i="53"/>
  <c r="F100" i="53" s="1"/>
  <c r="E97" i="53"/>
  <c r="E100" i="53" s="1"/>
  <c r="D97" i="53"/>
  <c r="D100" i="53" s="1"/>
  <c r="C97" i="53"/>
  <c r="C100" i="53" s="1"/>
  <c r="B97" i="53"/>
  <c r="B100" i="53" s="1"/>
  <c r="B90" i="53"/>
  <c r="Q96" i="53"/>
  <c r="Q99" i="53" s="1"/>
  <c r="P96" i="53"/>
  <c r="P99" i="53" s="1"/>
  <c r="M96" i="53"/>
  <c r="M99" i="53" s="1"/>
  <c r="K96" i="53"/>
  <c r="K99" i="53" s="1"/>
  <c r="I96" i="53"/>
  <c r="I99" i="53" s="1"/>
  <c r="G96" i="53"/>
  <c r="G99" i="53" s="1"/>
  <c r="E96" i="53"/>
  <c r="E99" i="53" s="1"/>
  <c r="C96" i="53"/>
  <c r="C99" i="53" s="1"/>
  <c r="O96" i="53"/>
  <c r="O99" i="53" s="1"/>
  <c r="N96" i="53"/>
  <c r="N99" i="53" s="1"/>
  <c r="L96" i="53"/>
  <c r="L99" i="53" s="1"/>
  <c r="J96" i="53"/>
  <c r="J99" i="53" s="1"/>
  <c r="H96" i="53"/>
  <c r="H99" i="53" s="1"/>
  <c r="F96" i="53"/>
  <c r="F99" i="53" s="1"/>
  <c r="D96" i="53"/>
  <c r="D99" i="53" s="1"/>
  <c r="B83" i="53"/>
  <c r="B13" i="55" s="1"/>
  <c r="B95" i="53"/>
  <c r="B98" i="53" s="1"/>
  <c r="B24" i="55" s="1"/>
  <c r="C94" i="53"/>
  <c r="C103" i="53" s="1"/>
  <c r="D94" i="53"/>
  <c r="D103" i="53" s="1"/>
  <c r="E94" i="53"/>
  <c r="E103" i="53" s="1"/>
  <c r="F94" i="53"/>
  <c r="F103" i="53" s="1"/>
  <c r="G94" i="53"/>
  <c r="G103" i="53" s="1"/>
  <c r="H94" i="53"/>
  <c r="H103" i="53" s="1"/>
  <c r="I94" i="53"/>
  <c r="I103" i="53" s="1"/>
  <c r="J94" i="53"/>
  <c r="J103" i="53" s="1"/>
  <c r="K94" i="53"/>
  <c r="K103" i="53" s="1"/>
  <c r="L94" i="53"/>
  <c r="L103" i="53" s="1"/>
  <c r="M94" i="53"/>
  <c r="M103" i="53" s="1"/>
  <c r="N94" i="53"/>
  <c r="N103" i="53" s="1"/>
  <c r="O94" i="53"/>
  <c r="O103" i="53" s="1"/>
  <c r="P94" i="53"/>
  <c r="P103" i="53" s="1"/>
  <c r="Q94" i="53"/>
  <c r="Q103" i="53" s="1"/>
  <c r="B93" i="53"/>
  <c r="B102" i="53" s="1"/>
  <c r="C93" i="53"/>
  <c r="C102" i="53" s="1"/>
  <c r="B145" i="53"/>
  <c r="O128" i="53"/>
  <c r="M128" i="53"/>
  <c r="L128" i="53"/>
  <c r="Q93" i="53"/>
  <c r="Q102" i="53" s="1"/>
  <c r="P93" i="53"/>
  <c r="P102" i="53" s="1"/>
  <c r="O93" i="53"/>
  <c r="O102" i="53" s="1"/>
  <c r="N93" i="53"/>
  <c r="N102" i="53" s="1"/>
  <c r="M93" i="53"/>
  <c r="M102" i="53" s="1"/>
  <c r="L93" i="53"/>
  <c r="L102" i="53" s="1"/>
  <c r="K93" i="53"/>
  <c r="K102" i="53" s="1"/>
  <c r="J93" i="53"/>
  <c r="J102" i="53" s="1"/>
  <c r="I93" i="53"/>
  <c r="I102" i="53" s="1"/>
  <c r="H93" i="53"/>
  <c r="H102" i="53" s="1"/>
  <c r="G93" i="53"/>
  <c r="G102" i="53" s="1"/>
  <c r="F93" i="53"/>
  <c r="F102" i="53" s="1"/>
  <c r="E93" i="53"/>
  <c r="E102" i="53" s="1"/>
  <c r="D93" i="53"/>
  <c r="D102" i="53" s="1"/>
  <c r="C92" i="53"/>
  <c r="C101" i="53" s="1"/>
  <c r="C23" i="55" s="1"/>
  <c r="B92" i="53"/>
  <c r="B101" i="53" s="1"/>
  <c r="B23" i="55" s="1"/>
  <c r="Q82" i="53"/>
  <c r="Q91" i="53"/>
  <c r="P82" i="53"/>
  <c r="P91" i="53"/>
  <c r="O82" i="53"/>
  <c r="O91" i="53"/>
  <c r="N82" i="53"/>
  <c r="N91" i="53"/>
  <c r="M82" i="53"/>
  <c r="M91" i="53"/>
  <c r="L82" i="53"/>
  <c r="L91" i="53"/>
  <c r="K82" i="53"/>
  <c r="K91" i="53"/>
  <c r="J82" i="53"/>
  <c r="J91" i="53"/>
  <c r="I82" i="53"/>
  <c r="I91" i="53"/>
  <c r="H82" i="53"/>
  <c r="H91" i="53"/>
  <c r="G82" i="53"/>
  <c r="G91" i="53"/>
  <c r="F82" i="53"/>
  <c r="F91" i="53"/>
  <c r="E82" i="53"/>
  <c r="E91" i="53"/>
  <c r="D82" i="53"/>
  <c r="D91" i="53"/>
  <c r="C82" i="53"/>
  <c r="C91" i="53"/>
  <c r="G34" i="53"/>
  <c r="Q81" i="53"/>
  <c r="Q90" i="53"/>
  <c r="P81" i="53"/>
  <c r="P90" i="53"/>
  <c r="M81" i="53"/>
  <c r="M90" i="53"/>
  <c r="L81" i="53"/>
  <c r="L90" i="53"/>
  <c r="K81" i="53"/>
  <c r="K90" i="53"/>
  <c r="J81" i="53"/>
  <c r="J90" i="53"/>
  <c r="I81" i="53"/>
  <c r="I90" i="53"/>
  <c r="H81" i="53"/>
  <c r="H90" i="53"/>
  <c r="E81" i="53"/>
  <c r="E90" i="53"/>
  <c r="D81" i="53"/>
  <c r="D90" i="53"/>
  <c r="C81" i="53"/>
  <c r="C90" i="53"/>
  <c r="O81" i="53"/>
  <c r="O90" i="53"/>
  <c r="B162" i="53"/>
  <c r="B82" i="53"/>
  <c r="P85" i="53"/>
  <c r="N85" i="53"/>
  <c r="L85" i="53"/>
  <c r="I85" i="53"/>
  <c r="E85" i="53"/>
  <c r="E15" i="55" s="1"/>
  <c r="B85" i="53"/>
  <c r="B15" i="55" s="1"/>
  <c r="O85" i="53"/>
  <c r="M85" i="53"/>
  <c r="J85" i="53"/>
  <c r="G85" i="53"/>
  <c r="F85" i="53"/>
  <c r="F15" i="55" s="1"/>
  <c r="C85" i="53"/>
  <c r="C15" i="55" s="1"/>
  <c r="Q85" i="53"/>
  <c r="K85" i="53"/>
  <c r="H85" i="53"/>
  <c r="D85" i="53"/>
  <c r="D15" i="55" s="1"/>
  <c r="L111" i="53"/>
  <c r="B81" i="53"/>
  <c r="Q84" i="53"/>
  <c r="P84" i="53"/>
  <c r="O84" i="53"/>
  <c r="N84" i="53"/>
  <c r="M84" i="53"/>
  <c r="L84" i="53"/>
  <c r="K84" i="53"/>
  <c r="J84" i="53"/>
  <c r="I84" i="53"/>
  <c r="H84" i="53"/>
  <c r="G84" i="53"/>
  <c r="F84" i="53"/>
  <c r="F14" i="55" s="1"/>
  <c r="E84" i="53"/>
  <c r="E14" i="55" s="1"/>
  <c r="D84" i="53"/>
  <c r="D14" i="55" s="1"/>
  <c r="C84" i="53"/>
  <c r="C14" i="55" s="1"/>
  <c r="B84" i="53"/>
  <c r="B14" i="55" s="1"/>
  <c r="B74" i="53"/>
  <c r="B16" i="55" s="1"/>
  <c r="K111" i="53"/>
  <c r="N76" i="53"/>
  <c r="N77" i="53"/>
  <c r="N81" i="53"/>
  <c r="H34" i="53"/>
  <c r="I34" i="53"/>
  <c r="J34" i="53"/>
  <c r="K34" i="53"/>
  <c r="L34" i="53"/>
  <c r="M34" i="53"/>
  <c r="N34" i="53"/>
  <c r="O34" i="53"/>
  <c r="P34" i="53"/>
  <c r="Q34" i="53"/>
  <c r="E162" i="53"/>
  <c r="D162" i="53"/>
  <c r="Q111" i="53"/>
  <c r="P111" i="53"/>
  <c r="N111" i="53"/>
  <c r="M111" i="53"/>
  <c r="Q76" i="53"/>
  <c r="Q77" i="53"/>
  <c r="P76" i="53"/>
  <c r="P77" i="53"/>
  <c r="M77" i="53"/>
  <c r="M76" i="53"/>
  <c r="L77" i="53"/>
  <c r="L76" i="53"/>
  <c r="K77" i="53"/>
  <c r="K76" i="53"/>
  <c r="J77" i="53"/>
  <c r="J76" i="53"/>
  <c r="I77" i="53"/>
  <c r="I76" i="53"/>
  <c r="H77" i="53"/>
  <c r="H76" i="53"/>
  <c r="G77" i="53"/>
  <c r="G76" i="53"/>
  <c r="F77" i="53"/>
  <c r="F19" i="55" s="1"/>
  <c r="F76" i="53"/>
  <c r="F18" i="55" s="1"/>
  <c r="E77" i="53"/>
  <c r="E19" i="55" s="1"/>
  <c r="E76" i="53"/>
  <c r="E18" i="55" s="1"/>
  <c r="D77" i="53"/>
  <c r="D19" i="55" s="1"/>
  <c r="D76" i="53"/>
  <c r="D18" i="55" s="1"/>
  <c r="C77" i="53"/>
  <c r="C19" i="55" s="1"/>
  <c r="C76" i="53"/>
  <c r="C18" i="55" s="1"/>
  <c r="O77" i="53"/>
  <c r="O76" i="53"/>
  <c r="B75" i="53"/>
  <c r="B17" i="55" s="1"/>
  <c r="J111" i="53"/>
  <c r="I111" i="53"/>
  <c r="O145" i="53"/>
  <c r="F145" i="53"/>
  <c r="N12" i="53"/>
  <c r="M145" i="53"/>
  <c r="L145" i="53"/>
  <c r="K145" i="53"/>
  <c r="J145" i="53"/>
  <c r="I145" i="53"/>
  <c r="H145" i="53"/>
  <c r="M12" i="53"/>
  <c r="L12" i="53"/>
  <c r="K12" i="53"/>
  <c r="J12" i="53"/>
  <c r="I12" i="53"/>
  <c r="H12" i="53"/>
  <c r="G12" i="53"/>
  <c r="F12" i="53"/>
  <c r="E12" i="53"/>
  <c r="D12" i="53"/>
  <c r="O111" i="53"/>
  <c r="C12" i="53"/>
  <c r="P128" i="53"/>
  <c r="B12" i="53"/>
  <c r="D130" i="53"/>
  <c r="C130" i="53"/>
  <c r="B130" i="53"/>
  <c r="B11" i="48"/>
  <c r="H61" i="47"/>
  <c r="H62" i="47" s="1"/>
  <c r="D61" i="47"/>
  <c r="D62" i="47" s="1"/>
  <c r="E61" i="47"/>
  <c r="E62" i="47" s="1"/>
  <c r="F61" i="47"/>
  <c r="G61" i="47"/>
  <c r="G62" i="47" s="1"/>
  <c r="N61" i="47"/>
  <c r="N62" i="47" s="1"/>
  <c r="I61" i="47"/>
  <c r="I62" i="47" s="1"/>
  <c r="J61" i="47"/>
  <c r="J62" i="47" s="1"/>
  <c r="K61" i="47"/>
  <c r="K62" i="47" s="1"/>
  <c r="L61" i="47"/>
  <c r="L62" i="47" s="1"/>
  <c r="M61" i="47"/>
  <c r="M62" i="47" s="1"/>
  <c r="O61" i="47"/>
  <c r="O62" i="47" s="1"/>
  <c r="P61" i="47"/>
  <c r="P62" i="47" s="1"/>
  <c r="Q61" i="47"/>
  <c r="Q62" i="47" s="1"/>
  <c r="C61" i="47"/>
  <c r="C62" i="47" s="1"/>
  <c r="N6" i="48"/>
  <c r="AO6" i="48" s="1"/>
  <c r="N58" i="47"/>
  <c r="F6" i="48"/>
  <c r="AG6" i="48" s="1"/>
  <c r="F58" i="47"/>
  <c r="L6" i="48"/>
  <c r="AM6" i="48" s="1"/>
  <c r="L58" i="47"/>
  <c r="B6" i="48"/>
  <c r="C60" i="47"/>
  <c r="C63" i="47" s="1"/>
  <c r="D60" i="47"/>
  <c r="D63" i="47" s="1"/>
  <c r="E60" i="47"/>
  <c r="E63" i="47" s="1"/>
  <c r="F60" i="47"/>
  <c r="F63" i="47" s="1"/>
  <c r="G60" i="47"/>
  <c r="G63" i="47" s="1"/>
  <c r="H60" i="47"/>
  <c r="H63" i="47" s="1"/>
  <c r="I60" i="47"/>
  <c r="I63" i="47" s="1"/>
  <c r="J60" i="47"/>
  <c r="J63" i="47" s="1"/>
  <c r="K60" i="47"/>
  <c r="K63" i="47" s="1"/>
  <c r="L60" i="47"/>
  <c r="L63" i="47" s="1"/>
  <c r="M60" i="47"/>
  <c r="M63" i="47" s="1"/>
  <c r="N60" i="47"/>
  <c r="N63" i="47" s="1"/>
  <c r="O60" i="47"/>
  <c r="O63" i="47" s="1"/>
  <c r="P60" i="47"/>
  <c r="P63" i="47" s="1"/>
  <c r="Q60" i="47"/>
  <c r="Q63" i="47" s="1"/>
  <c r="C6" i="48"/>
  <c r="AD6" i="48" s="1"/>
  <c r="C58" i="47"/>
  <c r="J6" i="48"/>
  <c r="AK6" i="48" s="1"/>
  <c r="J58" i="47"/>
  <c r="Q6" i="48"/>
  <c r="AR6" i="48" s="1"/>
  <c r="Q58" i="47"/>
  <c r="G6" i="48"/>
  <c r="AH6" i="48" s="1"/>
  <c r="G58" i="47"/>
  <c r="O6" i="48"/>
  <c r="AP6" i="48" s="1"/>
  <c r="O58" i="47"/>
  <c r="H6" i="48"/>
  <c r="AI6" i="48" s="1"/>
  <c r="H58" i="47"/>
  <c r="P6" i="48"/>
  <c r="AQ6" i="48" s="1"/>
  <c r="P58" i="47"/>
  <c r="I6" i="48"/>
  <c r="AJ6" i="48" s="1"/>
  <c r="I58" i="47"/>
  <c r="E6" i="48"/>
  <c r="AF6" i="48" s="1"/>
  <c r="E58" i="47"/>
  <c r="K6" i="48"/>
  <c r="AL6" i="48" s="1"/>
  <c r="K58" i="47"/>
  <c r="M6" i="48"/>
  <c r="AN6" i="48" s="1"/>
  <c r="M58" i="47"/>
  <c r="D6" i="48"/>
  <c r="AE6" i="48" s="1"/>
  <c r="D58" i="47"/>
  <c r="B52" i="47"/>
  <c r="B55" i="47" s="1"/>
  <c r="D52" i="47"/>
  <c r="D55" i="47" s="1"/>
  <c r="F7" i="48"/>
  <c r="AG7" i="48" s="1"/>
  <c r="K7" i="48"/>
  <c r="AL7" i="48" s="1"/>
  <c r="B7" i="48"/>
  <c r="B43" i="47"/>
  <c r="N7" i="48"/>
  <c r="AO7" i="48" s="1"/>
  <c r="D7" i="48"/>
  <c r="AE7" i="48" s="1"/>
  <c r="L7" i="48"/>
  <c r="AM7" i="48" s="1"/>
  <c r="Q7" i="48"/>
  <c r="AR7" i="48" s="1"/>
  <c r="G7" i="48"/>
  <c r="AH7" i="48" s="1"/>
  <c r="E7" i="48"/>
  <c r="AF7" i="48" s="1"/>
  <c r="J7" i="48"/>
  <c r="AK7" i="48" s="1"/>
  <c r="P7" i="48"/>
  <c r="AQ7" i="48" s="1"/>
  <c r="C7" i="48"/>
  <c r="AD7" i="48" s="1"/>
  <c r="H7" i="48"/>
  <c r="AI7" i="48" s="1"/>
  <c r="I7" i="48"/>
  <c r="AJ7" i="48" s="1"/>
  <c r="M7" i="48"/>
  <c r="AN7" i="48" s="1"/>
  <c r="O7" i="48"/>
  <c r="AP7" i="48" s="1"/>
  <c r="M161" i="53"/>
  <c r="O161" i="53"/>
  <c r="L161" i="53"/>
  <c r="C161" i="53"/>
  <c r="B161" i="53"/>
  <c r="D161" i="53"/>
  <c r="G161" i="53"/>
  <c r="P161" i="53"/>
  <c r="K161" i="53"/>
  <c r="H161" i="53"/>
  <c r="E161" i="53"/>
  <c r="I161" i="53"/>
  <c r="Q144" i="53"/>
  <c r="H111" i="53"/>
  <c r="G111" i="53"/>
  <c r="F111" i="53"/>
  <c r="E111" i="53"/>
  <c r="D111" i="53"/>
  <c r="C111" i="53"/>
  <c r="B111" i="53"/>
  <c r="F161" i="53"/>
  <c r="N161" i="53"/>
  <c r="J161" i="53"/>
  <c r="Q161" i="53"/>
  <c r="N36" i="47"/>
  <c r="F36" i="47"/>
  <c r="L36" i="47"/>
  <c r="B36" i="47"/>
  <c r="B38" i="47" s="1"/>
  <c r="C36" i="47"/>
  <c r="J36" i="47"/>
  <c r="Q36" i="47"/>
  <c r="G36" i="47"/>
  <c r="O36" i="47"/>
  <c r="H36" i="47"/>
  <c r="P36" i="47"/>
  <c r="I36" i="47"/>
  <c r="E36" i="47"/>
  <c r="K36" i="47"/>
  <c r="M36" i="47"/>
  <c r="D36" i="47"/>
  <c r="G8" i="51"/>
  <c r="E8" i="51"/>
  <c r="D8" i="51"/>
  <c r="C8" i="51"/>
  <c r="G144" i="53"/>
  <c r="K144" i="53"/>
  <c r="O144" i="53"/>
  <c r="L144" i="53"/>
  <c r="D144" i="53"/>
  <c r="I144" i="53"/>
  <c r="F144" i="53"/>
  <c r="H144" i="53"/>
  <c r="J144" i="53"/>
  <c r="Q145" i="53"/>
  <c r="K128" i="53"/>
  <c r="J128" i="53"/>
  <c r="I128" i="53"/>
  <c r="H128" i="53"/>
  <c r="G128" i="53"/>
  <c r="F128" i="53"/>
  <c r="E128" i="53"/>
  <c r="D128" i="53"/>
  <c r="Q75" i="53"/>
  <c r="P75" i="53"/>
  <c r="O75" i="53"/>
  <c r="N75" i="53"/>
  <c r="M75" i="53"/>
  <c r="L75" i="53"/>
  <c r="K75" i="53"/>
  <c r="J75" i="53"/>
  <c r="P144" i="53"/>
  <c r="N144" i="53"/>
  <c r="M144" i="53"/>
  <c r="C144" i="53"/>
  <c r="B144" i="53"/>
  <c r="E144" i="53"/>
  <c r="Q127" i="53"/>
  <c r="K127" i="53"/>
  <c r="L127" i="53"/>
  <c r="I127" i="53"/>
  <c r="C127" i="53"/>
  <c r="D127" i="53"/>
  <c r="H127" i="53"/>
  <c r="N127" i="53"/>
  <c r="M127" i="53"/>
  <c r="B127" i="53"/>
  <c r="G127" i="53"/>
  <c r="O127" i="53"/>
  <c r="P127" i="53"/>
  <c r="F127" i="53"/>
  <c r="J127" i="53"/>
  <c r="E127" i="53"/>
  <c r="C110" i="53"/>
  <c r="H110" i="53"/>
  <c r="L110" i="53"/>
  <c r="O110" i="53"/>
  <c r="F110" i="53"/>
  <c r="K110" i="53"/>
  <c r="P110" i="53"/>
  <c r="D110" i="53"/>
  <c r="G110" i="53"/>
  <c r="J110" i="53"/>
  <c r="M110" i="53"/>
  <c r="Q110" i="53"/>
  <c r="B110" i="53"/>
  <c r="E110" i="53"/>
  <c r="I110" i="53"/>
  <c r="N110" i="53"/>
  <c r="H74" i="53"/>
  <c r="K74" i="53"/>
  <c r="N74" i="53"/>
  <c r="P74" i="53"/>
  <c r="F74" i="53"/>
  <c r="F16" i="55" s="1"/>
  <c r="I74" i="53"/>
  <c r="L74" i="53"/>
  <c r="O74" i="53"/>
  <c r="G74" i="53"/>
  <c r="J74" i="53"/>
  <c r="M74" i="53"/>
  <c r="Q74" i="53"/>
  <c r="C11" i="53"/>
  <c r="E11" i="53"/>
  <c r="G11" i="53"/>
  <c r="I11" i="53"/>
  <c r="K11" i="53"/>
  <c r="O11" i="53"/>
  <c r="D11" i="53"/>
  <c r="F11" i="53"/>
  <c r="H11" i="53"/>
  <c r="J11" i="53"/>
  <c r="L11" i="53"/>
  <c r="M11" i="53"/>
  <c r="N11" i="53"/>
  <c r="P11" i="53"/>
  <c r="Q11" i="53"/>
  <c r="B11" i="53"/>
  <c r="C10" i="55"/>
  <c r="C74" i="53"/>
  <c r="C16" i="55" s="1"/>
  <c r="D10" i="55"/>
  <c r="D74" i="53"/>
  <c r="D16" i="55" s="1"/>
  <c r="E10" i="55"/>
  <c r="E74" i="53"/>
  <c r="E16" i="55" s="1"/>
  <c r="D83" i="53"/>
  <c r="D13" i="55" s="1"/>
  <c r="D35" i="53"/>
  <c r="D131" i="55" s="1"/>
  <c r="E35" i="53"/>
  <c r="E131" i="55" s="1"/>
  <c r="G35" i="53"/>
  <c r="H35" i="53"/>
  <c r="I35" i="53"/>
  <c r="J35" i="53"/>
  <c r="K35" i="53"/>
  <c r="L35" i="53"/>
  <c r="N35" i="53"/>
  <c r="O35" i="53"/>
  <c r="P35" i="53"/>
  <c r="Q35" i="53"/>
  <c r="M35" i="53"/>
  <c r="F35" i="53"/>
  <c r="F131" i="55" s="1"/>
  <c r="C35" i="53"/>
  <c r="C131" i="55" s="1"/>
  <c r="C124" i="55"/>
  <c r="C34" i="53"/>
  <c r="C130" i="55" s="1"/>
  <c r="D124" i="55"/>
  <c r="D34" i="53"/>
  <c r="D130" i="55" s="1"/>
  <c r="E124" i="55"/>
  <c r="E34" i="53"/>
  <c r="E130" i="55" s="1"/>
  <c r="B124" i="55"/>
  <c r="B34" i="53"/>
  <c r="B130" i="55" s="1"/>
  <c r="B119" i="55"/>
  <c r="B35" i="53"/>
  <c r="B131" i="55" s="1"/>
  <c r="V131" i="55" s="1"/>
  <c r="C10" i="48"/>
  <c r="D10" i="48"/>
  <c r="E10" i="48"/>
  <c r="H11" i="49"/>
  <c r="H13" i="49" s="1"/>
  <c r="H21" i="49"/>
  <c r="H16" i="49"/>
  <c r="H18" i="49" s="1"/>
  <c r="J11" i="49"/>
  <c r="J13" i="49" s="1"/>
  <c r="J16" i="49"/>
  <c r="J18" i="49" s="1"/>
  <c r="J5" i="51"/>
  <c r="J21" i="49"/>
  <c r="P25" i="28"/>
  <c r="P578" i="28"/>
  <c r="P710" i="28"/>
  <c r="P678" i="28"/>
  <c r="P720" i="28"/>
  <c r="P7" i="28"/>
  <c r="P8" i="28"/>
  <c r="P10" i="28"/>
  <c r="P21" i="28"/>
  <c r="P269" i="28"/>
  <c r="P83" i="28"/>
  <c r="P34" i="28"/>
  <c r="H28" i="49"/>
  <c r="H12" i="51" s="1"/>
  <c r="H8" i="49"/>
  <c r="I28" i="49"/>
  <c r="I12" i="51" s="1"/>
  <c r="I8" i="49"/>
  <c r="I11" i="49"/>
  <c r="I13" i="49" s="1"/>
  <c r="I16" i="49"/>
  <c r="I18" i="49" s="1"/>
  <c r="I21" i="49"/>
  <c r="I5" i="51"/>
  <c r="J28" i="49"/>
  <c r="J12" i="51" s="1"/>
  <c r="J8" i="49"/>
  <c r="G28" i="49"/>
  <c r="G12" i="51" s="1"/>
  <c r="D30" i="50"/>
  <c r="D33" i="50" s="1"/>
  <c r="D9" i="52" s="1"/>
  <c r="BF30" i="50"/>
  <c r="BF33" i="50" s="1"/>
  <c r="BF9" i="52" s="1"/>
  <c r="BG30" i="50"/>
  <c r="BG33" i="50" s="1"/>
  <c r="BG9" i="52" s="1"/>
  <c r="BH30" i="50"/>
  <c r="BH33" i="50" s="1"/>
  <c r="BH9" i="52" s="1"/>
  <c r="BI30" i="50"/>
  <c r="BI33" i="50" s="1"/>
  <c r="BI9" i="52" s="1"/>
  <c r="B8" i="50"/>
  <c r="BD30" i="50"/>
  <c r="BD33" i="50" s="1"/>
  <c r="BD9" i="52" s="1"/>
  <c r="C30" i="50"/>
  <c r="C33" i="50" s="1"/>
  <c r="C9" i="52" s="1"/>
  <c r="L30" i="50"/>
  <c r="L33" i="50" s="1"/>
  <c r="L9" i="52" s="1"/>
  <c r="E30" i="50"/>
  <c r="E33" i="50" s="1"/>
  <c r="E9" i="52" s="1"/>
  <c r="F30" i="50"/>
  <c r="F33" i="50" s="1"/>
  <c r="F9" i="52" s="1"/>
  <c r="G30" i="50"/>
  <c r="G33" i="50" s="1"/>
  <c r="G9" i="52" s="1"/>
  <c r="H30" i="50"/>
  <c r="H33" i="50" s="1"/>
  <c r="H9" i="52" s="1"/>
  <c r="I30" i="50"/>
  <c r="I33" i="50" s="1"/>
  <c r="I9" i="52" s="1"/>
  <c r="J30" i="50"/>
  <c r="J33" i="50" s="1"/>
  <c r="J9" i="52" s="1"/>
  <c r="K30" i="50"/>
  <c r="K33" i="50" s="1"/>
  <c r="K9" i="52" s="1"/>
  <c r="M30" i="50"/>
  <c r="M33" i="50" s="1"/>
  <c r="M9" i="52" s="1"/>
  <c r="N30" i="50"/>
  <c r="N33" i="50" s="1"/>
  <c r="N9" i="52" s="1"/>
  <c r="O30" i="50"/>
  <c r="O33" i="50" s="1"/>
  <c r="O9" i="52" s="1"/>
  <c r="P30" i="50"/>
  <c r="P33" i="50" s="1"/>
  <c r="P9" i="52" s="1"/>
  <c r="Q30" i="50"/>
  <c r="Q33" i="50" s="1"/>
  <c r="Q9" i="52" s="1"/>
  <c r="R30" i="50"/>
  <c r="R33" i="50" s="1"/>
  <c r="R9" i="52" s="1"/>
  <c r="S30" i="50"/>
  <c r="S33" i="50" s="1"/>
  <c r="S9" i="52" s="1"/>
  <c r="T30" i="50"/>
  <c r="T33" i="50" s="1"/>
  <c r="T9" i="52" s="1"/>
  <c r="U30" i="50"/>
  <c r="U33" i="50" s="1"/>
  <c r="U9" i="52" s="1"/>
  <c r="V30" i="50"/>
  <c r="V33" i="50" s="1"/>
  <c r="V9" i="52" s="1"/>
  <c r="W30" i="50"/>
  <c r="W33" i="50" s="1"/>
  <c r="W9" i="52" s="1"/>
  <c r="X30" i="50"/>
  <c r="X33" i="50" s="1"/>
  <c r="X9" i="52" s="1"/>
  <c r="Y30" i="50"/>
  <c r="Y33" i="50" s="1"/>
  <c r="Y9" i="52" s="1"/>
  <c r="Z30" i="50"/>
  <c r="Z33" i="50" s="1"/>
  <c r="Z9" i="52" s="1"/>
  <c r="AA30" i="50"/>
  <c r="AA33" i="50" s="1"/>
  <c r="AA9" i="52" s="1"/>
  <c r="AB30" i="50"/>
  <c r="AB33" i="50" s="1"/>
  <c r="AB9" i="52" s="1"/>
  <c r="AC30" i="50"/>
  <c r="AC33" i="50" s="1"/>
  <c r="AC9" i="52" s="1"/>
  <c r="AD30" i="50"/>
  <c r="AD33" i="50" s="1"/>
  <c r="AD9" i="52" s="1"/>
  <c r="AE30" i="50"/>
  <c r="AE33" i="50" s="1"/>
  <c r="AE9" i="52" s="1"/>
  <c r="AF30" i="50"/>
  <c r="AF33" i="50" s="1"/>
  <c r="AF9" i="52" s="1"/>
  <c r="AG30" i="50"/>
  <c r="AG33" i="50" s="1"/>
  <c r="AG9" i="52" s="1"/>
  <c r="AH30" i="50"/>
  <c r="AH33" i="50" s="1"/>
  <c r="AH9" i="52" s="1"/>
  <c r="AI30" i="50"/>
  <c r="AI33" i="50" s="1"/>
  <c r="AI9" i="52" s="1"/>
  <c r="AJ30" i="50"/>
  <c r="AJ33" i="50" s="1"/>
  <c r="AJ9" i="52" s="1"/>
  <c r="AK30" i="50"/>
  <c r="AK33" i="50" s="1"/>
  <c r="AK9" i="52" s="1"/>
  <c r="AL30" i="50"/>
  <c r="AL33" i="50" s="1"/>
  <c r="AL9" i="52" s="1"/>
  <c r="AM30" i="50"/>
  <c r="AM33" i="50" s="1"/>
  <c r="AM9" i="52" s="1"/>
  <c r="AN30" i="50"/>
  <c r="AN33" i="50" s="1"/>
  <c r="AN9" i="52" s="1"/>
  <c r="AO30" i="50"/>
  <c r="AO33" i="50" s="1"/>
  <c r="AO9" i="52" s="1"/>
  <c r="AP30" i="50"/>
  <c r="AP33" i="50" s="1"/>
  <c r="AP9" i="52" s="1"/>
  <c r="AQ30" i="50"/>
  <c r="AQ33" i="50" s="1"/>
  <c r="AQ9" i="52" s="1"/>
  <c r="AR30" i="50"/>
  <c r="AR33" i="50" s="1"/>
  <c r="AR9" i="52" s="1"/>
  <c r="AS30" i="50"/>
  <c r="AS33" i="50" s="1"/>
  <c r="AS9" i="52" s="1"/>
  <c r="AT30" i="50"/>
  <c r="AT33" i="50" s="1"/>
  <c r="AT9" i="52" s="1"/>
  <c r="AU30" i="50"/>
  <c r="AU33" i="50" s="1"/>
  <c r="AU9" i="52" s="1"/>
  <c r="AW30" i="50"/>
  <c r="AW33" i="50" s="1"/>
  <c r="AW9" i="52" s="1"/>
  <c r="AX30" i="50"/>
  <c r="AX33" i="50" s="1"/>
  <c r="AX9" i="52" s="1"/>
  <c r="AY30" i="50"/>
  <c r="AY33" i="50" s="1"/>
  <c r="AY9" i="52" s="1"/>
  <c r="AZ30" i="50"/>
  <c r="AZ33" i="50" s="1"/>
  <c r="AZ9" i="52" s="1"/>
  <c r="BA30" i="50"/>
  <c r="BA33" i="50" s="1"/>
  <c r="BA9" i="52" s="1"/>
  <c r="BB30" i="50"/>
  <c r="BB33" i="50" s="1"/>
  <c r="BB9" i="52" s="1"/>
  <c r="BC30" i="50"/>
  <c r="BC33" i="50" s="1"/>
  <c r="BC9" i="52" s="1"/>
  <c r="AV30" i="50"/>
  <c r="AV33" i="50" s="1"/>
  <c r="AV9" i="52" s="1"/>
  <c r="BE30" i="50"/>
  <c r="BE33" i="50" s="1"/>
  <c r="BE9" i="52" s="1"/>
  <c r="F28" i="49"/>
  <c r="F12" i="51" s="1"/>
  <c r="F6" i="51"/>
  <c r="H30" i="49"/>
  <c r="H33" i="49" s="1"/>
  <c r="H13" i="51" s="1"/>
  <c r="J30" i="49"/>
  <c r="J33" i="49" s="1"/>
  <c r="J13" i="51" s="1"/>
  <c r="C8" i="49"/>
  <c r="I30" i="49"/>
  <c r="I33" i="49" s="1"/>
  <c r="I13" i="51" s="1"/>
  <c r="H31" i="49"/>
  <c r="H32" i="49" s="1"/>
  <c r="I31" i="49"/>
  <c r="I32" i="49" s="1"/>
  <c r="J31" i="49"/>
  <c r="C31" i="50"/>
  <c r="C32" i="50" s="1"/>
  <c r="C10" i="52" s="1"/>
  <c r="D31" i="50"/>
  <c r="D32" i="50" s="1"/>
  <c r="D10" i="52" s="1"/>
  <c r="E31" i="50"/>
  <c r="E32" i="50" s="1"/>
  <c r="E10" i="52" s="1"/>
  <c r="F31" i="50"/>
  <c r="F32" i="50" s="1"/>
  <c r="F10" i="52" s="1"/>
  <c r="G31" i="50"/>
  <c r="G32" i="50" s="1"/>
  <c r="G10" i="52" s="1"/>
  <c r="H31" i="50"/>
  <c r="H32" i="50" s="1"/>
  <c r="H10" i="52" s="1"/>
  <c r="I31" i="50"/>
  <c r="I32" i="50" s="1"/>
  <c r="I10" i="52" s="1"/>
  <c r="J31" i="50"/>
  <c r="J32" i="50" s="1"/>
  <c r="J10" i="52" s="1"/>
  <c r="K31" i="50"/>
  <c r="K32" i="50" s="1"/>
  <c r="K10" i="52" s="1"/>
  <c r="L31" i="50"/>
  <c r="L32" i="50" s="1"/>
  <c r="L10" i="52" s="1"/>
  <c r="M31" i="50"/>
  <c r="M32" i="50" s="1"/>
  <c r="M10" i="52" s="1"/>
  <c r="N31" i="50"/>
  <c r="N32" i="50" s="1"/>
  <c r="N10" i="52" s="1"/>
  <c r="O31" i="50"/>
  <c r="O32" i="50" s="1"/>
  <c r="O10" i="52" s="1"/>
  <c r="P31" i="50"/>
  <c r="P32" i="50" s="1"/>
  <c r="P10" i="52" s="1"/>
  <c r="Q31" i="50"/>
  <c r="Q32" i="50" s="1"/>
  <c r="Q10" i="52" s="1"/>
  <c r="R31" i="50"/>
  <c r="R32" i="50" s="1"/>
  <c r="R10" i="52" s="1"/>
  <c r="S31" i="50"/>
  <c r="S32" i="50" s="1"/>
  <c r="S10" i="52" s="1"/>
  <c r="T31" i="50"/>
  <c r="T32" i="50" s="1"/>
  <c r="T10" i="52" s="1"/>
  <c r="U31" i="50"/>
  <c r="U32" i="50" s="1"/>
  <c r="U10" i="52" s="1"/>
  <c r="V31" i="50"/>
  <c r="V32" i="50" s="1"/>
  <c r="V10" i="52" s="1"/>
  <c r="W31" i="50"/>
  <c r="W32" i="50" s="1"/>
  <c r="W10" i="52" s="1"/>
  <c r="X31" i="50"/>
  <c r="X32" i="50" s="1"/>
  <c r="X10" i="52" s="1"/>
  <c r="Y31" i="50"/>
  <c r="Y32" i="50" s="1"/>
  <c r="Y10" i="52" s="1"/>
  <c r="Z31" i="50"/>
  <c r="Z32" i="50" s="1"/>
  <c r="Z10" i="52" s="1"/>
  <c r="AA31" i="50"/>
  <c r="AA32" i="50" s="1"/>
  <c r="AA10" i="52" s="1"/>
  <c r="AB31" i="50"/>
  <c r="AB32" i="50" s="1"/>
  <c r="AB10" i="52" s="1"/>
  <c r="AC31" i="50"/>
  <c r="AC32" i="50" s="1"/>
  <c r="AC10" i="52" s="1"/>
  <c r="AD31" i="50"/>
  <c r="AD32" i="50" s="1"/>
  <c r="AD10" i="52" s="1"/>
  <c r="AE31" i="50"/>
  <c r="AE32" i="50" s="1"/>
  <c r="AE10" i="52" s="1"/>
  <c r="AF31" i="50"/>
  <c r="AF32" i="50" s="1"/>
  <c r="AF10" i="52" s="1"/>
  <c r="AG31" i="50"/>
  <c r="AG32" i="50" s="1"/>
  <c r="AG10" i="52" s="1"/>
  <c r="AH31" i="50"/>
  <c r="AH32" i="50" s="1"/>
  <c r="AH10" i="52" s="1"/>
  <c r="AI31" i="50"/>
  <c r="AI32" i="50" s="1"/>
  <c r="AI10" i="52" s="1"/>
  <c r="AJ31" i="50"/>
  <c r="AJ32" i="50" s="1"/>
  <c r="AJ10" i="52" s="1"/>
  <c r="AK31" i="50"/>
  <c r="AK32" i="50" s="1"/>
  <c r="AK10" i="52" s="1"/>
  <c r="AL31" i="50"/>
  <c r="AL32" i="50" s="1"/>
  <c r="AL10" i="52" s="1"/>
  <c r="AM31" i="50"/>
  <c r="AM32" i="50" s="1"/>
  <c r="AM10" i="52" s="1"/>
  <c r="AN31" i="50"/>
  <c r="AN32" i="50" s="1"/>
  <c r="AN10" i="52" s="1"/>
  <c r="AO31" i="50"/>
  <c r="AO32" i="50" s="1"/>
  <c r="AO10" i="52" s="1"/>
  <c r="AP31" i="50"/>
  <c r="AP32" i="50" s="1"/>
  <c r="AP10" i="52" s="1"/>
  <c r="AQ31" i="50"/>
  <c r="AQ32" i="50" s="1"/>
  <c r="AQ10" i="52" s="1"/>
  <c r="AR31" i="50"/>
  <c r="AR32" i="50" s="1"/>
  <c r="AR10" i="52" s="1"/>
  <c r="AS31" i="50"/>
  <c r="AS32" i="50" s="1"/>
  <c r="AS10" i="52" s="1"/>
  <c r="AT31" i="50"/>
  <c r="AT32" i="50" s="1"/>
  <c r="AT10" i="52" s="1"/>
  <c r="AU31" i="50"/>
  <c r="AU32" i="50" s="1"/>
  <c r="AU10" i="52" s="1"/>
  <c r="AV31" i="50"/>
  <c r="AV32" i="50" s="1"/>
  <c r="AV10" i="52" s="1"/>
  <c r="AW31" i="50"/>
  <c r="AW32" i="50" s="1"/>
  <c r="AW10" i="52" s="1"/>
  <c r="AX31" i="50"/>
  <c r="AX32" i="50" s="1"/>
  <c r="AX10" i="52" s="1"/>
  <c r="AY31" i="50"/>
  <c r="AY32" i="50" s="1"/>
  <c r="AY10" i="52" s="1"/>
  <c r="AZ31" i="50"/>
  <c r="AZ32" i="50" s="1"/>
  <c r="BA31" i="50"/>
  <c r="BA32" i="50" s="1"/>
  <c r="BB31" i="50"/>
  <c r="BB32" i="50" s="1"/>
  <c r="BC31" i="50"/>
  <c r="BC32" i="50" s="1"/>
  <c r="BD31" i="50"/>
  <c r="BD32" i="50" s="1"/>
  <c r="BE31" i="50"/>
  <c r="BE32" i="50" s="1"/>
  <c r="BF31" i="50"/>
  <c r="BF32" i="50" s="1"/>
  <c r="BG31" i="50"/>
  <c r="BG32" i="50" s="1"/>
  <c r="BH31" i="50"/>
  <c r="BH32" i="50" s="1"/>
  <c r="BI31" i="50"/>
  <c r="BI32" i="50" s="1"/>
  <c r="B28" i="49"/>
  <c r="B12" i="51" s="1"/>
  <c r="E6" i="51"/>
  <c r="E28" i="49"/>
  <c r="E12" i="51" s="1"/>
  <c r="D6" i="51"/>
  <c r="D28" i="49"/>
  <c r="D12" i="51" s="1"/>
  <c r="C6" i="51"/>
  <c r="C28" i="49"/>
  <c r="C12" i="51" s="1"/>
  <c r="B28" i="50"/>
  <c r="L130" i="53"/>
  <c r="K130" i="53"/>
  <c r="J130" i="53"/>
  <c r="I130" i="53"/>
  <c r="H130" i="53"/>
  <c r="G130" i="53"/>
  <c r="F130" i="53"/>
  <c r="E130" i="53"/>
  <c r="P208" i="28"/>
  <c r="P257" i="28"/>
  <c r="D30" i="49"/>
  <c r="D33" i="49" s="1"/>
  <c r="D13" i="51" s="1"/>
  <c r="B5" i="51"/>
  <c r="B11" i="49"/>
  <c r="B13" i="49" s="1"/>
  <c r="B30" i="49"/>
  <c r="B33" i="49" s="1"/>
  <c r="B13" i="51" s="1"/>
  <c r="B21" i="49"/>
  <c r="B25" i="49" s="1"/>
  <c r="B16" i="49"/>
  <c r="B18" i="49" s="1"/>
  <c r="P6" i="28"/>
  <c r="P274" i="28"/>
  <c r="P378" i="28"/>
  <c r="P410" i="28"/>
  <c r="P611" i="28"/>
  <c r="P697" i="28"/>
  <c r="P559" i="28"/>
  <c r="B8" i="51"/>
  <c r="B31" i="49"/>
  <c r="B7" i="51"/>
  <c r="Q169" i="53"/>
  <c r="Q170" i="53" s="1"/>
  <c r="N169" i="53"/>
  <c r="N170" i="53" s="1"/>
  <c r="M169" i="53"/>
  <c r="M170" i="53" s="1"/>
  <c r="K169" i="53"/>
  <c r="K170" i="53" s="1"/>
  <c r="I169" i="53"/>
  <c r="I170" i="53" s="1"/>
  <c r="G169" i="53"/>
  <c r="G170" i="53" s="1"/>
  <c r="D169" i="53"/>
  <c r="D170" i="53" s="1"/>
  <c r="B169" i="53"/>
  <c r="B170" i="53" s="1"/>
  <c r="P169" i="53"/>
  <c r="P170" i="53" s="1"/>
  <c r="O169" i="53"/>
  <c r="O170" i="53" s="1"/>
  <c r="L169" i="53"/>
  <c r="L170" i="53" s="1"/>
  <c r="J169" i="53"/>
  <c r="J170" i="53" s="1"/>
  <c r="H169" i="53"/>
  <c r="H170" i="53" s="1"/>
  <c r="F169" i="53"/>
  <c r="F170" i="53" s="1"/>
  <c r="E169" i="53"/>
  <c r="E170" i="53" s="1"/>
  <c r="C169" i="53"/>
  <c r="C170" i="53" s="1"/>
  <c r="B168" i="53"/>
  <c r="B171" i="53" s="1"/>
  <c r="Q168" i="53"/>
  <c r="Q171" i="53" s="1"/>
  <c r="P168" i="53"/>
  <c r="P171" i="53" s="1"/>
  <c r="N168" i="53"/>
  <c r="N171" i="53" s="1"/>
  <c r="M168" i="53"/>
  <c r="M171" i="53" s="1"/>
  <c r="J168" i="53"/>
  <c r="J171" i="53" s="1"/>
  <c r="H168" i="53"/>
  <c r="H171" i="53" s="1"/>
  <c r="F168" i="53"/>
  <c r="F171" i="53" s="1"/>
  <c r="D168" i="53"/>
  <c r="D171" i="53" s="1"/>
  <c r="O168" i="53"/>
  <c r="O171" i="53" s="1"/>
  <c r="L168" i="53"/>
  <c r="L171" i="53" s="1"/>
  <c r="K168" i="53"/>
  <c r="K171" i="53" s="1"/>
  <c r="I168" i="53"/>
  <c r="I171" i="53" s="1"/>
  <c r="G168" i="53"/>
  <c r="G171" i="53" s="1"/>
  <c r="E168" i="53"/>
  <c r="E171" i="53" s="1"/>
  <c r="C168" i="53"/>
  <c r="C171" i="53" s="1"/>
  <c r="O152" i="53"/>
  <c r="O153" i="53" s="1"/>
  <c r="J152" i="53"/>
  <c r="J153" i="53" s="1"/>
  <c r="H152" i="53"/>
  <c r="H153" i="53" s="1"/>
  <c r="E152" i="53"/>
  <c r="E153" i="53" s="1"/>
  <c r="Q152" i="53"/>
  <c r="Q153" i="53" s="1"/>
  <c r="L152" i="53"/>
  <c r="L153" i="53" s="1"/>
  <c r="I152" i="53"/>
  <c r="I153" i="53" s="1"/>
  <c r="F152" i="53"/>
  <c r="F153" i="53" s="1"/>
  <c r="D152" i="53"/>
  <c r="D153" i="53" s="1"/>
  <c r="B152" i="53"/>
  <c r="B153" i="53" s="1"/>
  <c r="P152" i="53"/>
  <c r="P153" i="53" s="1"/>
  <c r="K152" i="53"/>
  <c r="K153" i="53" s="1"/>
  <c r="G152" i="53"/>
  <c r="G153" i="53" s="1"/>
  <c r="C152" i="53"/>
  <c r="C153" i="53" s="1"/>
  <c r="M152" i="53"/>
  <c r="M153" i="53" s="1"/>
  <c r="N152" i="53"/>
  <c r="N153" i="53" s="1"/>
  <c r="O151" i="53"/>
  <c r="O154" i="53" s="1"/>
  <c r="L151" i="53"/>
  <c r="L154" i="53" s="1"/>
  <c r="I151" i="53"/>
  <c r="I154" i="53" s="1"/>
  <c r="F151" i="53"/>
  <c r="F154" i="53" s="1"/>
  <c r="C151" i="53"/>
  <c r="C154" i="53" s="1"/>
  <c r="P151" i="53"/>
  <c r="P154" i="53" s="1"/>
  <c r="N151" i="53"/>
  <c r="N154" i="53" s="1"/>
  <c r="K151" i="53"/>
  <c r="K154" i="53" s="1"/>
  <c r="H151" i="53"/>
  <c r="H154" i="53" s="1"/>
  <c r="E151" i="53"/>
  <c r="E154" i="53" s="1"/>
  <c r="B151" i="53"/>
  <c r="B154" i="53" s="1"/>
  <c r="Q151" i="53"/>
  <c r="Q154" i="53" s="1"/>
  <c r="M151" i="53"/>
  <c r="M154" i="53" s="1"/>
  <c r="J151" i="53"/>
  <c r="J154" i="53" s="1"/>
  <c r="G151" i="53"/>
  <c r="G154" i="53" s="1"/>
  <c r="D151" i="53"/>
  <c r="D154" i="53" s="1"/>
  <c r="Q135" i="53"/>
  <c r="Q136" i="53" s="1"/>
  <c r="M135" i="53"/>
  <c r="M136" i="53" s="1"/>
  <c r="K135" i="53"/>
  <c r="K136" i="53" s="1"/>
  <c r="H135" i="53"/>
  <c r="H136" i="53" s="1"/>
  <c r="F135" i="53"/>
  <c r="F136" i="53" s="1"/>
  <c r="D135" i="53"/>
  <c r="D136" i="53" s="1"/>
  <c r="B135" i="53"/>
  <c r="B136" i="53" s="1"/>
  <c r="I135" i="53"/>
  <c r="I136" i="53" s="1"/>
  <c r="G135" i="53"/>
  <c r="G136" i="53" s="1"/>
  <c r="E135" i="53"/>
  <c r="E136" i="53" s="1"/>
  <c r="O135" i="53"/>
  <c r="O136" i="53" s="1"/>
  <c r="N135" i="53"/>
  <c r="N136" i="53" s="1"/>
  <c r="J135" i="53"/>
  <c r="J136" i="53" s="1"/>
  <c r="C135" i="53"/>
  <c r="C136" i="53" s="1"/>
  <c r="P135" i="53"/>
  <c r="P136" i="53" s="1"/>
  <c r="L135" i="53"/>
  <c r="L136" i="53" s="1"/>
  <c r="Q134" i="53"/>
  <c r="Q137" i="53" s="1"/>
  <c r="N134" i="53"/>
  <c r="N137" i="53" s="1"/>
  <c r="K134" i="53"/>
  <c r="K137" i="53" s="1"/>
  <c r="I134" i="53"/>
  <c r="I137" i="53" s="1"/>
  <c r="G134" i="53"/>
  <c r="G137" i="53" s="1"/>
  <c r="E134" i="53"/>
  <c r="E137" i="53" s="1"/>
  <c r="B134" i="53"/>
  <c r="B137" i="53" s="1"/>
  <c r="F134" i="53"/>
  <c r="F137" i="53" s="1"/>
  <c r="C134" i="53"/>
  <c r="C137" i="53" s="1"/>
  <c r="O134" i="53"/>
  <c r="O137" i="53" s="1"/>
  <c r="M134" i="53"/>
  <c r="M137" i="53" s="1"/>
  <c r="J134" i="53"/>
  <c r="J137" i="53" s="1"/>
  <c r="H134" i="53"/>
  <c r="H137" i="53" s="1"/>
  <c r="P134" i="53"/>
  <c r="P137" i="53" s="1"/>
  <c r="L134" i="53"/>
  <c r="L137" i="53" s="1"/>
  <c r="D134" i="53"/>
  <c r="D137" i="53" s="1"/>
  <c r="N118" i="53"/>
  <c r="N119" i="53" s="1"/>
  <c r="I118" i="53"/>
  <c r="I119" i="53" s="1"/>
  <c r="E118" i="53"/>
  <c r="E119" i="53" s="1"/>
  <c r="P118" i="53"/>
  <c r="P119" i="53" s="1"/>
  <c r="L118" i="53"/>
  <c r="L119" i="53" s="1"/>
  <c r="H118" i="53"/>
  <c r="H119" i="53" s="1"/>
  <c r="D118" i="53"/>
  <c r="D119" i="53" s="1"/>
  <c r="O118" i="53"/>
  <c r="O119" i="53" s="1"/>
  <c r="J118" i="53"/>
  <c r="J119" i="53" s="1"/>
  <c r="F118" i="53"/>
  <c r="F119" i="53" s="1"/>
  <c r="Q118" i="53"/>
  <c r="Q119" i="53" s="1"/>
  <c r="G118" i="53"/>
  <c r="G119" i="53" s="1"/>
  <c r="C118" i="53"/>
  <c r="C119" i="53" s="1"/>
  <c r="M118" i="53"/>
  <c r="M119" i="53" s="1"/>
  <c r="K118" i="53"/>
  <c r="K119" i="53" s="1"/>
  <c r="B118" i="53"/>
  <c r="B119" i="53" s="1"/>
  <c r="M117" i="53"/>
  <c r="M120" i="53" s="1"/>
  <c r="F117" i="53"/>
  <c r="F120" i="53" s="1"/>
  <c r="N117" i="53"/>
  <c r="N120" i="53" s="1"/>
  <c r="K117" i="53"/>
  <c r="K120" i="53" s="1"/>
  <c r="G117" i="53"/>
  <c r="G120" i="53" s="1"/>
  <c r="B117" i="53"/>
  <c r="B120" i="53" s="1"/>
  <c r="Q117" i="53"/>
  <c r="Q120" i="53" s="1"/>
  <c r="J117" i="53"/>
  <c r="J120" i="53" s="1"/>
  <c r="C117" i="53"/>
  <c r="C120" i="53" s="1"/>
  <c r="P117" i="53"/>
  <c r="P120" i="53" s="1"/>
  <c r="I117" i="53"/>
  <c r="I120" i="53" s="1"/>
  <c r="E117" i="53"/>
  <c r="E120" i="53" s="1"/>
  <c r="O117" i="53"/>
  <c r="O120" i="53" s="1"/>
  <c r="L117" i="53"/>
  <c r="L120" i="53" s="1"/>
  <c r="H117" i="53"/>
  <c r="H120" i="53" s="1"/>
  <c r="D117" i="53"/>
  <c r="D120" i="53" s="1"/>
  <c r="B10" i="55"/>
  <c r="P95" i="53"/>
  <c r="P98" i="53" s="1"/>
  <c r="N95" i="53"/>
  <c r="N98" i="53" s="1"/>
  <c r="M95" i="53"/>
  <c r="M98" i="53" s="1"/>
  <c r="L95" i="53"/>
  <c r="L98" i="53" s="1"/>
  <c r="K95" i="53"/>
  <c r="K98" i="53" s="1"/>
  <c r="J95" i="53"/>
  <c r="J98" i="53" s="1"/>
  <c r="I95" i="53"/>
  <c r="I98" i="53" s="1"/>
  <c r="G95" i="53"/>
  <c r="G98" i="53" s="1"/>
  <c r="F95" i="53"/>
  <c r="F98" i="53" s="1"/>
  <c r="F24" i="55" s="1"/>
  <c r="E95" i="53"/>
  <c r="E98" i="53" s="1"/>
  <c r="E24" i="55" s="1"/>
  <c r="D95" i="53"/>
  <c r="D98" i="53" s="1"/>
  <c r="D24" i="55" s="1"/>
  <c r="C95" i="53"/>
  <c r="C98" i="53" s="1"/>
  <c r="C24" i="55" s="1"/>
  <c r="Q95" i="53"/>
  <c r="Q98" i="53" s="1"/>
  <c r="H95" i="53"/>
  <c r="H98" i="53" s="1"/>
  <c r="O95" i="53"/>
  <c r="O98" i="53" s="1"/>
  <c r="P92" i="53"/>
  <c r="P101" i="53" s="1"/>
  <c r="P23" i="55" s="1"/>
  <c r="M92" i="53"/>
  <c r="M101" i="53" s="1"/>
  <c r="M23" i="55" s="1"/>
  <c r="K92" i="53"/>
  <c r="K101" i="53" s="1"/>
  <c r="K23" i="55" s="1"/>
  <c r="G92" i="53"/>
  <c r="G101" i="53" s="1"/>
  <c r="G23" i="55" s="1"/>
  <c r="O92" i="53"/>
  <c r="O101" i="53" s="1"/>
  <c r="O23" i="55" s="1"/>
  <c r="H92" i="53"/>
  <c r="H101" i="53" s="1"/>
  <c r="H23" i="55" s="1"/>
  <c r="D92" i="53"/>
  <c r="D101" i="53" s="1"/>
  <c r="D23" i="55" s="1"/>
  <c r="N92" i="53"/>
  <c r="N101" i="53" s="1"/>
  <c r="N23" i="55" s="1"/>
  <c r="I92" i="53"/>
  <c r="I101" i="53" s="1"/>
  <c r="I23" i="55" s="1"/>
  <c r="F92" i="53"/>
  <c r="F101" i="53" s="1"/>
  <c r="F23" i="55" s="1"/>
  <c r="Q92" i="53"/>
  <c r="Q101" i="53" s="1"/>
  <c r="Q23" i="55" s="1"/>
  <c r="L92" i="53"/>
  <c r="L101" i="53" s="1"/>
  <c r="L23" i="55" s="1"/>
  <c r="J92" i="53"/>
  <c r="J101" i="53" s="1"/>
  <c r="J23" i="55" s="1"/>
  <c r="E92" i="53"/>
  <c r="E101" i="53" s="1"/>
  <c r="E23" i="55" s="1"/>
  <c r="Q19" i="53"/>
  <c r="Q20" i="53" s="1"/>
  <c r="K19" i="53"/>
  <c r="K20" i="53" s="1"/>
  <c r="J19" i="53"/>
  <c r="J20" i="53" s="1"/>
  <c r="I19" i="53"/>
  <c r="I20" i="53" s="1"/>
  <c r="H19" i="53"/>
  <c r="H20" i="53" s="1"/>
  <c r="G19" i="53"/>
  <c r="G20" i="53" s="1"/>
  <c r="F19" i="53"/>
  <c r="F20" i="53" s="1"/>
  <c r="D19" i="53"/>
  <c r="D20" i="53" s="1"/>
  <c r="B19" i="53"/>
  <c r="B20" i="53" s="1"/>
  <c r="M19" i="53"/>
  <c r="M20" i="53" s="1"/>
  <c r="N19" i="53"/>
  <c r="N20" i="53" s="1"/>
  <c r="O19" i="53"/>
  <c r="O20" i="53" s="1"/>
  <c r="L19" i="53"/>
  <c r="L20" i="53" s="1"/>
  <c r="P19" i="53"/>
  <c r="P20" i="53" s="1"/>
  <c r="E19" i="53"/>
  <c r="E20" i="53" s="1"/>
  <c r="C19" i="53"/>
  <c r="C20" i="53" s="1"/>
  <c r="P18" i="53"/>
  <c r="P21" i="53" s="1"/>
  <c r="O18" i="53"/>
  <c r="O21" i="53" s="1"/>
  <c r="M18" i="53"/>
  <c r="M21" i="53" s="1"/>
  <c r="K18" i="53"/>
  <c r="K21" i="53" s="1"/>
  <c r="I18" i="53"/>
  <c r="I21" i="53" s="1"/>
  <c r="G18" i="53"/>
  <c r="G21" i="53" s="1"/>
  <c r="E18" i="53"/>
  <c r="E21" i="53" s="1"/>
  <c r="C18" i="53"/>
  <c r="C21" i="53" s="1"/>
  <c r="Q18" i="53"/>
  <c r="Q21" i="53" s="1"/>
  <c r="N18" i="53"/>
  <c r="N21" i="53" s="1"/>
  <c r="L18" i="53"/>
  <c r="L21" i="53" s="1"/>
  <c r="J18" i="53"/>
  <c r="J21" i="53" s="1"/>
  <c r="H18" i="53"/>
  <c r="H21" i="53" s="1"/>
  <c r="F18" i="53"/>
  <c r="F21" i="53" s="1"/>
  <c r="D18" i="53"/>
  <c r="D21" i="53" s="1"/>
  <c r="B18" i="53"/>
  <c r="B21" i="53" s="1"/>
  <c r="Q53" i="53"/>
  <c r="Q56" i="53" s="1"/>
  <c r="P53" i="53"/>
  <c r="P56" i="53" s="1"/>
  <c r="O53" i="53"/>
  <c r="O56" i="53" s="1"/>
  <c r="N53" i="53"/>
  <c r="N56" i="53" s="1"/>
  <c r="M53" i="53"/>
  <c r="M56" i="53" s="1"/>
  <c r="L53" i="53"/>
  <c r="L56" i="53" s="1"/>
  <c r="K53" i="53"/>
  <c r="K56" i="53" s="1"/>
  <c r="J53" i="53"/>
  <c r="J56" i="53" s="1"/>
  <c r="I53" i="53"/>
  <c r="I56" i="53" s="1"/>
  <c r="G53" i="53"/>
  <c r="G56" i="53" s="1"/>
  <c r="F53" i="53"/>
  <c r="F56" i="53" s="1"/>
  <c r="F138" i="55" s="1"/>
  <c r="E53" i="53"/>
  <c r="E56" i="53" s="1"/>
  <c r="E138" i="55" s="1"/>
  <c r="D53" i="53"/>
  <c r="D56" i="53" s="1"/>
  <c r="D138" i="55" s="1"/>
  <c r="C53" i="53"/>
  <c r="C56" i="53" s="1"/>
  <c r="C138" i="55" s="1"/>
  <c r="B53" i="53"/>
  <c r="B56" i="53" s="1"/>
  <c r="B138" i="55" s="1"/>
  <c r="H53" i="53"/>
  <c r="H56" i="53" s="1"/>
  <c r="Q50" i="53"/>
  <c r="Q59" i="53" s="1"/>
  <c r="Q137" i="55" s="1"/>
  <c r="O50" i="53"/>
  <c r="O59" i="53" s="1"/>
  <c r="O137" i="55" s="1"/>
  <c r="L50" i="53"/>
  <c r="L59" i="53" s="1"/>
  <c r="L137" i="55" s="1"/>
  <c r="J50" i="53"/>
  <c r="J59" i="53" s="1"/>
  <c r="J137" i="55" s="1"/>
  <c r="H50" i="53"/>
  <c r="H59" i="53" s="1"/>
  <c r="H137" i="55" s="1"/>
  <c r="E50" i="53"/>
  <c r="E59" i="53" s="1"/>
  <c r="E137" i="55" s="1"/>
  <c r="B50" i="53"/>
  <c r="B59" i="53" s="1"/>
  <c r="B137" i="55" s="1"/>
  <c r="P50" i="53"/>
  <c r="P59" i="53" s="1"/>
  <c r="P137" i="55" s="1"/>
  <c r="M50" i="53"/>
  <c r="M59" i="53" s="1"/>
  <c r="M137" i="55" s="1"/>
  <c r="K50" i="53"/>
  <c r="K59" i="53" s="1"/>
  <c r="K137" i="55" s="1"/>
  <c r="I50" i="53"/>
  <c r="I59" i="53" s="1"/>
  <c r="I137" i="55" s="1"/>
  <c r="G50" i="53"/>
  <c r="G59" i="53" s="1"/>
  <c r="G137" i="55" s="1"/>
  <c r="F50" i="53"/>
  <c r="F59" i="53" s="1"/>
  <c r="F137" i="55" s="1"/>
  <c r="C50" i="53"/>
  <c r="C59" i="53" s="1"/>
  <c r="C137" i="55" s="1"/>
  <c r="N50" i="53"/>
  <c r="N59" i="53" s="1"/>
  <c r="N137" i="55" s="1"/>
  <c r="D50" i="53"/>
  <c r="D59" i="53" s="1"/>
  <c r="D137" i="55" s="1"/>
  <c r="Q130" i="53"/>
  <c r="P130" i="53"/>
  <c r="O130" i="53"/>
  <c r="N130" i="53"/>
  <c r="M130" i="53"/>
  <c r="J40" i="53"/>
  <c r="K40" i="53"/>
  <c r="L40" i="53"/>
  <c r="N40" i="53"/>
  <c r="O40" i="53"/>
  <c r="Q167" i="53"/>
  <c r="P167" i="53"/>
  <c r="O167" i="53"/>
  <c r="N167" i="53"/>
  <c r="M167" i="53"/>
  <c r="L167" i="53"/>
  <c r="K167" i="53"/>
  <c r="J167" i="53"/>
  <c r="I167" i="53"/>
  <c r="H167" i="53"/>
  <c r="G167" i="53"/>
  <c r="F167" i="53"/>
  <c r="E167" i="53"/>
  <c r="D167" i="53"/>
  <c r="C167" i="53"/>
  <c r="B167" i="53"/>
  <c r="E89" i="53"/>
  <c r="D89" i="53"/>
  <c r="C89" i="53"/>
  <c r="Q150" i="53"/>
  <c r="N146" i="53"/>
  <c r="N150" i="53"/>
  <c r="P146" i="53"/>
  <c r="P150" i="53"/>
  <c r="O146" i="53"/>
  <c r="O150" i="53"/>
  <c r="F150" i="53"/>
  <c r="M146" i="53"/>
  <c r="M150" i="53"/>
  <c r="L146" i="53"/>
  <c r="L150" i="53"/>
  <c r="K146" i="53"/>
  <c r="K150" i="53"/>
  <c r="J150" i="53"/>
  <c r="I150" i="53"/>
  <c r="H150" i="53"/>
  <c r="G150" i="53"/>
  <c r="E146" i="53"/>
  <c r="E150" i="53"/>
  <c r="D146" i="53"/>
  <c r="D150" i="53"/>
  <c r="C146" i="53"/>
  <c r="C150" i="53"/>
  <c r="B150" i="53"/>
  <c r="Q133" i="53"/>
  <c r="P129" i="53"/>
  <c r="P133" i="53"/>
  <c r="O129" i="53"/>
  <c r="O133" i="53"/>
  <c r="N129" i="53"/>
  <c r="N133" i="53"/>
  <c r="M129" i="53"/>
  <c r="M133" i="53"/>
  <c r="L129" i="53"/>
  <c r="L133" i="53"/>
  <c r="K129" i="53"/>
  <c r="K133" i="53"/>
  <c r="J133" i="53"/>
  <c r="I133" i="53"/>
  <c r="H133" i="53"/>
  <c r="G129" i="53"/>
  <c r="G133" i="53"/>
  <c r="F129" i="53"/>
  <c r="F133" i="53"/>
  <c r="E129" i="53"/>
  <c r="E133" i="53"/>
  <c r="D129" i="53"/>
  <c r="D133" i="53"/>
  <c r="C129" i="53"/>
  <c r="C133" i="53"/>
  <c r="B133" i="53"/>
  <c r="G89" i="53"/>
  <c r="F89" i="53"/>
  <c r="B89" i="53"/>
  <c r="Q116" i="53"/>
  <c r="P116" i="53"/>
  <c r="O112" i="53"/>
  <c r="O116" i="53"/>
  <c r="N112" i="53"/>
  <c r="N116" i="53"/>
  <c r="M112" i="53"/>
  <c r="M116" i="53"/>
  <c r="L112" i="53"/>
  <c r="L116" i="53"/>
  <c r="K116" i="53"/>
  <c r="J116" i="53"/>
  <c r="I116" i="53"/>
  <c r="H116" i="53"/>
  <c r="G116" i="53"/>
  <c r="F116" i="53"/>
  <c r="E116" i="53"/>
  <c r="D112" i="53"/>
  <c r="D116" i="53"/>
  <c r="C112" i="53"/>
  <c r="C116" i="53"/>
  <c r="B116" i="53"/>
  <c r="D47" i="53"/>
  <c r="E47" i="53"/>
  <c r="G47" i="53"/>
  <c r="H47" i="53"/>
  <c r="I47" i="53"/>
  <c r="J47" i="53"/>
  <c r="K47" i="53"/>
  <c r="L47" i="53"/>
  <c r="N47" i="53"/>
  <c r="O47" i="53"/>
  <c r="P40" i="53"/>
  <c r="P47" i="53"/>
  <c r="Q47" i="53"/>
  <c r="M40" i="53"/>
  <c r="M47" i="53"/>
  <c r="F47" i="53"/>
  <c r="C47" i="53"/>
  <c r="Q89" i="53"/>
  <c r="P89" i="53"/>
  <c r="O89" i="53"/>
  <c r="N89" i="53"/>
  <c r="M89" i="53"/>
  <c r="L89" i="53"/>
  <c r="K89" i="53"/>
  <c r="J89" i="53"/>
  <c r="I89" i="53"/>
  <c r="H89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Q5" i="55"/>
  <c r="P5" i="55"/>
  <c r="O5" i="55"/>
  <c r="N5" i="55"/>
  <c r="M5" i="55"/>
  <c r="L5" i="55"/>
  <c r="K5" i="55"/>
  <c r="J5" i="55"/>
  <c r="I5" i="55"/>
  <c r="H5" i="55"/>
  <c r="G5" i="55"/>
  <c r="F5" i="55"/>
  <c r="E5" i="55"/>
  <c r="D5" i="55"/>
  <c r="C5" i="55"/>
  <c r="B5" i="55"/>
  <c r="P13" i="53"/>
  <c r="O13" i="53"/>
  <c r="N13" i="53"/>
  <c r="M13" i="53"/>
  <c r="L13" i="53"/>
  <c r="K13" i="53"/>
  <c r="E13" i="53"/>
  <c r="D13" i="53"/>
  <c r="C13" i="53"/>
  <c r="Q108" i="53" a="1"/>
  <c r="Q108" i="53" s="1"/>
  <c r="Q115" i="53" s="1"/>
  <c r="E18" i="54"/>
  <c r="H10" i="54"/>
  <c r="H18" i="54" s="1"/>
  <c r="B14" i="53"/>
  <c r="C14" i="53"/>
  <c r="J107" i="53" a="1"/>
  <c r="J107" i="53" s="1"/>
  <c r="J114" i="53" s="1"/>
  <c r="N107" i="53" a="1"/>
  <c r="N107" i="53" s="1"/>
  <c r="N114" i="53" s="1"/>
  <c r="N68" i="53" a="1"/>
  <c r="N68" i="53" s="1"/>
  <c r="K68" i="53" a="1"/>
  <c r="K68" i="53" s="1"/>
  <c r="I68" i="53" a="1"/>
  <c r="I68" i="53" s="1"/>
  <c r="C68" i="53" a="1"/>
  <c r="C68" i="53" s="1"/>
  <c r="C8" i="55" s="1"/>
  <c r="H68" i="53" a="1"/>
  <c r="H68" i="53" s="1"/>
  <c r="M68" i="53" a="1"/>
  <c r="M68" i="53" s="1"/>
  <c r="Q68" i="53" a="1"/>
  <c r="Q68" i="53" s="1"/>
  <c r="E68" i="53" a="1"/>
  <c r="E68" i="53" s="1"/>
  <c r="E8" i="55" s="1"/>
  <c r="Q107" i="53" a="1"/>
  <c r="Q107" i="53" s="1"/>
  <c r="D28" i="53" a="1"/>
  <c r="D28" i="53" s="1"/>
  <c r="I28" i="53" a="1"/>
  <c r="I28" i="53" s="1"/>
  <c r="I45" i="53" s="1"/>
  <c r="L28" i="53" a="1"/>
  <c r="L28" i="53" s="1"/>
  <c r="L45" i="53" s="1"/>
  <c r="P28" i="53" a="1"/>
  <c r="P28" i="53" s="1"/>
  <c r="P45" i="53" s="1"/>
  <c r="O107" i="53" a="1"/>
  <c r="O107" i="53" s="1"/>
  <c r="O114" i="53" s="1"/>
  <c r="M107" i="53" a="1"/>
  <c r="M107" i="53" s="1"/>
  <c r="M114" i="53" s="1"/>
  <c r="G8" i="53" a="1"/>
  <c r="G8" i="53" s="1"/>
  <c r="G15" i="53" s="1"/>
  <c r="K107" i="53" a="1"/>
  <c r="K107" i="53" s="1"/>
  <c r="K114" i="53" s="1"/>
  <c r="I107" i="53" a="1"/>
  <c r="I107" i="53" s="1"/>
  <c r="I114" i="53" s="1"/>
  <c r="F107" i="53" a="1"/>
  <c r="F107" i="53" s="1"/>
  <c r="M8" i="53" a="1"/>
  <c r="M8" i="53" s="1"/>
  <c r="M15" i="53" s="1"/>
  <c r="J28" i="53" a="1"/>
  <c r="J28" i="53" s="1"/>
  <c r="J45" i="53" s="1"/>
  <c r="M28" i="53" a="1"/>
  <c r="M28" i="53" s="1"/>
  <c r="M45" i="53" s="1"/>
  <c r="D107" i="53" a="1"/>
  <c r="D107" i="53" s="1"/>
  <c r="D114" i="53" s="1"/>
  <c r="H107" i="53" a="1"/>
  <c r="H107" i="53" s="1"/>
  <c r="H114" i="53" s="1"/>
  <c r="L107" i="53" a="1"/>
  <c r="L107" i="53" s="1"/>
  <c r="L114" i="53" s="1"/>
  <c r="P107" i="53" a="1"/>
  <c r="P107" i="53" s="1"/>
  <c r="B107" i="53" a="1"/>
  <c r="B107" i="53" s="1"/>
  <c r="Q28" i="53" a="1"/>
  <c r="Q28" i="53" s="1"/>
  <c r="B68" i="53" a="1"/>
  <c r="B68" i="53" s="1"/>
  <c r="D68" i="53" a="1"/>
  <c r="D68" i="53" s="1"/>
  <c r="D8" i="55" s="1"/>
  <c r="F68" i="53" a="1"/>
  <c r="F68" i="53" s="1"/>
  <c r="J68" i="53" a="1"/>
  <c r="J68" i="53" s="1"/>
  <c r="G68" i="53" a="1"/>
  <c r="G68" i="53" s="1"/>
  <c r="H8" i="53" a="1"/>
  <c r="H8" i="53" s="1"/>
  <c r="H15" i="53" s="1"/>
  <c r="L68" i="53" a="1"/>
  <c r="L68" i="53" s="1"/>
  <c r="P68" i="53" a="1"/>
  <c r="P68" i="53" s="1"/>
  <c r="B28" i="53" a="1"/>
  <c r="B28" i="53" s="1"/>
  <c r="O68" i="53" a="1"/>
  <c r="O68" i="53" s="1"/>
  <c r="G28" i="53" a="1"/>
  <c r="G28" i="53" s="1"/>
  <c r="G45" i="53" s="1"/>
  <c r="F8" i="53" a="1"/>
  <c r="F8" i="53" s="1"/>
  <c r="L8" i="53" a="1"/>
  <c r="L8" i="53" s="1"/>
  <c r="L15" i="53" s="1"/>
  <c r="C107" i="53" a="1"/>
  <c r="C107" i="53" s="1"/>
  <c r="C114" i="53" s="1"/>
  <c r="E107" i="53" a="1"/>
  <c r="E107" i="53" s="1"/>
  <c r="E114" i="53" s="1"/>
  <c r="F28" i="53" a="1"/>
  <c r="F28" i="53" s="1"/>
  <c r="K8" i="53" a="1"/>
  <c r="K8" i="53" s="1"/>
  <c r="K15" i="53" s="1"/>
  <c r="I8" i="53" a="1"/>
  <c r="I8" i="53" s="1"/>
  <c r="I15" i="53" s="1"/>
  <c r="O28" i="53" a="1"/>
  <c r="O28" i="53" s="1"/>
  <c r="O45" i="53" s="1"/>
  <c r="N28" i="53" a="1"/>
  <c r="N28" i="53" s="1"/>
  <c r="N45" i="53" s="1"/>
  <c r="K28" i="53" a="1"/>
  <c r="K28" i="53" s="1"/>
  <c r="K45" i="53" s="1"/>
  <c r="H28" i="53" a="1"/>
  <c r="H28" i="53" s="1"/>
  <c r="H45" i="53" s="1"/>
  <c r="E28" i="53" a="1"/>
  <c r="E28" i="53" s="1"/>
  <c r="C28" i="53" a="1"/>
  <c r="C28" i="53" s="1"/>
  <c r="O108" i="53" a="1"/>
  <c r="O108" i="53" s="1"/>
  <c r="O115" i="53" s="1"/>
  <c r="C69" i="53" a="1"/>
  <c r="C69" i="53" s="1"/>
  <c r="H69" i="53" a="1"/>
  <c r="H69" i="53" s="1"/>
  <c r="M69" i="53" a="1"/>
  <c r="M69" i="53" s="1"/>
  <c r="H29" i="53" a="1"/>
  <c r="H29" i="53" s="1"/>
  <c r="M29" i="53" a="1"/>
  <c r="M29" i="53" s="1"/>
  <c r="G9" i="53" a="1"/>
  <c r="G9" i="53" s="1"/>
  <c r="L9" i="53" a="1"/>
  <c r="L9" i="53" s="1"/>
  <c r="K29" i="53" a="1"/>
  <c r="K29" i="53" s="1"/>
  <c r="N29" i="53" a="1"/>
  <c r="N29" i="53" s="1"/>
  <c r="Q29" i="53" a="1"/>
  <c r="Q29" i="53" s="1"/>
  <c r="C9" i="53" a="1"/>
  <c r="C9" i="53" s="1"/>
  <c r="F9" i="53" a="1"/>
  <c r="F9" i="53" s="1"/>
  <c r="I9" i="53" a="1"/>
  <c r="I9" i="53" s="1"/>
  <c r="M9" i="53" a="1"/>
  <c r="M9" i="53" s="1"/>
  <c r="I29" i="53" a="1"/>
  <c r="I29" i="53" s="1"/>
  <c r="B108" i="53" a="1"/>
  <c r="B108" i="53" s="1"/>
  <c r="B115" i="53" s="1"/>
  <c r="F69" i="53" a="1"/>
  <c r="F69" i="53" s="1"/>
  <c r="I69" i="53" a="1"/>
  <c r="I69" i="53" s="1"/>
  <c r="L69" i="53" a="1"/>
  <c r="L69" i="53" s="1"/>
  <c r="N69" i="53" a="1"/>
  <c r="N69" i="53" s="1"/>
  <c r="Q69" i="53" a="1"/>
  <c r="Q69" i="53" s="1"/>
  <c r="D29" i="53" a="1"/>
  <c r="D29" i="53" s="1"/>
  <c r="F29" i="53" a="1"/>
  <c r="F29" i="53" s="1"/>
  <c r="J29" i="53" a="1"/>
  <c r="J29" i="53" s="1"/>
  <c r="L29" i="53" a="1"/>
  <c r="L29" i="53" s="1"/>
  <c r="P29" i="53" a="1"/>
  <c r="P29" i="53" s="1"/>
  <c r="B69" i="53" a="1"/>
  <c r="B69" i="53" s="1"/>
  <c r="B29" i="53" a="1"/>
  <c r="B29" i="53" s="1"/>
  <c r="B9" i="53" a="1"/>
  <c r="B9" i="53" s="1"/>
  <c r="D9" i="53" a="1"/>
  <c r="D9" i="53" s="1"/>
  <c r="N108" i="53" a="1"/>
  <c r="N108" i="53" s="1"/>
  <c r="N115" i="53" s="1"/>
  <c r="H9" i="53" a="1"/>
  <c r="H9" i="53" s="1"/>
  <c r="K9" i="53" a="1"/>
  <c r="K9" i="53" s="1"/>
  <c r="N9" i="53" a="1"/>
  <c r="N9" i="53" s="1"/>
  <c r="M108" i="53" a="1"/>
  <c r="M108" i="53" s="1"/>
  <c r="M115" i="53" s="1"/>
  <c r="P108" i="53" a="1"/>
  <c r="P108" i="53" s="1"/>
  <c r="P115" i="53" s="1"/>
  <c r="E69" i="53" a="1"/>
  <c r="E69" i="53" s="1"/>
  <c r="J69" i="53" a="1"/>
  <c r="J69" i="53" s="1"/>
  <c r="P69" i="53" a="1"/>
  <c r="P69" i="53" s="1"/>
  <c r="E29" i="53" a="1"/>
  <c r="E29" i="53" s="1"/>
  <c r="O29" i="53" a="1"/>
  <c r="O29" i="53" s="1"/>
  <c r="E9" i="53" a="1"/>
  <c r="E9" i="53" s="1"/>
  <c r="J9" i="53" a="1"/>
  <c r="J9" i="53" s="1"/>
  <c r="D69" i="53" a="1"/>
  <c r="D69" i="53" s="1"/>
  <c r="G69" i="53" a="1"/>
  <c r="G69" i="53" s="1"/>
  <c r="G88" i="53" s="1"/>
  <c r="K69" i="53" a="1"/>
  <c r="K69" i="53" s="1"/>
  <c r="O69" i="53" a="1"/>
  <c r="O69" i="53" s="1"/>
  <c r="C29" i="53" a="1"/>
  <c r="C29" i="53" s="1"/>
  <c r="G29" i="53" a="1"/>
  <c r="G29" i="53" s="1"/>
  <c r="Q125" i="53" a="1"/>
  <c r="Q125" i="53" s="1"/>
  <c r="Q132" i="53" s="1"/>
  <c r="C108" i="53" a="1"/>
  <c r="C108" i="53" s="1"/>
  <c r="C115" i="53" s="1"/>
  <c r="I159" i="53" a="1"/>
  <c r="I159" i="53" s="1"/>
  <c r="I166" i="53" s="1"/>
  <c r="E125" i="53" a="1"/>
  <c r="E125" i="53" s="1"/>
  <c r="E132" i="53" s="1"/>
  <c r="H125" i="53" a="1"/>
  <c r="H125" i="53" s="1"/>
  <c r="H132" i="53" s="1"/>
  <c r="J125" i="53" a="1"/>
  <c r="J125" i="53" s="1"/>
  <c r="J132" i="53" s="1"/>
  <c r="L125" i="53" a="1"/>
  <c r="L125" i="53" s="1"/>
  <c r="L132" i="53" s="1"/>
  <c r="N125" i="53" a="1"/>
  <c r="N125" i="53" s="1"/>
  <c r="N132" i="53" s="1"/>
  <c r="P125" i="53" a="1"/>
  <c r="P125" i="53" s="1"/>
  <c r="P132" i="53" s="1"/>
  <c r="D10" i="54" a="1"/>
  <c r="D10" i="54" s="1"/>
  <c r="L159" i="53" a="1"/>
  <c r="L159" i="53" s="1"/>
  <c r="L166" i="53" s="1"/>
  <c r="D9" i="54" a="1"/>
  <c r="D9" i="54" s="1"/>
  <c r="G9" i="54" s="1"/>
  <c r="M159" i="53" a="1"/>
  <c r="M159" i="53" s="1"/>
  <c r="M166" i="53" s="1"/>
  <c r="P159" i="53" a="1"/>
  <c r="P159" i="53" s="1"/>
  <c r="P166" i="53" s="1"/>
  <c r="G125" i="53" a="1"/>
  <c r="G125" i="53" s="1"/>
  <c r="G132" i="53" s="1"/>
  <c r="F125" i="53" a="1"/>
  <c r="F125" i="53" s="1"/>
  <c r="D14" i="54" a="1"/>
  <c r="D14" i="54" s="1"/>
  <c r="G14" i="54" s="1"/>
  <c r="D7" i="54" a="1"/>
  <c r="D7" i="54" s="1"/>
  <c r="G7" i="54" s="1"/>
  <c r="D108" i="53" a="1"/>
  <c r="D108" i="53" s="1"/>
  <c r="D115" i="53" s="1"/>
  <c r="F108" i="53" a="1"/>
  <c r="F108" i="53" s="1"/>
  <c r="H108" i="53" a="1"/>
  <c r="H108" i="53" s="1"/>
  <c r="J108" i="53" a="1"/>
  <c r="J108" i="53" s="1"/>
  <c r="L108" i="53" a="1"/>
  <c r="L108" i="53" s="1"/>
  <c r="L115" i="53" s="1"/>
  <c r="B125" i="53" a="1"/>
  <c r="B125" i="53" s="1"/>
  <c r="B132" i="53" s="1"/>
  <c r="D13" i="54" a="1"/>
  <c r="D13" i="54" s="1"/>
  <c r="G13" i="54" s="1"/>
  <c r="C159" i="53" a="1"/>
  <c r="C159" i="53" s="1"/>
  <c r="C166" i="53" s="1"/>
  <c r="D12" i="54" a="1"/>
  <c r="D12" i="54" s="1"/>
  <c r="G12" i="54" s="1"/>
  <c r="K108" i="53" a="1"/>
  <c r="K108" i="53" s="1"/>
  <c r="I108" i="53" a="1"/>
  <c r="I108" i="53" s="1"/>
  <c r="I115" i="53" s="1"/>
  <c r="G108" i="53" a="1"/>
  <c r="G108" i="53" s="1"/>
  <c r="G115" i="53" s="1"/>
  <c r="E108" i="53" a="1"/>
  <c r="E108" i="53" s="1"/>
  <c r="E115" i="53" s="1"/>
  <c r="F159" i="53" a="1"/>
  <c r="F159" i="53" s="1"/>
  <c r="D11" i="54" a="1"/>
  <c r="D11" i="54" s="1"/>
  <c r="G11" i="54" s="1"/>
  <c r="O125" i="53" a="1"/>
  <c r="O125" i="53" s="1"/>
  <c r="O132" i="53" s="1"/>
  <c r="M125" i="53" a="1"/>
  <c r="M125" i="53" s="1"/>
  <c r="M132" i="53" s="1"/>
  <c r="K125" i="53" a="1"/>
  <c r="K125" i="53" s="1"/>
  <c r="K132" i="53" s="1"/>
  <c r="I125" i="53" a="1"/>
  <c r="I125" i="53" s="1"/>
  <c r="I132" i="53" s="1"/>
  <c r="E142" i="53" a="1"/>
  <c r="E142" i="53" s="1"/>
  <c r="E149" i="53" s="1"/>
  <c r="H142" i="53" a="1"/>
  <c r="H142" i="53" s="1"/>
  <c r="H149" i="53" s="1"/>
  <c r="J142" i="53" a="1"/>
  <c r="J142" i="53" s="1"/>
  <c r="J149" i="53" s="1"/>
  <c r="L142" i="53" a="1"/>
  <c r="L142" i="53" s="1"/>
  <c r="L149" i="53" s="1"/>
  <c r="M142" i="53" a="1"/>
  <c r="M142" i="53" s="1"/>
  <c r="M149" i="53" s="1"/>
  <c r="P142" i="53" a="1"/>
  <c r="P142" i="53" s="1"/>
  <c r="P149" i="53" s="1"/>
  <c r="B142" i="53" a="1"/>
  <c r="B142" i="53" s="1"/>
  <c r="B149" i="53" s="1"/>
  <c r="C125" i="53" a="1"/>
  <c r="C125" i="53" s="1"/>
  <c r="C132" i="53" s="1"/>
  <c r="O9" i="53" a="1"/>
  <c r="O9" i="53" s="1"/>
  <c r="P9" i="53" a="1"/>
  <c r="P9" i="53" s="1"/>
  <c r="Q9" i="53" a="1"/>
  <c r="Q9" i="53" s="1"/>
  <c r="D159" i="53" a="1"/>
  <c r="D159" i="53" s="1"/>
  <c r="D166" i="53" s="1"/>
  <c r="G159" i="53" a="1"/>
  <c r="G159" i="53" s="1"/>
  <c r="G166" i="53" s="1"/>
  <c r="J159" i="53" a="1"/>
  <c r="J159" i="53" s="1"/>
  <c r="J166" i="53" s="1"/>
  <c r="N159" i="53" a="1"/>
  <c r="N159" i="53" s="1"/>
  <c r="N166" i="53" s="1"/>
  <c r="Q159" i="53" a="1"/>
  <c r="Q159" i="53" s="1"/>
  <c r="Q166" i="53" s="1"/>
  <c r="O159" i="53" a="1"/>
  <c r="O159" i="53" s="1"/>
  <c r="O166" i="53" s="1"/>
  <c r="D142" i="53" a="1"/>
  <c r="D142" i="53" s="1"/>
  <c r="D149" i="53" s="1"/>
  <c r="G142" i="53" a="1"/>
  <c r="G142" i="53" s="1"/>
  <c r="G149" i="53" s="1"/>
  <c r="O142" i="53" a="1"/>
  <c r="O142" i="53" s="1"/>
  <c r="O149" i="53" s="1"/>
  <c r="D125" i="53" a="1"/>
  <c r="D125" i="53" s="1"/>
  <c r="D132" i="53" s="1"/>
  <c r="D8" i="54" a="1"/>
  <c r="D8" i="54" s="1"/>
  <c r="G8" i="54" s="1"/>
  <c r="E159" i="53" a="1"/>
  <c r="E159" i="53" s="1"/>
  <c r="E166" i="53" s="1"/>
  <c r="H159" i="53" a="1"/>
  <c r="H159" i="53" s="1"/>
  <c r="H166" i="53" s="1"/>
  <c r="K159" i="53" a="1"/>
  <c r="K159" i="53" s="1"/>
  <c r="K166" i="53" s="1"/>
  <c r="B159" i="53" a="1"/>
  <c r="B159" i="53" s="1"/>
  <c r="B166" i="53" s="1"/>
  <c r="C142" i="53" a="1"/>
  <c r="C142" i="53" s="1"/>
  <c r="C149" i="53" s="1"/>
  <c r="F142" i="53" a="1"/>
  <c r="F142" i="53" s="1"/>
  <c r="I142" i="53" a="1"/>
  <c r="I142" i="53" s="1"/>
  <c r="I149" i="53" s="1"/>
  <c r="K142" i="53" a="1"/>
  <c r="K142" i="53" s="1"/>
  <c r="K149" i="53" s="1"/>
  <c r="N142" i="53" a="1"/>
  <c r="N142" i="53" s="1"/>
  <c r="N149" i="53" s="1"/>
  <c r="Q142" i="53" a="1"/>
  <c r="Q142" i="53" s="1"/>
  <c r="Q149" i="53" s="1"/>
  <c r="K158" i="53" a="1"/>
  <c r="K158" i="53" s="1"/>
  <c r="K165" i="53" s="1"/>
  <c r="N158" i="53" a="1"/>
  <c r="N158" i="53" s="1"/>
  <c r="Q158" i="53" a="1"/>
  <c r="Q158" i="53" s="1"/>
  <c r="Q8" i="53" a="1"/>
  <c r="Q8" i="53" s="1"/>
  <c r="J8" i="53" a="1"/>
  <c r="J8" i="53" s="1"/>
  <c r="J15" i="53" s="1"/>
  <c r="C124" i="53" a="1"/>
  <c r="C124" i="53" s="1"/>
  <c r="C131" i="53" s="1"/>
  <c r="E124" i="53" a="1"/>
  <c r="E124" i="53" s="1"/>
  <c r="E131" i="53" s="1"/>
  <c r="G124" i="53" a="1"/>
  <c r="G124" i="53" s="1"/>
  <c r="G131" i="53" s="1"/>
  <c r="I124" i="53" a="1"/>
  <c r="I124" i="53" s="1"/>
  <c r="I131" i="53" s="1"/>
  <c r="D141" i="53" a="1"/>
  <c r="D141" i="53" s="1"/>
  <c r="D148" i="53" s="1"/>
  <c r="G141" i="53" a="1"/>
  <c r="G141" i="53" s="1"/>
  <c r="G148" i="53" s="1"/>
  <c r="H141" i="53" a="1"/>
  <c r="H141" i="53" s="1"/>
  <c r="H148" i="53" s="1"/>
  <c r="K141" i="53" a="1"/>
  <c r="K141" i="53" s="1"/>
  <c r="K148" i="53" s="1"/>
  <c r="N141" i="53" a="1"/>
  <c r="N141" i="53" s="1"/>
  <c r="N148" i="53" s="1"/>
  <c r="Q141" i="53" a="1"/>
  <c r="Q141" i="53" s="1"/>
  <c r="K124" i="53" a="1"/>
  <c r="K124" i="53" s="1"/>
  <c r="K131" i="53" s="1"/>
  <c r="B141" i="53" a="1"/>
  <c r="B141" i="53" s="1"/>
  <c r="M124" i="53" a="1"/>
  <c r="M124" i="53" s="1"/>
  <c r="M131" i="53" s="1"/>
  <c r="O124" i="53" a="1"/>
  <c r="O124" i="53" s="1"/>
  <c r="O131" i="53" s="1"/>
  <c r="N8" i="53" a="1"/>
  <c r="N8" i="53" s="1"/>
  <c r="N15" i="53" s="1"/>
  <c r="G107" i="53" a="1"/>
  <c r="G107" i="53" s="1"/>
  <c r="G114" i="53" s="1"/>
  <c r="C8" i="53" a="1"/>
  <c r="C8" i="53" s="1"/>
  <c r="C15" i="53" s="1"/>
  <c r="D8" i="53" a="1"/>
  <c r="D8" i="53" s="1"/>
  <c r="D15" i="53" s="1"/>
  <c r="E8" i="53" a="1"/>
  <c r="E8" i="53" s="1"/>
  <c r="E15" i="53" s="1"/>
  <c r="O8" i="53" a="1"/>
  <c r="O8" i="53" s="1"/>
  <c r="O15" i="53" s="1"/>
  <c r="P8" i="53" a="1"/>
  <c r="P8" i="53" s="1"/>
  <c r="P15" i="53" s="1"/>
  <c r="P124" i="53" a="1"/>
  <c r="P124" i="53" s="1"/>
  <c r="P131" i="53" s="1"/>
  <c r="D124" i="53" a="1"/>
  <c r="D124" i="53" s="1"/>
  <c r="D131" i="53" s="1"/>
  <c r="Q124" i="53" a="1"/>
  <c r="Q124" i="53" s="1"/>
  <c r="E158" i="53" a="1"/>
  <c r="E158" i="53" s="1"/>
  <c r="E165" i="53" s="1"/>
  <c r="I158" i="53" a="1"/>
  <c r="I158" i="53" s="1"/>
  <c r="I165" i="53" s="1"/>
  <c r="L158" i="53" a="1"/>
  <c r="L158" i="53" s="1"/>
  <c r="L165" i="53" s="1"/>
  <c r="O158" i="53" a="1"/>
  <c r="O158" i="53" s="1"/>
  <c r="B124" i="53" a="1"/>
  <c r="B124" i="53" s="1"/>
  <c r="N124" i="53" a="1"/>
  <c r="N124" i="53" s="1"/>
  <c r="N131" i="53" s="1"/>
  <c r="L124" i="53" a="1"/>
  <c r="L124" i="53" s="1"/>
  <c r="L131" i="53" s="1"/>
  <c r="J124" i="53" a="1"/>
  <c r="J124" i="53" s="1"/>
  <c r="J131" i="53" s="1"/>
  <c r="C141" i="53" a="1"/>
  <c r="C141" i="53" s="1"/>
  <c r="C148" i="53" s="1"/>
  <c r="F141" i="53" a="1"/>
  <c r="F141" i="53" s="1"/>
  <c r="J141" i="53" a="1"/>
  <c r="J141" i="53" s="1"/>
  <c r="J148" i="53" s="1"/>
  <c r="M141" i="53" a="1"/>
  <c r="M141" i="53" s="1"/>
  <c r="M148" i="53" s="1"/>
  <c r="P141" i="53" a="1"/>
  <c r="P141" i="53" s="1"/>
  <c r="P148" i="53" s="1"/>
  <c r="H124" i="53" a="1"/>
  <c r="H124" i="53" s="1"/>
  <c r="H131" i="53" s="1"/>
  <c r="F124" i="53" a="1"/>
  <c r="F124" i="53" s="1"/>
  <c r="C7" i="54" a="1"/>
  <c r="C7" i="54" s="1"/>
  <c r="F7" i="54" s="1"/>
  <c r="C14" i="54" a="1"/>
  <c r="C14" i="54" s="1"/>
  <c r="F14" i="54" s="1"/>
  <c r="C13" i="54" a="1"/>
  <c r="C13" i="54" s="1"/>
  <c r="F13" i="54" s="1"/>
  <c r="C12" i="54" a="1"/>
  <c r="C12" i="54" s="1"/>
  <c r="F12" i="54" s="1"/>
  <c r="B158" i="53" a="1"/>
  <c r="B158" i="53" s="1"/>
  <c r="C158" i="53" a="1"/>
  <c r="C158" i="53" s="1"/>
  <c r="C165" i="53" s="1"/>
  <c r="F158" i="53" a="1"/>
  <c r="F158" i="53" s="1"/>
  <c r="J158" i="53" a="1"/>
  <c r="J158" i="53" s="1"/>
  <c r="J165" i="53" s="1"/>
  <c r="M158" i="53" a="1"/>
  <c r="M158" i="53" s="1"/>
  <c r="M165" i="53" s="1"/>
  <c r="P158" i="53" a="1"/>
  <c r="P158" i="53" s="1"/>
  <c r="C11" i="54" a="1"/>
  <c r="C11" i="54" s="1"/>
  <c r="F11" i="54" s="1"/>
  <c r="C10" i="54" a="1"/>
  <c r="C10" i="54" s="1"/>
  <c r="C9" i="54" a="1"/>
  <c r="C9" i="54" s="1"/>
  <c r="F9" i="54" s="1"/>
  <c r="F8" i="54"/>
  <c r="D158" i="53" a="1"/>
  <c r="D158" i="53" s="1"/>
  <c r="D165" i="53" s="1"/>
  <c r="G158" i="53" a="1"/>
  <c r="G158" i="53" s="1"/>
  <c r="G165" i="53" s="1"/>
  <c r="H158" i="53" a="1"/>
  <c r="H158" i="53" s="1"/>
  <c r="H165" i="53" s="1"/>
  <c r="E141" i="53" a="1"/>
  <c r="E141" i="53" s="1"/>
  <c r="E148" i="53" s="1"/>
  <c r="I141" i="53" a="1"/>
  <c r="I141" i="53" s="1"/>
  <c r="I148" i="53" s="1"/>
  <c r="L141" i="53" a="1"/>
  <c r="L141" i="53" s="1"/>
  <c r="L148" i="53" s="1"/>
  <c r="O141" i="53" a="1"/>
  <c r="O141" i="53" s="1"/>
  <c r="O148" i="53" s="1"/>
  <c r="J83" i="53"/>
  <c r="I83" i="53"/>
  <c r="H83" i="53"/>
  <c r="F83" i="53"/>
  <c r="F13" i="55" s="1"/>
  <c r="E83" i="53"/>
  <c r="E13" i="55" s="1"/>
  <c r="C83" i="53"/>
  <c r="C13" i="55" s="1"/>
  <c r="G83" i="53"/>
  <c r="M83" i="53"/>
  <c r="Q83" i="53"/>
  <c r="P83" i="53"/>
  <c r="N83" i="53"/>
  <c r="O83" i="53"/>
  <c r="L83" i="53"/>
  <c r="K83" i="53"/>
  <c r="M41" i="53"/>
  <c r="N41" i="53"/>
  <c r="P41" i="53"/>
  <c r="Q41" i="53"/>
  <c r="C41" i="53"/>
  <c r="C127" i="55" s="1"/>
  <c r="E41" i="53"/>
  <c r="E127" i="55" s="1"/>
  <c r="F41" i="53"/>
  <c r="F127" i="55" s="1"/>
  <c r="G41" i="53"/>
  <c r="H41" i="53"/>
  <c r="I41" i="53"/>
  <c r="O41" i="53"/>
  <c r="J41" i="53"/>
  <c r="D41" i="53"/>
  <c r="D127" i="55" s="1"/>
  <c r="K41" i="53"/>
  <c r="L41" i="53"/>
  <c r="P248" i="28"/>
  <c r="Q164" i="53"/>
  <c r="P164" i="53"/>
  <c r="O164" i="53"/>
  <c r="N164" i="53"/>
  <c r="M164" i="53"/>
  <c r="L164" i="53"/>
  <c r="K164" i="53"/>
  <c r="J164" i="53"/>
  <c r="I164" i="53"/>
  <c r="H164" i="53"/>
  <c r="G164" i="53"/>
  <c r="F164" i="53"/>
  <c r="E164" i="53"/>
  <c r="D164" i="53"/>
  <c r="C164" i="53"/>
  <c r="B164" i="53"/>
  <c r="P9" i="28"/>
  <c r="P13" i="28"/>
  <c r="P14" i="28"/>
  <c r="P15" i="28"/>
  <c r="P36" i="28"/>
  <c r="P37" i="28"/>
  <c r="P3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C147" i="53"/>
  <c r="G147" i="53"/>
  <c r="F147" i="53"/>
  <c r="E147" i="53"/>
  <c r="D147" i="53"/>
  <c r="B147" i="53"/>
  <c r="H147" i="53"/>
  <c r="Q147" i="53"/>
  <c r="P147" i="53"/>
  <c r="O147" i="53"/>
  <c r="N147" i="53"/>
  <c r="M147" i="53"/>
  <c r="L147" i="53"/>
  <c r="K147" i="53"/>
  <c r="J147" i="53"/>
  <c r="I147" i="53"/>
  <c r="D113" i="53"/>
  <c r="C113" i="53"/>
  <c r="B113" i="53"/>
  <c r="I113" i="53"/>
  <c r="H113" i="53"/>
  <c r="J113" i="53"/>
  <c r="K113" i="53"/>
  <c r="L113" i="53"/>
  <c r="M113" i="53"/>
  <c r="G113" i="53"/>
  <c r="F113" i="53"/>
  <c r="E113" i="53"/>
  <c r="F14" i="53"/>
  <c r="N14" i="53"/>
  <c r="O14" i="53"/>
  <c r="P14" i="53"/>
  <c r="M14" i="53"/>
  <c r="L14" i="53"/>
  <c r="Q14" i="53"/>
  <c r="K14" i="53"/>
  <c r="J14" i="53"/>
  <c r="D14" i="53"/>
  <c r="I14" i="53"/>
  <c r="H14" i="53"/>
  <c r="G14" i="53"/>
  <c r="E14" i="53"/>
  <c r="P258" i="28"/>
  <c r="P386" i="28"/>
  <c r="O113" i="53"/>
  <c r="P113" i="53"/>
  <c r="Q113" i="53"/>
  <c r="N113" i="53"/>
  <c r="D5" i="51"/>
  <c r="D11" i="49"/>
  <c r="D13" i="49" s="1"/>
  <c r="D16" i="49"/>
  <c r="D18" i="49" s="1"/>
  <c r="D21" i="49"/>
  <c r="E5" i="51"/>
  <c r="E11" i="49"/>
  <c r="E13" i="49" s="1"/>
  <c r="E21" i="49"/>
  <c r="E16" i="49"/>
  <c r="E18" i="49" s="1"/>
  <c r="F5" i="51"/>
  <c r="F16" i="49"/>
  <c r="F18" i="49" s="1"/>
  <c r="F21" i="49"/>
  <c r="F11" i="49"/>
  <c r="F13" i="49" s="1"/>
  <c r="G5" i="51"/>
  <c r="G21" i="49"/>
  <c r="G11" i="49"/>
  <c r="G13" i="49" s="1"/>
  <c r="G16" i="49"/>
  <c r="G18" i="49" s="1"/>
  <c r="P90" i="28"/>
  <c r="P529" i="28"/>
  <c r="P699" i="28"/>
  <c r="P16" i="28"/>
  <c r="P17" i="28"/>
  <c r="P18" i="28"/>
  <c r="P20" i="28"/>
  <c r="P245" i="28"/>
  <c r="P724" i="28"/>
  <c r="L5" i="48"/>
  <c r="M741" i="28"/>
  <c r="B20" i="47" a="1"/>
  <c r="B20" i="47" s="1"/>
  <c r="N741" i="28"/>
  <c r="C27" i="30" s="1"/>
  <c r="B25" i="47" a="1"/>
  <c r="B25" i="47" s="1"/>
  <c r="D7" i="51"/>
  <c r="B6" i="51"/>
  <c r="C5" i="51"/>
  <c r="F30" i="49"/>
  <c r="F33" i="49" s="1"/>
  <c r="F13" i="51" s="1"/>
  <c r="C30" i="49"/>
  <c r="C33" i="49" s="1"/>
  <c r="C13" i="51" s="1"/>
  <c r="G30" i="49"/>
  <c r="G33" i="49" s="1"/>
  <c r="G13" i="51" s="1"/>
  <c r="C16" i="49"/>
  <c r="C18" i="49" s="1"/>
  <c r="E30" i="49"/>
  <c r="E33" i="49" s="1"/>
  <c r="E13" i="51" s="1"/>
  <c r="C11" i="49"/>
  <c r="C13" i="49" s="1"/>
  <c r="C21" i="49"/>
  <c r="B6" i="52"/>
  <c r="B5" i="52"/>
  <c r="B31" i="50"/>
  <c r="B32" i="50" s="1"/>
  <c r="B21" i="50"/>
  <c r="B30" i="50"/>
  <c r="B11" i="50"/>
  <c r="B13" i="50" s="1"/>
  <c r="B16" i="50"/>
  <c r="B18" i="50" s="1"/>
  <c r="D31" i="49"/>
  <c r="E31" i="49"/>
  <c r="C31" i="49"/>
  <c r="G31" i="49"/>
  <c r="G32" i="49" s="1"/>
  <c r="F31" i="49"/>
  <c r="F32" i="49" s="1"/>
  <c r="P147" i="28"/>
  <c r="P580" i="28"/>
  <c r="P629" i="28"/>
  <c r="P411" i="28"/>
  <c r="P587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634" i="28"/>
  <c r="P525" i="28"/>
  <c r="P526" i="28"/>
  <c r="P537" i="28"/>
  <c r="P540" i="28"/>
  <c r="P586" i="28"/>
  <c r="P198" i="28"/>
  <c r="P542" i="28"/>
  <c r="P543" i="28"/>
  <c r="P544" i="28"/>
  <c r="P546" i="28"/>
  <c r="P547" i="28"/>
  <c r="P548" i="28"/>
  <c r="P549" i="28"/>
  <c r="P551" i="28"/>
  <c r="P552" i="28"/>
  <c r="P553" i="28"/>
  <c r="P557" i="28"/>
  <c r="P560" i="28"/>
  <c r="P561" i="28"/>
  <c r="P562" i="28"/>
  <c r="P564" i="28"/>
  <c r="P567" i="28"/>
  <c r="P570" i="28"/>
  <c r="P571" i="28"/>
  <c r="P572" i="28"/>
  <c r="P573" i="28"/>
  <c r="P574" i="28"/>
  <c r="P575" i="28"/>
  <c r="P577" i="28"/>
  <c r="P618" i="28"/>
  <c r="P107" i="28"/>
  <c r="P637" i="28"/>
  <c r="P639" i="28"/>
  <c r="P640" i="28"/>
  <c r="P259" i="28"/>
  <c r="P5" i="28"/>
  <c r="P283" i="28"/>
  <c r="P284" i="28"/>
  <c r="P287" i="28"/>
  <c r="P289" i="28"/>
  <c r="P293" i="28"/>
  <c r="P296" i="28"/>
  <c r="P298" i="28"/>
  <c r="P299" i="28"/>
  <c r="P300" i="28"/>
  <c r="P305" i="28"/>
  <c r="P307" i="28"/>
  <c r="P308" i="28"/>
  <c r="P309" i="28"/>
  <c r="P310" i="28"/>
  <c r="P312" i="28"/>
  <c r="P314" i="28"/>
  <c r="P315" i="28"/>
  <c r="P316" i="28"/>
  <c r="P317" i="28"/>
  <c r="P318" i="28"/>
  <c r="P319" i="28"/>
  <c r="P320" i="28"/>
  <c r="P321" i="28"/>
  <c r="P323" i="28"/>
  <c r="P324" i="28"/>
  <c r="P328" i="28"/>
  <c r="P338" i="28"/>
  <c r="P342" i="28"/>
  <c r="P345" i="28"/>
  <c r="P346" i="28"/>
  <c r="P347" i="28"/>
  <c r="P348" i="28"/>
  <c r="P349" i="28"/>
  <c r="P350" i="28"/>
  <c r="P351" i="28"/>
  <c r="P489" i="28"/>
  <c r="P520" i="28"/>
  <c r="P521" i="28"/>
  <c r="P522" i="28"/>
  <c r="P523" i="28"/>
  <c r="P524" i="28"/>
  <c r="P664" i="28"/>
  <c r="P684" i="28"/>
  <c r="P686" i="28"/>
  <c r="P691" i="28"/>
  <c r="P693" i="28"/>
  <c r="P694" i="28"/>
  <c r="P721" i="28"/>
  <c r="P723" i="28"/>
  <c r="F5" i="48"/>
  <c r="B10" i="48"/>
  <c r="C53" i="47"/>
  <c r="C54" i="47" s="1"/>
  <c r="G53" i="47"/>
  <c r="G54" i="47" s="1"/>
  <c r="L53" i="47"/>
  <c r="L54" i="47" s="1"/>
  <c r="F53" i="47"/>
  <c r="H53" i="47"/>
  <c r="H54" i="47" s="1"/>
  <c r="K53" i="47"/>
  <c r="K54" i="47" s="1"/>
  <c r="D53" i="47"/>
  <c r="D54" i="47" s="1"/>
  <c r="I53" i="47"/>
  <c r="I54" i="47" s="1"/>
  <c r="E53" i="47"/>
  <c r="E54" i="47" s="1"/>
  <c r="J53" i="47"/>
  <c r="J54" i="47" s="1"/>
  <c r="Q5" i="48"/>
  <c r="K5" i="48"/>
  <c r="J5" i="48"/>
  <c r="I5" i="48"/>
  <c r="H5" i="48"/>
  <c r="G5" i="48"/>
  <c r="E5" i="48"/>
  <c r="D5" i="48"/>
  <c r="C5" i="48"/>
  <c r="B5" i="48"/>
  <c r="B19" i="47"/>
  <c r="B24" i="47"/>
  <c r="E52" i="47"/>
  <c r="E55" i="47" s="1"/>
  <c r="L52" i="47"/>
  <c r="L55" i="47" s="1"/>
  <c r="J52" i="47"/>
  <c r="J55" i="47" s="1"/>
  <c r="B29" i="47"/>
  <c r="B33" i="47" s="1"/>
  <c r="F52" i="47"/>
  <c r="F55" i="47" s="1"/>
  <c r="I52" i="47"/>
  <c r="I55" i="47" s="1"/>
  <c r="K52" i="47"/>
  <c r="K55" i="47" s="1"/>
  <c r="G52" i="47"/>
  <c r="G55" i="47" s="1"/>
  <c r="C52" i="47"/>
  <c r="C55" i="47" s="1"/>
  <c r="H52" i="47"/>
  <c r="H55" i="47" s="1"/>
  <c r="M53" i="47"/>
  <c r="M54" i="47" s="1"/>
  <c r="O53" i="47"/>
  <c r="O54" i="47" s="1"/>
  <c r="Q53" i="47"/>
  <c r="Q54" i="47" s="1"/>
  <c r="P53" i="47"/>
  <c r="P54" i="47" s="1"/>
  <c r="N53" i="47"/>
  <c r="N54" i="47" s="1"/>
  <c r="M52" i="47"/>
  <c r="M55" i="47" s="1"/>
  <c r="N52" i="47"/>
  <c r="N55" i="47" s="1"/>
  <c r="P52" i="47"/>
  <c r="P55" i="47" s="1"/>
  <c r="O52" i="47"/>
  <c r="O55" i="47" s="1"/>
  <c r="Q52" i="47"/>
  <c r="Q55" i="47" s="1"/>
  <c r="P352" i="28"/>
  <c r="P354" i="28"/>
  <c r="P355" i="28"/>
  <c r="P357" i="28"/>
  <c r="P359" i="28"/>
  <c r="P360" i="28"/>
  <c r="P363" i="28"/>
  <c r="P365" i="28"/>
  <c r="P366" i="28"/>
  <c r="P367" i="28"/>
  <c r="P368" i="28"/>
  <c r="P369" i="28"/>
  <c r="P370" i="28"/>
  <c r="P371" i="28"/>
  <c r="P372" i="28"/>
  <c r="P390" i="28"/>
  <c r="P392" i="28"/>
  <c r="P394" i="28"/>
  <c r="P395" i="28"/>
  <c r="P396" i="28"/>
  <c r="P397" i="28"/>
  <c r="P398" i="28"/>
  <c r="P405" i="28"/>
  <c r="P406" i="28"/>
  <c r="P407" i="28"/>
  <c r="P414" i="28"/>
  <c r="P415" i="28"/>
  <c r="P416" i="28"/>
  <c r="P418" i="28"/>
  <c r="P421" i="28"/>
  <c r="P422" i="28"/>
  <c r="P423" i="28"/>
  <c r="P424" i="28"/>
  <c r="P427" i="28"/>
  <c r="P430" i="28"/>
  <c r="P431" i="28"/>
  <c r="P432" i="28"/>
  <c r="P433" i="28"/>
  <c r="P434" i="28"/>
  <c r="P435" i="28"/>
  <c r="P436" i="28"/>
  <c r="P437" i="28"/>
  <c r="P438" i="28"/>
  <c r="P439" i="28"/>
  <c r="P440" i="28"/>
  <c r="P441" i="28"/>
  <c r="P442" i="28"/>
  <c r="P443" i="28"/>
  <c r="P444" i="28"/>
  <c r="P445" i="28"/>
  <c r="P446" i="28"/>
  <c r="P447" i="28"/>
  <c r="P448" i="28"/>
  <c r="P449" i="28"/>
  <c r="P450" i="28"/>
  <c r="P451" i="28"/>
  <c r="P452" i="28"/>
  <c r="P453" i="28"/>
  <c r="P454" i="28"/>
  <c r="P458" i="28"/>
  <c r="P464" i="28"/>
  <c r="P465" i="28"/>
  <c r="P466" i="28"/>
  <c r="P467" i="28"/>
  <c r="P468" i="28"/>
  <c r="P469" i="28"/>
  <c r="P470" i="28"/>
  <c r="P471" i="28"/>
  <c r="P472" i="28"/>
  <c r="P473" i="28"/>
  <c r="P477" i="28"/>
  <c r="P482" i="28"/>
  <c r="P485" i="28"/>
  <c r="P486" i="28"/>
  <c r="P487" i="28"/>
  <c r="P488" i="28"/>
  <c r="P490" i="28"/>
  <c r="P491" i="28"/>
  <c r="P492" i="28"/>
  <c r="P493" i="28"/>
  <c r="P494" i="28"/>
  <c r="P495" i="28"/>
  <c r="P496" i="28"/>
  <c r="P497" i="28"/>
  <c r="P498" i="28"/>
  <c r="P499" i="28"/>
  <c r="P500" i="28"/>
  <c r="P501" i="28"/>
  <c r="P502" i="28"/>
  <c r="P504" i="28"/>
  <c r="P505" i="28"/>
  <c r="P506" i="28"/>
  <c r="P507" i="28"/>
  <c r="P508" i="28"/>
  <c r="P509" i="28"/>
  <c r="P510" i="28"/>
  <c r="P511" i="28"/>
  <c r="P512" i="28"/>
  <c r="P513" i="28"/>
  <c r="P514" i="28"/>
  <c r="P515" i="28"/>
  <c r="P516" i="28"/>
  <c r="P517" i="28"/>
  <c r="P518" i="28"/>
  <c r="P519" i="28"/>
  <c r="P616" i="28"/>
  <c r="P685" i="28"/>
  <c r="P288" i="28"/>
  <c r="P606" i="28"/>
  <c r="P607" i="28"/>
  <c r="P617" i="28"/>
  <c r="P641" i="28"/>
  <c r="P682" i="28"/>
  <c r="P689" i="28"/>
  <c r="P695" i="28"/>
  <c r="P722" i="28"/>
  <c r="P619" i="28"/>
  <c r="P620" i="28"/>
  <c r="P621" i="28"/>
  <c r="P622" i="28"/>
  <c r="P623" i="28"/>
  <c r="P624" i="28"/>
  <c r="P625" i="28"/>
  <c r="P626" i="28"/>
  <c r="P627" i="28"/>
  <c r="P638" i="28"/>
  <c r="P683" i="28"/>
  <c r="P692" i="28"/>
  <c r="P286" i="28"/>
  <c r="P657" i="28"/>
  <c r="P658" i="28"/>
  <c r="P659" i="28"/>
  <c r="P660" i="28"/>
  <c r="P670" i="28"/>
  <c r="P676" i="28"/>
  <c r="P677" i="28"/>
  <c r="P726" i="28"/>
  <c r="P739" i="28"/>
  <c r="P313" i="28"/>
  <c r="P311" i="28"/>
  <c r="P4" i="28"/>
  <c r="D34" i="38"/>
  <c r="D32" i="38"/>
  <c r="D31" i="38"/>
  <c r="D30" i="38"/>
  <c r="D28" i="38"/>
  <c r="D27" i="38"/>
  <c r="D26" i="38"/>
  <c r="D24" i="38"/>
  <c r="O8" i="45"/>
  <c r="L8" i="45"/>
  <c r="O7" i="45"/>
  <c r="L7" i="45"/>
  <c r="O6" i="45"/>
  <c r="L6" i="45"/>
  <c r="K80" i="32"/>
  <c r="J80" i="32"/>
  <c r="I80" i="32"/>
  <c r="H80" i="32"/>
  <c r="G80" i="32"/>
  <c r="F80" i="32"/>
  <c r="E80" i="32"/>
  <c r="D80" i="32"/>
  <c r="N79" i="32"/>
  <c r="L79" i="32"/>
  <c r="N16" i="32"/>
  <c r="L16" i="32"/>
  <c r="H96" i="27"/>
  <c r="G96" i="27"/>
  <c r="N4" i="32"/>
  <c r="L4" i="32" s="1"/>
  <c r="N5" i="32"/>
  <c r="L5" i="32" s="1"/>
  <c r="N6" i="32"/>
  <c r="L6" i="32" s="1"/>
  <c r="N7" i="32"/>
  <c r="L7" i="32" s="1"/>
  <c r="N8" i="32"/>
  <c r="L8" i="32" s="1"/>
  <c r="N9" i="32"/>
  <c r="L9" i="32" s="1"/>
  <c r="N10" i="32"/>
  <c r="L10" i="32" s="1"/>
  <c r="N11" i="32"/>
  <c r="L11" i="32" s="1"/>
  <c r="N12" i="32"/>
  <c r="L12" i="32" s="1"/>
  <c r="N13" i="32"/>
  <c r="L13" i="32" s="1"/>
  <c r="N14" i="32"/>
  <c r="L14" i="32" s="1"/>
  <c r="N15" i="32"/>
  <c r="L15" i="32" s="1"/>
  <c r="N17" i="32"/>
  <c r="L17" i="32" s="1"/>
  <c r="N18" i="32"/>
  <c r="L18" i="32" s="1"/>
  <c r="N19" i="32"/>
  <c r="L19" i="32" s="1"/>
  <c r="N20" i="32"/>
  <c r="L20" i="32" s="1"/>
  <c r="N21" i="32"/>
  <c r="L21" i="32" s="1"/>
  <c r="N22" i="32"/>
  <c r="L22" i="32" s="1"/>
  <c r="N23" i="32"/>
  <c r="L23" i="32" s="1"/>
  <c r="N24" i="32"/>
  <c r="L24" i="32" s="1"/>
  <c r="N25" i="32"/>
  <c r="L25" i="32" s="1"/>
  <c r="N26" i="32"/>
  <c r="L26" i="32" s="1"/>
  <c r="N27" i="32"/>
  <c r="L27" i="32" s="1"/>
  <c r="N28" i="32"/>
  <c r="L28" i="32" s="1"/>
  <c r="N29" i="32"/>
  <c r="L29" i="32" s="1"/>
  <c r="N30" i="32"/>
  <c r="L30" i="32" s="1"/>
  <c r="N31" i="32"/>
  <c r="L31" i="32" s="1"/>
  <c r="N32" i="32"/>
  <c r="L32" i="32" s="1"/>
  <c r="N33" i="32"/>
  <c r="L33" i="32" s="1"/>
  <c r="N34" i="32"/>
  <c r="L34" i="32" s="1"/>
  <c r="N35" i="32"/>
  <c r="L35" i="32" s="1"/>
  <c r="N36" i="32"/>
  <c r="L36" i="32" s="1"/>
  <c r="N37" i="32"/>
  <c r="L37" i="32" s="1"/>
  <c r="N38" i="32"/>
  <c r="L38" i="32" s="1"/>
  <c r="N39" i="32"/>
  <c r="L39" i="32" s="1"/>
  <c r="N40" i="32"/>
  <c r="L40" i="32" s="1"/>
  <c r="N41" i="32"/>
  <c r="L41" i="32" s="1"/>
  <c r="N42" i="32"/>
  <c r="L42" i="32" s="1"/>
  <c r="N43" i="32"/>
  <c r="L43" i="32" s="1"/>
  <c r="N44" i="32"/>
  <c r="L44" i="32" s="1"/>
  <c r="N45" i="32"/>
  <c r="L45" i="32" s="1"/>
  <c r="N46" i="32"/>
  <c r="L46" i="32" s="1"/>
  <c r="N47" i="32"/>
  <c r="L47" i="32" s="1"/>
  <c r="N48" i="32"/>
  <c r="L48" i="32" s="1"/>
  <c r="N49" i="32"/>
  <c r="L49" i="32" s="1"/>
  <c r="N50" i="32"/>
  <c r="L50" i="32" s="1"/>
  <c r="N51" i="32"/>
  <c r="L51" i="32" s="1"/>
  <c r="N52" i="32"/>
  <c r="L52" i="32" s="1"/>
  <c r="N53" i="32"/>
  <c r="L53" i="32" s="1"/>
  <c r="N54" i="32"/>
  <c r="L54" i="32" s="1"/>
  <c r="N55" i="32"/>
  <c r="L55" i="32" s="1"/>
  <c r="N56" i="32"/>
  <c r="L56" i="32" s="1"/>
  <c r="N57" i="32"/>
  <c r="L57" i="32" s="1"/>
  <c r="N58" i="32"/>
  <c r="L58" i="32" s="1"/>
  <c r="N59" i="32"/>
  <c r="L59" i="32" s="1"/>
  <c r="N60" i="32"/>
  <c r="L60" i="32" s="1"/>
  <c r="N61" i="32"/>
  <c r="L61" i="32" s="1"/>
  <c r="N62" i="32"/>
  <c r="L62" i="32" s="1"/>
  <c r="N63" i="32"/>
  <c r="L63" i="32" s="1"/>
  <c r="N64" i="32"/>
  <c r="L64" i="32" s="1"/>
  <c r="N65" i="32"/>
  <c r="L65" i="32" s="1"/>
  <c r="N66" i="32"/>
  <c r="L66" i="32" s="1"/>
  <c r="N67" i="32"/>
  <c r="L67" i="32" s="1"/>
  <c r="N68" i="32"/>
  <c r="L68" i="32" s="1"/>
  <c r="N69" i="32"/>
  <c r="L69" i="32" s="1"/>
  <c r="N70" i="32"/>
  <c r="L70" i="32" s="1"/>
  <c r="N71" i="32"/>
  <c r="L71" i="32" s="1"/>
  <c r="N72" i="32"/>
  <c r="L72" i="32" s="1"/>
  <c r="N73" i="32"/>
  <c r="L73" i="32" s="1"/>
  <c r="N74" i="32"/>
  <c r="L74" i="32" s="1"/>
  <c r="N75" i="32"/>
  <c r="L75" i="32" s="1"/>
  <c r="N76" i="32"/>
  <c r="L76" i="32" s="1"/>
  <c r="N77" i="32"/>
  <c r="L77" i="32" s="1"/>
  <c r="N78" i="32"/>
  <c r="L78" i="32" s="1"/>
  <c r="N3" i="32"/>
  <c r="L3" i="32" s="1"/>
  <c r="N80" i="32"/>
  <c r="D27" i="37"/>
  <c r="D33" i="41"/>
  <c r="D58" i="42"/>
  <c r="D25" i="43"/>
  <c r="C25" i="43"/>
  <c r="B58" i="42"/>
  <c r="D39" i="37"/>
  <c r="D36" i="37"/>
  <c r="D33" i="37"/>
  <c r="D30" i="37"/>
  <c r="D33" i="38"/>
  <c r="D29" i="38"/>
  <c r="B25" i="43"/>
  <c r="B33" i="41"/>
  <c r="C58" i="42"/>
  <c r="Y98" i="40"/>
  <c r="O18" i="44"/>
  <c r="N18" i="44"/>
  <c r="M18" i="44"/>
  <c r="L18" i="44"/>
  <c r="K18" i="44"/>
  <c r="J18" i="44"/>
  <c r="I18" i="44"/>
  <c r="H18" i="44"/>
  <c r="G18" i="44"/>
  <c r="F18" i="44"/>
  <c r="B18" i="44"/>
  <c r="O25" i="43"/>
  <c r="N25" i="43"/>
  <c r="M25" i="43"/>
  <c r="L25" i="43"/>
  <c r="K25" i="43"/>
  <c r="J25" i="43"/>
  <c r="I25" i="43"/>
  <c r="H25" i="43"/>
  <c r="G25" i="43"/>
  <c r="F25" i="43"/>
  <c r="O58" i="42"/>
  <c r="N58" i="42"/>
  <c r="M58" i="42"/>
  <c r="L58" i="42"/>
  <c r="K58" i="42"/>
  <c r="J58" i="42"/>
  <c r="I58" i="42"/>
  <c r="H58" i="42"/>
  <c r="G58" i="42"/>
  <c r="F58" i="42"/>
  <c r="O33" i="41"/>
  <c r="C24" i="38" s="1"/>
  <c r="N33" i="41"/>
  <c r="M33" i="41"/>
  <c r="L33" i="41"/>
  <c r="K33" i="41"/>
  <c r="J33" i="41"/>
  <c r="I33" i="41"/>
  <c r="H33" i="41"/>
  <c r="G33" i="41"/>
  <c r="F33" i="41"/>
  <c r="B98" i="40"/>
  <c r="B12" i="39"/>
  <c r="O12" i="39"/>
  <c r="C30" i="38" s="1"/>
  <c r="J12" i="39"/>
  <c r="W98" i="40"/>
  <c r="V98" i="40"/>
  <c r="U98" i="40"/>
  <c r="T98" i="40"/>
  <c r="S98" i="40"/>
  <c r="R98" i="40"/>
  <c r="Q98" i="40"/>
  <c r="P98" i="40"/>
  <c r="O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L85" i="40"/>
  <c r="L84" i="40"/>
  <c r="L83" i="40"/>
  <c r="L82" i="40"/>
  <c r="L81" i="40"/>
  <c r="L80" i="40"/>
  <c r="L79" i="40"/>
  <c r="L78" i="40"/>
  <c r="L77" i="40"/>
  <c r="L76" i="40"/>
  <c r="L75" i="40"/>
  <c r="L74" i="40"/>
  <c r="L73" i="40"/>
  <c r="L72" i="40"/>
  <c r="L71" i="40"/>
  <c r="L70" i="40"/>
  <c r="L69" i="40"/>
  <c r="L68" i="40"/>
  <c r="L67" i="40"/>
  <c r="L66" i="40"/>
  <c r="L65" i="40"/>
  <c r="L64" i="40"/>
  <c r="L63" i="40"/>
  <c r="L62" i="40"/>
  <c r="L61" i="40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L2" i="40"/>
  <c r="N12" i="39"/>
  <c r="M12" i="39"/>
  <c r="L12" i="39"/>
  <c r="K12" i="39"/>
  <c r="I12" i="39"/>
  <c r="H12" i="39"/>
  <c r="G12" i="39"/>
  <c r="F12" i="39"/>
  <c r="C40" i="37"/>
  <c r="C39" i="37"/>
  <c r="C38" i="37"/>
  <c r="C37" i="37"/>
  <c r="C36" i="37"/>
  <c r="C35" i="37"/>
  <c r="N118" i="31"/>
  <c r="M118" i="31"/>
  <c r="D23" i="38" s="1"/>
  <c r="L118" i="31"/>
  <c r="G22" i="36"/>
  <c r="G44" i="35"/>
  <c r="C31" i="38" s="1"/>
  <c r="G44" i="34"/>
  <c r="G46" i="33"/>
  <c r="C27" i="38" s="1"/>
  <c r="D25" i="38"/>
  <c r="F46" i="33"/>
  <c r="E46" i="33"/>
  <c r="F44" i="34"/>
  <c r="E44" i="34"/>
  <c r="E44" i="35"/>
  <c r="F44" i="35"/>
  <c r="E22" i="36"/>
  <c r="F22" i="36"/>
  <c r="H22" i="36"/>
  <c r="H23" i="36" s="1"/>
  <c r="I22" i="36"/>
  <c r="I23" i="36" s="1"/>
  <c r="J22" i="36"/>
  <c r="D22" i="36"/>
  <c r="K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D44" i="35"/>
  <c r="J45" i="35" s="1"/>
  <c r="H44" i="35"/>
  <c r="H45" i="35" s="1"/>
  <c r="I44" i="35"/>
  <c r="I45" i="35" s="1"/>
  <c r="J44" i="35"/>
  <c r="H44" i="34"/>
  <c r="I44" i="34"/>
  <c r="I45" i="34" s="1"/>
  <c r="C33" i="37" s="1"/>
  <c r="J44" i="34"/>
  <c r="J45" i="34" s="1"/>
  <c r="C34" i="37" s="1"/>
  <c r="D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7" i="34"/>
  <c r="K6" i="34"/>
  <c r="K5" i="34"/>
  <c r="K4" i="34"/>
  <c r="K3" i="34"/>
  <c r="K2" i="34"/>
  <c r="H46" i="33"/>
  <c r="H47" i="33" s="1"/>
  <c r="C29" i="37" s="1"/>
  <c r="I46" i="33"/>
  <c r="J46" i="33"/>
  <c r="M111" i="61" s="1"/>
  <c r="M112" i="61" s="1"/>
  <c r="D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6" i="33"/>
  <c r="K5" i="33"/>
  <c r="K4" i="33"/>
  <c r="K3" i="33"/>
  <c r="K2" i="33"/>
  <c r="O118" i="31"/>
  <c r="P118" i="31"/>
  <c r="Q118" i="31"/>
  <c r="R92" i="23" s="1"/>
  <c r="T92" i="23" s="1"/>
  <c r="K118" i="31"/>
  <c r="D24" i="37" s="1"/>
  <c r="R3" i="31"/>
  <c r="R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2" i="31"/>
  <c r="C40" i="30"/>
  <c r="C39" i="30"/>
  <c r="K45" i="34" l="1"/>
  <c r="O27" i="59"/>
  <c r="K27" i="59"/>
  <c r="Q48" i="60"/>
  <c r="Q27" i="59"/>
  <c r="AN19" i="59"/>
  <c r="AN20" i="59" s="1"/>
  <c r="M48" i="60"/>
  <c r="M20" i="59"/>
  <c r="M50" i="60" s="1"/>
  <c r="V23" i="59"/>
  <c r="L20" i="59"/>
  <c r="L50" i="60" s="1"/>
  <c r="K48" i="60"/>
  <c r="I48" i="60"/>
  <c r="I20" i="59"/>
  <c r="I50" i="60" s="1"/>
  <c r="H48" i="60"/>
  <c r="T48" i="60"/>
  <c r="F27" i="59"/>
  <c r="F28" i="59" s="1"/>
  <c r="L27" i="59"/>
  <c r="L83" i="60" s="1"/>
  <c r="AK23" i="59"/>
  <c r="AC49" i="60"/>
  <c r="N48" i="60"/>
  <c r="N27" i="59"/>
  <c r="N83" i="60" s="1"/>
  <c r="Y49" i="60"/>
  <c r="AL23" i="59"/>
  <c r="D23" i="59"/>
  <c r="D9" i="60"/>
  <c r="N8" i="60"/>
  <c r="N12" i="59"/>
  <c r="N10" i="60" s="1"/>
  <c r="I23" i="59"/>
  <c r="I9" i="60"/>
  <c r="H20" i="59"/>
  <c r="H50" i="60" s="1"/>
  <c r="AN23" i="59"/>
  <c r="T27" i="59"/>
  <c r="T83" i="60" s="1"/>
  <c r="G27" i="59"/>
  <c r="G28" i="59" s="1"/>
  <c r="C23" i="59"/>
  <c r="C9" i="60"/>
  <c r="X23" i="59"/>
  <c r="F23" i="59"/>
  <c r="F9" i="60"/>
  <c r="G20" i="59"/>
  <c r="G50" i="60" s="1"/>
  <c r="E23" i="59"/>
  <c r="E9" i="60"/>
  <c r="F48" i="60"/>
  <c r="M23" i="59"/>
  <c r="M9" i="60"/>
  <c r="R27" i="59"/>
  <c r="R83" i="60" s="1"/>
  <c r="Z23" i="59"/>
  <c r="H23" i="59"/>
  <c r="H9" i="60"/>
  <c r="P27" i="59"/>
  <c r="P28" i="59" s="1"/>
  <c r="J27" i="59"/>
  <c r="W23" i="59"/>
  <c r="K23" i="59"/>
  <c r="K9" i="60"/>
  <c r="P48" i="60"/>
  <c r="O48" i="60"/>
  <c r="J48" i="60"/>
  <c r="D48" i="60"/>
  <c r="G23" i="59"/>
  <c r="G9" i="60"/>
  <c r="N23" i="59"/>
  <c r="N9" i="60"/>
  <c r="J23" i="59"/>
  <c r="J9" i="60"/>
  <c r="CF24" i="50"/>
  <c r="CT24" i="50"/>
  <c r="CF25" i="50"/>
  <c r="CT25" i="50"/>
  <c r="CQ25" i="50"/>
  <c r="CQ23" i="50"/>
  <c r="L120" i="31"/>
  <c r="P8" i="51"/>
  <c r="D16" i="51"/>
  <c r="P7" i="51"/>
  <c r="BQ25" i="50"/>
  <c r="BQ24" i="50"/>
  <c r="BQ23" i="50"/>
  <c r="P6" i="51"/>
  <c r="K25" i="49"/>
  <c r="K24" i="49"/>
  <c r="K11" i="51" s="1"/>
  <c r="K15" i="51"/>
  <c r="K17" i="51"/>
  <c r="K16" i="51"/>
  <c r="M7" i="49" a="1"/>
  <c r="M7" i="49" s="1"/>
  <c r="M22" i="49" a="1"/>
  <c r="M22" i="49" s="1"/>
  <c r="M31" i="49" s="1"/>
  <c r="M32" i="49" s="1"/>
  <c r="M17" i="49" a="1"/>
  <c r="M17" i="49" s="1"/>
  <c r="N40" i="49"/>
  <c r="M12" i="49" a="1"/>
  <c r="M12" i="49" s="1"/>
  <c r="L11" i="49"/>
  <c r="L13" i="49" s="1"/>
  <c r="L21" i="49"/>
  <c r="L5" i="51"/>
  <c r="L28" i="49"/>
  <c r="L16" i="49"/>
  <c r="L18" i="49" s="1"/>
  <c r="L8" i="49"/>
  <c r="K32" i="49"/>
  <c r="K14" i="51" s="1"/>
  <c r="K9" i="51"/>
  <c r="L31" i="49"/>
  <c r="L32" i="49" s="1"/>
  <c r="J16" i="51"/>
  <c r="J17" i="51"/>
  <c r="J15" i="51"/>
  <c r="J32" i="49"/>
  <c r="J14" i="51" s="1"/>
  <c r="J9" i="51"/>
  <c r="B9" i="51"/>
  <c r="B32" i="49"/>
  <c r="B14" i="51" s="1"/>
  <c r="D9" i="51"/>
  <c r="D32" i="49"/>
  <c r="D14" i="51" s="1"/>
  <c r="E9" i="51"/>
  <c r="E32" i="49"/>
  <c r="E14" i="51" s="1"/>
  <c r="C9" i="51"/>
  <c r="C32" i="49"/>
  <c r="C14" i="51" s="1"/>
  <c r="C27" i="59"/>
  <c r="C20" i="59"/>
  <c r="C50" i="60" s="1"/>
  <c r="C48" i="60"/>
  <c r="U20" i="59"/>
  <c r="U50" i="60" s="1"/>
  <c r="U27" i="59"/>
  <c r="U28" i="59" s="1"/>
  <c r="V20" i="59"/>
  <c r="V50" i="60" s="1"/>
  <c r="V27" i="59"/>
  <c r="V28" i="59" s="1"/>
  <c r="W20" i="59"/>
  <c r="W50" i="60" s="1"/>
  <c r="W27" i="59"/>
  <c r="W28" i="59" s="1"/>
  <c r="X20" i="59"/>
  <c r="X50" i="60" s="1"/>
  <c r="X27" i="59"/>
  <c r="X28" i="59" s="1"/>
  <c r="Y20" i="59"/>
  <c r="Y50" i="60" s="1"/>
  <c r="Y27" i="59"/>
  <c r="Y28" i="59" s="1"/>
  <c r="Z20" i="59"/>
  <c r="Z50" i="60" s="1"/>
  <c r="Z27" i="59"/>
  <c r="Z28" i="59" s="1"/>
  <c r="AA20" i="59"/>
  <c r="AA50" i="60" s="1"/>
  <c r="AA27" i="59"/>
  <c r="AA28" i="59" s="1"/>
  <c r="AB20" i="59"/>
  <c r="AB50" i="60" s="1"/>
  <c r="AB27" i="59"/>
  <c r="AB28" i="59" s="1"/>
  <c r="AC20" i="59"/>
  <c r="AC50" i="60" s="1"/>
  <c r="AC27" i="59"/>
  <c r="AC28" i="59" s="1"/>
  <c r="AD20" i="59"/>
  <c r="AD50" i="60" s="1"/>
  <c r="AD27" i="59"/>
  <c r="AD28" i="59" s="1"/>
  <c r="AE20" i="59"/>
  <c r="AE50" i="60" s="1"/>
  <c r="AE27" i="59"/>
  <c r="AE28" i="59" s="1"/>
  <c r="AF20" i="59"/>
  <c r="AF50" i="60" s="1"/>
  <c r="AF27" i="59"/>
  <c r="AF28" i="59" s="1"/>
  <c r="AG20" i="59"/>
  <c r="AG50" i="60" s="1"/>
  <c r="AG27" i="59"/>
  <c r="AG28" i="59" s="1"/>
  <c r="AH20" i="59"/>
  <c r="AH50" i="60" s="1"/>
  <c r="AH27" i="59"/>
  <c r="AH28" i="59" s="1"/>
  <c r="AI20" i="59"/>
  <c r="AI50" i="60" s="1"/>
  <c r="AI27" i="59"/>
  <c r="AI28" i="59" s="1"/>
  <c r="AJ20" i="59"/>
  <c r="AJ50" i="60" s="1"/>
  <c r="AJ27" i="59"/>
  <c r="AJ28" i="59" s="1"/>
  <c r="AK20" i="59"/>
  <c r="AK50" i="60" s="1"/>
  <c r="AK27" i="59"/>
  <c r="AK28" i="59" s="1"/>
  <c r="AL20" i="59"/>
  <c r="AL50" i="60" s="1"/>
  <c r="AL27" i="59"/>
  <c r="AL28" i="59" s="1"/>
  <c r="AM20" i="59"/>
  <c r="AM50" i="60" s="1"/>
  <c r="AM27" i="59"/>
  <c r="AM28" i="59" s="1"/>
  <c r="S49" i="60"/>
  <c r="S23" i="59"/>
  <c r="O49" i="60"/>
  <c r="O23" i="59"/>
  <c r="Q49" i="60"/>
  <c r="Q23" i="59"/>
  <c r="P49" i="60"/>
  <c r="P23" i="59"/>
  <c r="R49" i="60"/>
  <c r="R23" i="59"/>
  <c r="T23" i="59"/>
  <c r="T49" i="60"/>
  <c r="L49" i="60"/>
  <c r="L23" i="59"/>
  <c r="B28" i="59"/>
  <c r="B83" i="60"/>
  <c r="D28" i="59"/>
  <c r="D83" i="60"/>
  <c r="E28" i="59"/>
  <c r="E83" i="60"/>
  <c r="H28" i="59"/>
  <c r="H83" i="60"/>
  <c r="I28" i="59"/>
  <c r="I83" i="60"/>
  <c r="J28" i="59"/>
  <c r="J83" i="60"/>
  <c r="K28" i="59"/>
  <c r="K83" i="60"/>
  <c r="M28" i="59"/>
  <c r="M83" i="60"/>
  <c r="O83" i="60"/>
  <c r="O28" i="59"/>
  <c r="Q83" i="60"/>
  <c r="Q28" i="59"/>
  <c r="S83" i="60"/>
  <c r="S28" i="59"/>
  <c r="C25" i="50"/>
  <c r="C24" i="50"/>
  <c r="C8" i="52" s="1"/>
  <c r="C23" i="50"/>
  <c r="C7" i="52" s="1"/>
  <c r="D25" i="50"/>
  <c r="D24" i="50"/>
  <c r="D8" i="52" s="1"/>
  <c r="D23" i="50"/>
  <c r="D7" i="52" s="1"/>
  <c r="E25" i="50"/>
  <c r="E24" i="50"/>
  <c r="E8" i="52" s="1"/>
  <c r="E23" i="50"/>
  <c r="E7" i="52" s="1"/>
  <c r="F25" i="50"/>
  <c r="F24" i="50"/>
  <c r="F8" i="52" s="1"/>
  <c r="F23" i="50"/>
  <c r="F7" i="52" s="1"/>
  <c r="G25" i="50"/>
  <c r="G24" i="50"/>
  <c r="G8" i="52" s="1"/>
  <c r="G23" i="50"/>
  <c r="G7" i="52" s="1"/>
  <c r="H25" i="50"/>
  <c r="H24" i="50"/>
  <c r="H8" i="52" s="1"/>
  <c r="H23" i="50"/>
  <c r="H7" i="52" s="1"/>
  <c r="I25" i="50"/>
  <c r="I24" i="50"/>
  <c r="I8" i="52" s="1"/>
  <c r="I23" i="50"/>
  <c r="I7" i="52" s="1"/>
  <c r="J25" i="50"/>
  <c r="J24" i="50"/>
  <c r="J8" i="52" s="1"/>
  <c r="J23" i="50"/>
  <c r="J7" i="52" s="1"/>
  <c r="K25" i="50"/>
  <c r="K24" i="50"/>
  <c r="K8" i="52" s="1"/>
  <c r="K23" i="50"/>
  <c r="K7" i="52" s="1"/>
  <c r="L25" i="50"/>
  <c r="L24" i="50"/>
  <c r="L8" i="52" s="1"/>
  <c r="L23" i="50"/>
  <c r="L7" i="52" s="1"/>
  <c r="M25" i="50"/>
  <c r="M24" i="50"/>
  <c r="M8" i="52" s="1"/>
  <c r="M23" i="50"/>
  <c r="M7" i="52" s="1"/>
  <c r="N25" i="50"/>
  <c r="N24" i="50"/>
  <c r="N8" i="52" s="1"/>
  <c r="N23" i="50"/>
  <c r="N7" i="52" s="1"/>
  <c r="O25" i="50"/>
  <c r="O24" i="50"/>
  <c r="O8" i="52" s="1"/>
  <c r="O23" i="50"/>
  <c r="O7" i="52" s="1"/>
  <c r="Y25" i="50"/>
  <c r="Y24" i="50"/>
  <c r="Y8" i="52" s="1"/>
  <c r="Y23" i="50"/>
  <c r="Y7" i="52" s="1"/>
  <c r="P25" i="50"/>
  <c r="P24" i="50"/>
  <c r="P8" i="52" s="1"/>
  <c r="P23" i="50"/>
  <c r="P7" i="52" s="1"/>
  <c r="Q25" i="50"/>
  <c r="Q24" i="50"/>
  <c r="Q8" i="52" s="1"/>
  <c r="Q23" i="50"/>
  <c r="Q7" i="52" s="1"/>
  <c r="R25" i="50"/>
  <c r="R24" i="50"/>
  <c r="R8" i="52" s="1"/>
  <c r="R23" i="50"/>
  <c r="R7" i="52" s="1"/>
  <c r="S25" i="50"/>
  <c r="S24" i="50"/>
  <c r="S8" i="52" s="1"/>
  <c r="S23" i="50"/>
  <c r="S7" i="52" s="1"/>
  <c r="T25" i="50"/>
  <c r="T24" i="50"/>
  <c r="T8" i="52" s="1"/>
  <c r="T23" i="50"/>
  <c r="T7" i="52" s="1"/>
  <c r="U25" i="50"/>
  <c r="U24" i="50"/>
  <c r="U8" i="52" s="1"/>
  <c r="U23" i="50"/>
  <c r="U7" i="52" s="1"/>
  <c r="V25" i="50"/>
  <c r="V24" i="50"/>
  <c r="V8" i="52" s="1"/>
  <c r="V23" i="50"/>
  <c r="V7" i="52" s="1"/>
  <c r="W25" i="50"/>
  <c r="W24" i="50"/>
  <c r="W8" i="52" s="1"/>
  <c r="W23" i="50"/>
  <c r="W7" i="52" s="1"/>
  <c r="X25" i="50"/>
  <c r="X24" i="50"/>
  <c r="X8" i="52" s="1"/>
  <c r="X23" i="50"/>
  <c r="X7" i="52" s="1"/>
  <c r="Z25" i="50"/>
  <c r="Z24" i="50"/>
  <c r="Z8" i="52" s="1"/>
  <c r="Z23" i="50"/>
  <c r="Z7" i="52" s="1"/>
  <c r="AA25" i="50"/>
  <c r="AA23" i="50"/>
  <c r="AA7" i="52" s="1"/>
  <c r="AA24" i="50"/>
  <c r="AA8" i="52" s="1"/>
  <c r="AB23" i="50"/>
  <c r="AB7" i="52" s="1"/>
  <c r="AB24" i="50"/>
  <c r="AB8" i="52" s="1"/>
  <c r="AB25" i="50"/>
  <c r="AC24" i="50"/>
  <c r="AC8" i="52" s="1"/>
  <c r="AC23" i="50"/>
  <c r="AC7" i="52" s="1"/>
  <c r="AC25" i="50"/>
  <c r="AD23" i="50"/>
  <c r="AD7" i="52" s="1"/>
  <c r="AD24" i="50"/>
  <c r="AD8" i="52" s="1"/>
  <c r="AD25" i="50"/>
  <c r="AE23" i="50"/>
  <c r="AE7" i="52" s="1"/>
  <c r="AE25" i="50"/>
  <c r="AE24" i="50"/>
  <c r="AE8" i="52" s="1"/>
  <c r="AF23" i="50"/>
  <c r="AF7" i="52" s="1"/>
  <c r="AF24" i="50"/>
  <c r="AF8" i="52" s="1"/>
  <c r="AF25" i="50"/>
  <c r="AG23" i="50"/>
  <c r="AG7" i="52" s="1"/>
  <c r="AG24" i="50"/>
  <c r="AG8" i="52" s="1"/>
  <c r="AG25" i="50"/>
  <c r="AH23" i="50"/>
  <c r="AH7" i="52" s="1"/>
  <c r="AH24" i="50"/>
  <c r="AH8" i="52" s="1"/>
  <c r="AH25" i="50"/>
  <c r="AI23" i="50"/>
  <c r="AI7" i="52" s="1"/>
  <c r="AI24" i="50"/>
  <c r="AI8" i="52" s="1"/>
  <c r="AI25" i="50"/>
  <c r="AJ24" i="50"/>
  <c r="AJ8" i="52" s="1"/>
  <c r="AJ23" i="50"/>
  <c r="AJ7" i="52" s="1"/>
  <c r="AJ25" i="50"/>
  <c r="AK24" i="50"/>
  <c r="AK8" i="52" s="1"/>
  <c r="AK25" i="50"/>
  <c r="AK23" i="50"/>
  <c r="AK7" i="52" s="1"/>
  <c r="AL23" i="50"/>
  <c r="AL7" i="52" s="1"/>
  <c r="AL25" i="50"/>
  <c r="AL24" i="50"/>
  <c r="AL8" i="52" s="1"/>
  <c r="AM23" i="50"/>
  <c r="AM7" i="52" s="1"/>
  <c r="AM24" i="50"/>
  <c r="AM8" i="52" s="1"/>
  <c r="AM25" i="50"/>
  <c r="AN23" i="50"/>
  <c r="AN7" i="52" s="1"/>
  <c r="AN24" i="50"/>
  <c r="AN8" i="52" s="1"/>
  <c r="AN25" i="50"/>
  <c r="AO24" i="50"/>
  <c r="AO8" i="52" s="1"/>
  <c r="AO25" i="50"/>
  <c r="AO23" i="50"/>
  <c r="AO7" i="52" s="1"/>
  <c r="AP23" i="50"/>
  <c r="AP7" i="52" s="1"/>
  <c r="AP24" i="50"/>
  <c r="AP8" i="52" s="1"/>
  <c r="AP25" i="50"/>
  <c r="AQ23" i="50"/>
  <c r="AQ7" i="52" s="1"/>
  <c r="AQ25" i="50"/>
  <c r="AQ24" i="50"/>
  <c r="AQ8" i="52" s="1"/>
  <c r="AR23" i="50"/>
  <c r="AR7" i="52" s="1"/>
  <c r="AR24" i="50"/>
  <c r="AR8" i="52" s="1"/>
  <c r="AR25" i="50"/>
  <c r="AS25" i="50"/>
  <c r="AS23" i="50"/>
  <c r="AS7" i="52" s="1"/>
  <c r="AS24" i="50"/>
  <c r="AS8" i="52" s="1"/>
  <c r="AT25" i="50"/>
  <c r="AT23" i="50"/>
  <c r="AT7" i="52" s="1"/>
  <c r="AT24" i="50"/>
  <c r="AT8" i="52" s="1"/>
  <c r="AU23" i="50"/>
  <c r="AU7" i="52" s="1"/>
  <c r="AU24" i="50"/>
  <c r="AU8" i="52" s="1"/>
  <c r="AU25" i="50"/>
  <c r="AV23" i="50"/>
  <c r="AV7" i="52" s="1"/>
  <c r="AV24" i="50"/>
  <c r="AV8" i="52" s="1"/>
  <c r="AV25" i="50"/>
  <c r="AW23" i="50"/>
  <c r="AW7" i="52" s="1"/>
  <c r="AW25" i="50"/>
  <c r="AW24" i="50"/>
  <c r="AW8" i="52" s="1"/>
  <c r="AX24" i="50"/>
  <c r="AX8" i="52" s="1"/>
  <c r="AX23" i="50"/>
  <c r="AX7" i="52" s="1"/>
  <c r="AX25" i="50"/>
  <c r="AY23" i="50"/>
  <c r="AY7" i="52" s="1"/>
  <c r="AY24" i="50"/>
  <c r="AY8" i="52" s="1"/>
  <c r="AY25" i="50"/>
  <c r="AZ23" i="50"/>
  <c r="AZ24" i="50"/>
  <c r="AZ25" i="50"/>
  <c r="BA23" i="50"/>
  <c r="BA24" i="50"/>
  <c r="BA25" i="50"/>
  <c r="BB24" i="50"/>
  <c r="BB23" i="50"/>
  <c r="BB25" i="50"/>
  <c r="BC23" i="50"/>
  <c r="BC24" i="50"/>
  <c r="BC25" i="50"/>
  <c r="BD24" i="50"/>
  <c r="BD25" i="50"/>
  <c r="BD23" i="50"/>
  <c r="BE23" i="50"/>
  <c r="BE24" i="50"/>
  <c r="BE25" i="50"/>
  <c r="BF23" i="50"/>
  <c r="BF24" i="50"/>
  <c r="BF25" i="50"/>
  <c r="BG24" i="50"/>
  <c r="BG25" i="50"/>
  <c r="BG23" i="50"/>
  <c r="BH23" i="50"/>
  <c r="BH24" i="50"/>
  <c r="BH25" i="50"/>
  <c r="BI23" i="50"/>
  <c r="BI24" i="50"/>
  <c r="BI25" i="50"/>
  <c r="I14" i="51"/>
  <c r="I9" i="51"/>
  <c r="I15" i="51"/>
  <c r="I16" i="51"/>
  <c r="I17" i="51"/>
  <c r="H14" i="51"/>
  <c r="H9" i="51"/>
  <c r="V10" i="48"/>
  <c r="B54" i="47"/>
  <c r="B13" i="48"/>
  <c r="B114" i="53"/>
  <c r="B112" i="53"/>
  <c r="B148" i="53"/>
  <c r="B146" i="53"/>
  <c r="B131" i="53"/>
  <c r="B129" i="53"/>
  <c r="B165" i="53"/>
  <c r="B163" i="53"/>
  <c r="V12" i="55"/>
  <c r="B70" i="47"/>
  <c r="Q70" i="47"/>
  <c r="P70" i="47"/>
  <c r="O70" i="47"/>
  <c r="N70" i="47"/>
  <c r="M70" i="47"/>
  <c r="L70" i="47"/>
  <c r="K70" i="47"/>
  <c r="J70" i="47"/>
  <c r="I70" i="47"/>
  <c r="H70" i="47"/>
  <c r="G70" i="47"/>
  <c r="E70" i="47"/>
  <c r="D70" i="47"/>
  <c r="C70" i="47"/>
  <c r="F71" i="47"/>
  <c r="E71" i="47"/>
  <c r="V134" i="55"/>
  <c r="V16" i="55"/>
  <c r="V124" i="55"/>
  <c r="V11" i="55"/>
  <c r="V126" i="55"/>
  <c r="V125" i="55"/>
  <c r="Q26" i="47"/>
  <c r="Q21" i="47"/>
  <c r="S70" i="47"/>
  <c r="R26" i="47"/>
  <c r="V132" i="55"/>
  <c r="V21" i="55"/>
  <c r="V17" i="55"/>
  <c r="V130" i="55"/>
  <c r="V10" i="55"/>
  <c r="R114" i="53"/>
  <c r="R112" i="53"/>
  <c r="S6" i="55"/>
  <c r="S93" i="53"/>
  <c r="S102" i="53" s="1"/>
  <c r="S25" i="55" s="1"/>
  <c r="S119" i="55"/>
  <c r="S50" i="53"/>
  <c r="S59" i="53" s="1"/>
  <c r="S137" i="55" s="1"/>
  <c r="S43" i="53"/>
  <c r="S55" i="53"/>
  <c r="S58" i="53" s="1"/>
  <c r="S121" i="55"/>
  <c r="S52" i="53"/>
  <c r="S61" i="53" s="1"/>
  <c r="S141" i="55" s="1"/>
  <c r="S85" i="53"/>
  <c r="S97" i="53"/>
  <c r="S100" i="53" s="1"/>
  <c r="S135" i="53"/>
  <c r="S130" i="53"/>
  <c r="S42" i="53"/>
  <c r="S54" i="53"/>
  <c r="S57" i="53" s="1"/>
  <c r="S96" i="53"/>
  <c r="S99" i="53" s="1"/>
  <c r="S84" i="53"/>
  <c r="S7" i="55"/>
  <c r="S94" i="53"/>
  <c r="S103" i="53" s="1"/>
  <c r="S27" i="55" s="1"/>
  <c r="S118" i="53"/>
  <c r="S113" i="53"/>
  <c r="S164" i="53"/>
  <c r="S169" i="53"/>
  <c r="S120" i="55"/>
  <c r="S51" i="53"/>
  <c r="S60" i="53" s="1"/>
  <c r="S139" i="55" s="1"/>
  <c r="S11" i="53"/>
  <c r="S14" i="53"/>
  <c r="S19" i="53"/>
  <c r="S20" i="53" s="1"/>
  <c r="S34" i="53"/>
  <c r="S53" i="53"/>
  <c r="S56" i="53" s="1"/>
  <c r="S41" i="53"/>
  <c r="S83" i="53"/>
  <c r="S95" i="53"/>
  <c r="S98" i="53" s="1"/>
  <c r="S5" i="55"/>
  <c r="S92" i="53"/>
  <c r="S101" i="53" s="1"/>
  <c r="S23" i="55" s="1"/>
  <c r="D71" i="47"/>
  <c r="D27" i="48" s="1"/>
  <c r="I71" i="47"/>
  <c r="I27" i="48" s="1"/>
  <c r="H71" i="47"/>
  <c r="H27" i="48" s="1"/>
  <c r="N71" i="47"/>
  <c r="N27" i="48" s="1"/>
  <c r="O71" i="47"/>
  <c r="O27" i="48" s="1"/>
  <c r="P71" i="47"/>
  <c r="P27" i="48" s="1"/>
  <c r="Q71" i="47"/>
  <c r="Q27" i="48" s="1"/>
  <c r="C71" i="47"/>
  <c r="C27" i="48" s="1"/>
  <c r="G71" i="47"/>
  <c r="G27" i="48" s="1"/>
  <c r="B71" i="47"/>
  <c r="B27" i="48" s="1"/>
  <c r="K71" i="47"/>
  <c r="K27" i="48" s="1"/>
  <c r="L71" i="47"/>
  <c r="L27" i="48" s="1"/>
  <c r="M71" i="47"/>
  <c r="M27" i="48" s="1"/>
  <c r="J71" i="47"/>
  <c r="J27" i="48" s="1"/>
  <c r="B142" i="55"/>
  <c r="C142" i="55"/>
  <c r="C140" i="55"/>
  <c r="B140" i="55"/>
  <c r="B141" i="55"/>
  <c r="C141" i="55"/>
  <c r="B139" i="55"/>
  <c r="C139" i="55"/>
  <c r="B27" i="55"/>
  <c r="B26" i="55"/>
  <c r="F28" i="55"/>
  <c r="E28" i="55"/>
  <c r="D28" i="55"/>
  <c r="C28" i="55"/>
  <c r="B28" i="55"/>
  <c r="E26" i="55"/>
  <c r="C26" i="55"/>
  <c r="F26" i="55"/>
  <c r="D26" i="55"/>
  <c r="C27" i="55"/>
  <c r="D27" i="55"/>
  <c r="E27" i="55"/>
  <c r="F27" i="55"/>
  <c r="G27" i="55"/>
  <c r="H27" i="55"/>
  <c r="I27" i="55"/>
  <c r="J27" i="55"/>
  <c r="K27" i="55"/>
  <c r="L27" i="55"/>
  <c r="M27" i="55"/>
  <c r="N27" i="55"/>
  <c r="O27" i="55"/>
  <c r="P27" i="55"/>
  <c r="Q27" i="55"/>
  <c r="B25" i="55"/>
  <c r="C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5" i="55"/>
  <c r="R70" i="47"/>
  <c r="R71" i="47"/>
  <c r="R27" i="48" s="1"/>
  <c r="C26" i="47"/>
  <c r="F26" i="47"/>
  <c r="E26" i="47"/>
  <c r="D26" i="47"/>
  <c r="F21" i="47"/>
  <c r="F8" i="48"/>
  <c r="F29" i="48" s="1"/>
  <c r="R148" i="53"/>
  <c r="R146" i="53"/>
  <c r="S68" i="47"/>
  <c r="S71" i="47" s="1"/>
  <c r="S27" i="48" s="1"/>
  <c r="S7" i="48"/>
  <c r="AC10" i="48"/>
  <c r="V12" i="48"/>
  <c r="AC9" i="48"/>
  <c r="V11" i="48"/>
  <c r="AC6" i="48"/>
  <c r="AC7" i="48"/>
  <c r="AS7" i="48" s="1"/>
  <c r="S77" i="53"/>
  <c r="S81" i="53"/>
  <c r="S90" i="53"/>
  <c r="S132" i="53"/>
  <c r="S128" i="53"/>
  <c r="S129" i="53"/>
  <c r="S131" i="53"/>
  <c r="S133" i="53"/>
  <c r="S35" i="53"/>
  <c r="S40" i="53"/>
  <c r="S46" i="53"/>
  <c r="S47" i="53"/>
  <c r="S45" i="53"/>
  <c r="S39" i="53"/>
  <c r="S49" i="53"/>
  <c r="S12" i="53"/>
  <c r="S13" i="53"/>
  <c r="S16" i="53"/>
  <c r="S15" i="53"/>
  <c r="S17" i="53"/>
  <c r="T10" i="53" a="1"/>
  <c r="T10" i="53" s="1"/>
  <c r="T33" i="53" a="1"/>
  <c r="T33" i="53" s="1"/>
  <c r="T28" i="53" a="1"/>
  <c r="T28" i="53" s="1"/>
  <c r="T69" i="53" a="1"/>
  <c r="T69" i="53" s="1"/>
  <c r="T107" i="53" a="1"/>
  <c r="T107" i="53" s="1"/>
  <c r="T125" i="53" a="1"/>
  <c r="T125" i="53" s="1"/>
  <c r="T7" i="53" a="1"/>
  <c r="T7" i="53" s="1"/>
  <c r="T30" i="53" a="1"/>
  <c r="T30" i="53" s="1"/>
  <c r="T72" i="53" a="1"/>
  <c r="T72" i="53" s="1"/>
  <c r="T126" i="53" a="1"/>
  <c r="T126" i="53" s="1"/>
  <c r="T157" i="53" a="1"/>
  <c r="T157" i="53" s="1"/>
  <c r="T26" i="53" a="1"/>
  <c r="T26" i="53" s="1"/>
  <c r="T121" i="55" s="1"/>
  <c r="T25" i="53" a="1"/>
  <c r="T25" i="53" s="1"/>
  <c r="T120" i="55" s="1"/>
  <c r="T68" i="53" a="1"/>
  <c r="T68" i="53" s="1"/>
  <c r="T66" i="53" a="1"/>
  <c r="T66" i="53" s="1"/>
  <c r="T7" i="55" s="1"/>
  <c r="T142" i="53" a="1"/>
  <c r="T142" i="53" s="1"/>
  <c r="T9" i="53" a="1"/>
  <c r="T9" i="53" s="1"/>
  <c r="T32" i="53" a="1"/>
  <c r="T32" i="53" s="1"/>
  <c r="T27" i="53" a="1"/>
  <c r="T27" i="53" s="1"/>
  <c r="T64" i="53" a="1"/>
  <c r="T64" i="53" s="1"/>
  <c r="T5" i="55" s="1"/>
  <c r="T124" i="53" a="1"/>
  <c r="T124" i="53" s="1"/>
  <c r="T141" i="53" a="1"/>
  <c r="T141" i="53" s="1"/>
  <c r="T159" i="53" a="1"/>
  <c r="T159" i="53" s="1"/>
  <c r="T8" i="53" a="1"/>
  <c r="T8" i="53" s="1"/>
  <c r="T24" i="53" a="1"/>
  <c r="T24" i="53" s="1"/>
  <c r="T119" i="55" s="1"/>
  <c r="T108" i="53" a="1"/>
  <c r="T108" i="53" s="1"/>
  <c r="T158" i="53" a="1"/>
  <c r="T158" i="53" s="1"/>
  <c r="T31" i="53" a="1"/>
  <c r="T31" i="53" s="1"/>
  <c r="T65" i="53" a="1"/>
  <c r="T65" i="53" s="1"/>
  <c r="T6" i="55" s="1"/>
  <c r="T106" i="53" a="1"/>
  <c r="T106" i="53" s="1"/>
  <c r="T140" i="53" a="1"/>
  <c r="T140" i="53" s="1"/>
  <c r="T29" i="53" a="1"/>
  <c r="T29" i="53" s="1"/>
  <c r="T71" i="53" a="1"/>
  <c r="T71" i="53" s="1"/>
  <c r="T123" i="53" a="1"/>
  <c r="T123" i="53" s="1"/>
  <c r="U311" i="53"/>
  <c r="T73" i="53" a="1"/>
  <c r="T73" i="53" s="1"/>
  <c r="T70" i="53" a="1"/>
  <c r="T70" i="53" s="1"/>
  <c r="T67" i="53" a="1"/>
  <c r="T67" i="53" s="1"/>
  <c r="T109" i="53" a="1"/>
  <c r="T109" i="53" s="1"/>
  <c r="T143" i="53" a="1"/>
  <c r="T143" i="53" s="1"/>
  <c r="T160" i="53" a="1"/>
  <c r="T160" i="53" s="1"/>
  <c r="S79" i="53"/>
  <c r="S82" i="53"/>
  <c r="S91" i="53"/>
  <c r="S145" i="53"/>
  <c r="S146" i="53"/>
  <c r="S149" i="53"/>
  <c r="S150" i="53"/>
  <c r="S148" i="53"/>
  <c r="S37" i="53"/>
  <c r="S48" i="53"/>
  <c r="S75" i="53"/>
  <c r="S80" i="53"/>
  <c r="S87" i="53"/>
  <c r="S88" i="53"/>
  <c r="S89" i="53"/>
  <c r="S162" i="53"/>
  <c r="S163" i="53"/>
  <c r="S165" i="53"/>
  <c r="S166" i="53"/>
  <c r="S167" i="53"/>
  <c r="S114" i="53"/>
  <c r="S115" i="53"/>
  <c r="S116" i="53"/>
  <c r="S111" i="53"/>
  <c r="S112" i="53"/>
  <c r="S38" i="53"/>
  <c r="S78" i="53"/>
  <c r="S161" i="53"/>
  <c r="S36" i="53"/>
  <c r="S110" i="53"/>
  <c r="S74" i="53"/>
  <c r="S127" i="53"/>
  <c r="S76" i="53"/>
  <c r="S117" i="53"/>
  <c r="S144" i="53"/>
  <c r="S147" i="53"/>
  <c r="S152" i="53"/>
  <c r="F114" i="53"/>
  <c r="F8" i="55"/>
  <c r="F29" i="55" s="1"/>
  <c r="F15" i="53"/>
  <c r="F9" i="55"/>
  <c r="F30" i="55" s="1"/>
  <c r="F123" i="55"/>
  <c r="F144" i="55" s="1"/>
  <c r="F132" i="53"/>
  <c r="F166" i="53"/>
  <c r="F149" i="53"/>
  <c r="F148" i="53"/>
  <c r="F131" i="53"/>
  <c r="F165" i="53"/>
  <c r="R38" i="47"/>
  <c r="R39" i="47"/>
  <c r="R40" i="47"/>
  <c r="R45" i="47"/>
  <c r="R47" i="47"/>
  <c r="R46" i="47"/>
  <c r="S16" i="47"/>
  <c r="S43" i="47"/>
  <c r="S66" i="47"/>
  <c r="S36" i="47"/>
  <c r="S58" i="47"/>
  <c r="S12" i="47"/>
  <c r="R31" i="47"/>
  <c r="R32" i="47"/>
  <c r="R33" i="47"/>
  <c r="S60" i="47"/>
  <c r="S63" i="47" s="1"/>
  <c r="S25" i="48" s="1"/>
  <c r="S52" i="47"/>
  <c r="S55" i="47" s="1"/>
  <c r="S23" i="48" s="1"/>
  <c r="S19" i="47"/>
  <c r="S21" i="47" s="1"/>
  <c r="S8" i="47"/>
  <c r="S24" i="47"/>
  <c r="S26" i="47" s="1"/>
  <c r="S29" i="47"/>
  <c r="S50" i="47"/>
  <c r="T15" i="47" a="1"/>
  <c r="T15" i="47" s="1"/>
  <c r="T7" i="48" s="1"/>
  <c r="T20" i="47" a="1"/>
  <c r="T20" i="47" s="1"/>
  <c r="T11" i="47" a="1"/>
  <c r="T11" i="47" s="1"/>
  <c r="T6" i="48" s="1"/>
  <c r="T30" i="47" a="1"/>
  <c r="T30" i="47" s="1"/>
  <c r="T37" i="47" a="1"/>
  <c r="T37" i="47" s="1"/>
  <c r="T25" i="47" a="1"/>
  <c r="T25" i="47" s="1"/>
  <c r="T44" i="47" a="1"/>
  <c r="T44" i="47" s="1"/>
  <c r="F15" i="48"/>
  <c r="F70" i="47"/>
  <c r="F28" i="48" s="1"/>
  <c r="F14" i="48"/>
  <c r="F62" i="47"/>
  <c r="F26" i="48" s="1"/>
  <c r="F13" i="48"/>
  <c r="F54" i="47"/>
  <c r="F24" i="48" s="1"/>
  <c r="T7" i="47" a="1"/>
  <c r="T7" i="47" s="1"/>
  <c r="T5" i="48" s="1"/>
  <c r="U80" i="47"/>
  <c r="AF8" i="48"/>
  <c r="AS10" i="48"/>
  <c r="F145" i="55"/>
  <c r="F31" i="55"/>
  <c r="P114" i="53"/>
  <c r="P112" i="53"/>
  <c r="F45" i="53"/>
  <c r="F122" i="55"/>
  <c r="F143" i="55" s="1"/>
  <c r="N165" i="53"/>
  <c r="N163" i="53"/>
  <c r="O165" i="53"/>
  <c r="O163" i="53"/>
  <c r="P165" i="53"/>
  <c r="P163" i="53"/>
  <c r="F30" i="48"/>
  <c r="F31" i="48"/>
  <c r="Q114" i="53"/>
  <c r="Q112" i="53"/>
  <c r="Q45" i="53"/>
  <c r="Q40" i="53"/>
  <c r="Q165" i="53"/>
  <c r="Q163" i="53"/>
  <c r="Q15" i="53"/>
  <c r="Q13" i="53"/>
  <c r="Q148" i="53"/>
  <c r="Q146" i="53"/>
  <c r="Q131" i="53"/>
  <c r="Q129" i="53"/>
  <c r="B14" i="48"/>
  <c r="B24" i="48"/>
  <c r="F27" i="48"/>
  <c r="E27" i="48"/>
  <c r="B25" i="48"/>
  <c r="B26" i="48"/>
  <c r="C25" i="48"/>
  <c r="D25" i="48"/>
  <c r="E25" i="48"/>
  <c r="F25" i="48"/>
  <c r="G25" i="48"/>
  <c r="H25" i="48"/>
  <c r="I25" i="48"/>
  <c r="J25" i="48"/>
  <c r="K25" i="48"/>
  <c r="L25" i="48"/>
  <c r="M25" i="48"/>
  <c r="N25" i="48"/>
  <c r="O25" i="48"/>
  <c r="P25" i="48"/>
  <c r="Q25" i="48"/>
  <c r="B23" i="48"/>
  <c r="D23" i="48"/>
  <c r="B18" i="48"/>
  <c r="C8" i="48"/>
  <c r="C29" i="48" s="1"/>
  <c r="D8" i="48"/>
  <c r="D29" i="48" s="1"/>
  <c r="E8" i="48"/>
  <c r="E29" i="48" s="1"/>
  <c r="C9" i="48"/>
  <c r="C30" i="48" s="1"/>
  <c r="D9" i="48"/>
  <c r="D30" i="48" s="1"/>
  <c r="E9" i="48"/>
  <c r="E30" i="48" s="1"/>
  <c r="B9" i="48"/>
  <c r="V9" i="48" s="1"/>
  <c r="E23" i="48"/>
  <c r="L23" i="48"/>
  <c r="J23" i="48"/>
  <c r="F23" i="48"/>
  <c r="I23" i="48"/>
  <c r="K23" i="48"/>
  <c r="G23" i="48"/>
  <c r="C23" i="48"/>
  <c r="H23" i="48"/>
  <c r="M23" i="48"/>
  <c r="N23" i="48"/>
  <c r="P23" i="48"/>
  <c r="O23" i="48"/>
  <c r="Q23" i="48"/>
  <c r="F14" i="51"/>
  <c r="F9" i="51"/>
  <c r="G14" i="51"/>
  <c r="G9" i="51"/>
  <c r="AO5" i="48"/>
  <c r="AD5" i="48"/>
  <c r="AK5" i="48"/>
  <c r="AR5" i="48"/>
  <c r="AH5" i="48"/>
  <c r="AP5" i="48"/>
  <c r="AI5" i="48"/>
  <c r="AQ5" i="48"/>
  <c r="AJ5" i="48"/>
  <c r="AF5" i="48"/>
  <c r="AL5" i="48"/>
  <c r="AN5" i="48"/>
  <c r="AE5" i="48"/>
  <c r="AM5" i="48"/>
  <c r="AG5" i="48"/>
  <c r="P10" i="54"/>
  <c r="P18" i="54" s="1"/>
  <c r="M18" i="54"/>
  <c r="V18" i="54"/>
  <c r="Y9" i="54"/>
  <c r="Y18" i="54" s="1"/>
  <c r="L18" i="54"/>
  <c r="O10" i="54"/>
  <c r="O18" i="54" s="1"/>
  <c r="X9" i="54"/>
  <c r="X18" i="54" s="1"/>
  <c r="U18" i="54"/>
  <c r="B15" i="48"/>
  <c r="E15" i="48"/>
  <c r="D15" i="48"/>
  <c r="C15" i="48"/>
  <c r="D14" i="48"/>
  <c r="E14" i="48"/>
  <c r="C14" i="48"/>
  <c r="C13" i="48"/>
  <c r="D13" i="48"/>
  <c r="E13" i="48"/>
  <c r="B145" i="55"/>
  <c r="Z5" i="48"/>
  <c r="B50" i="47"/>
  <c r="H46" i="53"/>
  <c r="M46" i="53"/>
  <c r="K46" i="53"/>
  <c r="N46" i="53"/>
  <c r="Q46" i="53"/>
  <c r="I46" i="53"/>
  <c r="F46" i="53"/>
  <c r="J46" i="53"/>
  <c r="L46" i="53"/>
  <c r="P46" i="53"/>
  <c r="O46" i="53"/>
  <c r="G46" i="53"/>
  <c r="B80" i="53"/>
  <c r="B22" i="55" s="1"/>
  <c r="C9" i="55"/>
  <c r="C30" i="55" s="1"/>
  <c r="D9" i="55"/>
  <c r="D30" i="55" s="1"/>
  <c r="C31" i="55"/>
  <c r="E145" i="55"/>
  <c r="E143" i="55"/>
  <c r="E144" i="55"/>
  <c r="E31" i="55"/>
  <c r="E29" i="55"/>
  <c r="F46" i="47"/>
  <c r="F21" i="48" s="1"/>
  <c r="F45" i="47"/>
  <c r="F20" i="48" s="1"/>
  <c r="F47" i="47"/>
  <c r="K46" i="47"/>
  <c r="K47" i="47"/>
  <c r="K45" i="47"/>
  <c r="B46" i="47"/>
  <c r="B47" i="47"/>
  <c r="B45" i="47"/>
  <c r="N46" i="47"/>
  <c r="N47" i="47"/>
  <c r="N45" i="47"/>
  <c r="D46" i="47"/>
  <c r="D47" i="47"/>
  <c r="D45" i="47"/>
  <c r="L46" i="47"/>
  <c r="L45" i="47"/>
  <c r="L47" i="47"/>
  <c r="Q46" i="47"/>
  <c r="Q47" i="47"/>
  <c r="Q45" i="47"/>
  <c r="G46" i="47"/>
  <c r="G45" i="47"/>
  <c r="G47" i="47"/>
  <c r="E46" i="47"/>
  <c r="E47" i="47"/>
  <c r="E45" i="47"/>
  <c r="J46" i="47"/>
  <c r="J47" i="47"/>
  <c r="J45" i="47"/>
  <c r="P46" i="47"/>
  <c r="P47" i="47"/>
  <c r="P45" i="47"/>
  <c r="C46" i="47"/>
  <c r="C45" i="47"/>
  <c r="C47" i="47"/>
  <c r="H46" i="47"/>
  <c r="H45" i="47"/>
  <c r="H47" i="47"/>
  <c r="I46" i="47"/>
  <c r="I45" i="47"/>
  <c r="I47" i="47"/>
  <c r="M46" i="47"/>
  <c r="M47" i="47"/>
  <c r="M45" i="47"/>
  <c r="O46" i="47"/>
  <c r="O47" i="47"/>
  <c r="O45" i="47"/>
  <c r="Z6" i="48"/>
  <c r="N38" i="47"/>
  <c r="N40" i="47"/>
  <c r="N39" i="47"/>
  <c r="F38" i="47"/>
  <c r="F18" i="48" s="1"/>
  <c r="F40" i="47"/>
  <c r="F39" i="47"/>
  <c r="F19" i="48" s="1"/>
  <c r="L38" i="47"/>
  <c r="L40" i="47"/>
  <c r="L39" i="47"/>
  <c r="B39" i="47"/>
  <c r="B40" i="47"/>
  <c r="C38" i="47"/>
  <c r="C39" i="47"/>
  <c r="C40" i="47"/>
  <c r="J38" i="47"/>
  <c r="J39" i="47"/>
  <c r="J40" i="47"/>
  <c r="Q38" i="47"/>
  <c r="Q40" i="47"/>
  <c r="Q39" i="47"/>
  <c r="G38" i="47"/>
  <c r="G39" i="47"/>
  <c r="G40" i="47"/>
  <c r="O38" i="47"/>
  <c r="O39" i="47"/>
  <c r="O40" i="47"/>
  <c r="H38" i="47"/>
  <c r="H40" i="47"/>
  <c r="H39" i="47"/>
  <c r="P38" i="47"/>
  <c r="P39" i="47"/>
  <c r="P40" i="47"/>
  <c r="I38" i="47"/>
  <c r="I39" i="47"/>
  <c r="I40" i="47"/>
  <c r="E38" i="47"/>
  <c r="E40" i="47"/>
  <c r="E39" i="47"/>
  <c r="K38" i="47"/>
  <c r="K39" i="47"/>
  <c r="K40" i="47"/>
  <c r="M38" i="47"/>
  <c r="M39" i="47"/>
  <c r="M40" i="47"/>
  <c r="D38" i="47"/>
  <c r="D39" i="47"/>
  <c r="D40" i="47"/>
  <c r="L33" i="47"/>
  <c r="L32" i="47"/>
  <c r="L31" i="47"/>
  <c r="F32" i="47"/>
  <c r="F17" i="48" s="1"/>
  <c r="F31" i="47"/>
  <c r="F16" i="48" s="1"/>
  <c r="Q33" i="47"/>
  <c r="Q32" i="47"/>
  <c r="Q31" i="47"/>
  <c r="K32" i="47"/>
  <c r="K31" i="47"/>
  <c r="J32" i="47"/>
  <c r="J31" i="47"/>
  <c r="I32" i="47"/>
  <c r="I31" i="47"/>
  <c r="H32" i="47"/>
  <c r="H31" i="47"/>
  <c r="G32" i="47"/>
  <c r="G31" i="47"/>
  <c r="E32" i="47"/>
  <c r="E31" i="47"/>
  <c r="D32" i="47"/>
  <c r="D31" i="47"/>
  <c r="C31" i="47"/>
  <c r="C32" i="47"/>
  <c r="B32" i="47"/>
  <c r="B31" i="47"/>
  <c r="P33" i="47"/>
  <c r="P32" i="47"/>
  <c r="P31" i="47"/>
  <c r="O33" i="47"/>
  <c r="O32" i="47"/>
  <c r="O31" i="47"/>
  <c r="N33" i="47"/>
  <c r="N32" i="47"/>
  <c r="N31" i="47"/>
  <c r="M33" i="47"/>
  <c r="M32" i="47"/>
  <c r="M31" i="47"/>
  <c r="H25" i="49"/>
  <c r="H24" i="49"/>
  <c r="H11" i="51" s="1"/>
  <c r="H23" i="49"/>
  <c r="H10" i="51" s="1"/>
  <c r="J25" i="49"/>
  <c r="J24" i="49"/>
  <c r="J11" i="51" s="1"/>
  <c r="J23" i="49"/>
  <c r="J10" i="51" s="1"/>
  <c r="I25" i="49"/>
  <c r="I24" i="49"/>
  <c r="I11" i="51" s="1"/>
  <c r="I23" i="49"/>
  <c r="I10" i="51" s="1"/>
  <c r="B24" i="49"/>
  <c r="B11" i="51" s="1"/>
  <c r="B23" i="49"/>
  <c r="B10" i="51" s="1"/>
  <c r="D25" i="49"/>
  <c r="D24" i="49"/>
  <c r="D11" i="51" s="1"/>
  <c r="D23" i="49"/>
  <c r="D10" i="51" s="1"/>
  <c r="E25" i="49"/>
  <c r="E24" i="49"/>
  <c r="E11" i="51" s="1"/>
  <c r="E23" i="49"/>
  <c r="E10" i="51" s="1"/>
  <c r="F25" i="49"/>
  <c r="F23" i="49"/>
  <c r="F10" i="51" s="1"/>
  <c r="F24" i="49"/>
  <c r="F11" i="51" s="1"/>
  <c r="G25" i="49"/>
  <c r="G24" i="49"/>
  <c r="G11" i="51" s="1"/>
  <c r="G23" i="49"/>
  <c r="G10" i="51" s="1"/>
  <c r="C25" i="49"/>
  <c r="C24" i="49"/>
  <c r="C11" i="51" s="1"/>
  <c r="C23" i="49"/>
  <c r="C10" i="51" s="1"/>
  <c r="CU25" i="50"/>
  <c r="CU24" i="50"/>
  <c r="B17" i="51"/>
  <c r="B16" i="51"/>
  <c r="D145" i="55"/>
  <c r="C145" i="55"/>
  <c r="E45" i="53"/>
  <c r="E122" i="55"/>
  <c r="G16" i="53"/>
  <c r="L16" i="53"/>
  <c r="C16" i="53"/>
  <c r="F16" i="53"/>
  <c r="I16" i="53"/>
  <c r="M16" i="53"/>
  <c r="B16" i="53"/>
  <c r="D16" i="53"/>
  <c r="H16" i="53"/>
  <c r="K16" i="53"/>
  <c r="N16" i="53"/>
  <c r="E88" i="53"/>
  <c r="E9" i="55"/>
  <c r="E30" i="55" s="1"/>
  <c r="E46" i="53"/>
  <c r="E123" i="55"/>
  <c r="E16" i="53"/>
  <c r="J16" i="53"/>
  <c r="O16" i="53"/>
  <c r="P16" i="53"/>
  <c r="Q16" i="53"/>
  <c r="F33" i="47"/>
  <c r="K33" i="47"/>
  <c r="J33" i="47"/>
  <c r="I33" i="47"/>
  <c r="H33" i="47"/>
  <c r="G33" i="47"/>
  <c r="E31" i="48"/>
  <c r="E33" i="47"/>
  <c r="D33" i="47"/>
  <c r="C33" i="47"/>
  <c r="B25" i="50"/>
  <c r="B24" i="50"/>
  <c r="B8" i="52" s="1"/>
  <c r="B23" i="50"/>
  <c r="B7" i="52" s="1"/>
  <c r="G16" i="51"/>
  <c r="G17" i="51"/>
  <c r="G15" i="51"/>
  <c r="F15" i="51"/>
  <c r="F16" i="51"/>
  <c r="F17" i="51"/>
  <c r="CU13" i="50"/>
  <c r="CU28" i="50"/>
  <c r="D31" i="55"/>
  <c r="D29" i="55"/>
  <c r="D45" i="53"/>
  <c r="D122" i="55"/>
  <c r="D143" i="55" s="1"/>
  <c r="D46" i="53"/>
  <c r="D123" i="55"/>
  <c r="D144" i="55" s="1"/>
  <c r="D31" i="48"/>
  <c r="B31" i="55"/>
  <c r="B15" i="51"/>
  <c r="B21" i="47"/>
  <c r="B45" i="53"/>
  <c r="B122" i="55"/>
  <c r="C45" i="53"/>
  <c r="C122" i="55"/>
  <c r="C143" i="55" s="1"/>
  <c r="B46" i="53"/>
  <c r="B123" i="55"/>
  <c r="C46" i="53"/>
  <c r="C123" i="55"/>
  <c r="C144" i="55" s="1"/>
  <c r="B15" i="53"/>
  <c r="F112" i="53"/>
  <c r="F115" i="53"/>
  <c r="H112" i="53"/>
  <c r="H115" i="53"/>
  <c r="J112" i="53"/>
  <c r="J115" i="53"/>
  <c r="K112" i="53"/>
  <c r="K115" i="53"/>
  <c r="C88" i="53"/>
  <c r="H88" i="53"/>
  <c r="M88" i="53"/>
  <c r="F88" i="53"/>
  <c r="I88" i="53"/>
  <c r="L88" i="53"/>
  <c r="N88" i="53"/>
  <c r="Q88" i="53"/>
  <c r="B9" i="55"/>
  <c r="B88" i="53"/>
  <c r="J88" i="53"/>
  <c r="P88" i="53"/>
  <c r="D88" i="53"/>
  <c r="K88" i="53"/>
  <c r="O88" i="53"/>
  <c r="I112" i="53"/>
  <c r="E112" i="53"/>
  <c r="N87" i="53"/>
  <c r="K87" i="53"/>
  <c r="I87" i="53"/>
  <c r="C29" i="55"/>
  <c r="C87" i="53"/>
  <c r="H87" i="53"/>
  <c r="M87" i="53"/>
  <c r="Q87" i="53"/>
  <c r="E87" i="53"/>
  <c r="B8" i="55"/>
  <c r="B87" i="53"/>
  <c r="D87" i="53"/>
  <c r="F87" i="53"/>
  <c r="J87" i="53"/>
  <c r="G87" i="53"/>
  <c r="L87" i="53"/>
  <c r="P87" i="53"/>
  <c r="O87" i="53"/>
  <c r="F40" i="53"/>
  <c r="F136" i="55" s="1"/>
  <c r="E80" i="53"/>
  <c r="E22" i="55" s="1"/>
  <c r="G80" i="53"/>
  <c r="B40" i="53"/>
  <c r="B136" i="55" s="1"/>
  <c r="J80" i="53"/>
  <c r="J13" i="53"/>
  <c r="I129" i="53"/>
  <c r="M80" i="53"/>
  <c r="I40" i="53"/>
  <c r="G13" i="53"/>
  <c r="F13" i="53"/>
  <c r="H13" i="53"/>
  <c r="L163" i="53"/>
  <c r="G112" i="53"/>
  <c r="I146" i="53"/>
  <c r="G10" i="54"/>
  <c r="G18" i="54" s="1"/>
  <c r="D18" i="54"/>
  <c r="F10" i="54"/>
  <c r="F18" i="54" s="1"/>
  <c r="C18" i="54"/>
  <c r="M163" i="53"/>
  <c r="E163" i="53"/>
  <c r="J163" i="53"/>
  <c r="I163" i="53"/>
  <c r="H163" i="53"/>
  <c r="G163" i="53"/>
  <c r="D163" i="53"/>
  <c r="K163" i="53"/>
  <c r="C163" i="53"/>
  <c r="F146" i="53"/>
  <c r="H40" i="53"/>
  <c r="C40" i="53"/>
  <c r="C136" i="55" s="1"/>
  <c r="H129" i="53"/>
  <c r="O80" i="53"/>
  <c r="Q80" i="53"/>
  <c r="D40" i="53"/>
  <c r="D136" i="55" s="1"/>
  <c r="J129" i="53"/>
  <c r="N80" i="53"/>
  <c r="P80" i="53"/>
  <c r="L80" i="53"/>
  <c r="I80" i="53"/>
  <c r="F80" i="53"/>
  <c r="F22" i="55" s="1"/>
  <c r="C80" i="53"/>
  <c r="C22" i="55" s="1"/>
  <c r="K80" i="53"/>
  <c r="H80" i="53"/>
  <c r="D80" i="53"/>
  <c r="D22" i="55" s="1"/>
  <c r="E40" i="53"/>
  <c r="E136" i="55" s="1"/>
  <c r="F163" i="53"/>
  <c r="I13" i="53"/>
  <c r="J146" i="53"/>
  <c r="H146" i="53"/>
  <c r="G146" i="53"/>
  <c r="G40" i="53"/>
  <c r="D17" i="51"/>
  <c r="D15" i="51"/>
  <c r="E15" i="51"/>
  <c r="E16" i="51"/>
  <c r="E17" i="51"/>
  <c r="E50" i="47"/>
  <c r="L81" i="32"/>
  <c r="G50" i="47"/>
  <c r="J50" i="47"/>
  <c r="N50" i="47"/>
  <c r="D50" i="47"/>
  <c r="H50" i="47"/>
  <c r="K50" i="47"/>
  <c r="M50" i="47"/>
  <c r="Q50" i="47"/>
  <c r="F50" i="47"/>
  <c r="F22" i="48" s="1"/>
  <c r="I50" i="47"/>
  <c r="O50" i="47"/>
  <c r="P50" i="47"/>
  <c r="B26" i="47"/>
  <c r="B8" i="48"/>
  <c r="C31" i="48"/>
  <c r="P741" i="28"/>
  <c r="B10" i="52"/>
  <c r="B33" i="50"/>
  <c r="B9" i="52" s="1"/>
  <c r="C15" i="51"/>
  <c r="C16" i="51"/>
  <c r="C17" i="51"/>
  <c r="CU31" i="50"/>
  <c r="CU32" i="50" s="1"/>
  <c r="C50" i="47"/>
  <c r="L50" i="47"/>
  <c r="Q119" i="31"/>
  <c r="C25" i="37" s="1"/>
  <c r="P119" i="31"/>
  <c r="C24" i="37" s="1"/>
  <c r="O119" i="31"/>
  <c r="C23" i="37" s="1"/>
  <c r="C23" i="38"/>
  <c r="B31" i="48"/>
  <c r="R119" i="31"/>
  <c r="C26" i="38"/>
  <c r="J81" i="32"/>
  <c r="C27" i="37" s="1"/>
  <c r="H81" i="32"/>
  <c r="I81" i="32"/>
  <c r="C26" i="37" s="1"/>
  <c r="K81" i="32"/>
  <c r="C28" i="37" s="1"/>
  <c r="C34" i="38"/>
  <c r="C32" i="38"/>
  <c r="C28" i="38"/>
  <c r="C25" i="38"/>
  <c r="K47" i="33"/>
  <c r="K45" i="35"/>
  <c r="K23" i="36"/>
  <c r="J23" i="36"/>
  <c r="H45" i="34"/>
  <c r="C32" i="37" s="1"/>
  <c r="I47" i="33"/>
  <c r="C30" i="37" s="1"/>
  <c r="J47" i="33"/>
  <c r="C31" i="37" s="1"/>
  <c r="C33" i="30"/>
  <c r="C34" i="30"/>
  <c r="C32" i="30"/>
  <c r="AN27" i="59" l="1"/>
  <c r="AN28" i="59" s="1"/>
  <c r="L28" i="59"/>
  <c r="P83" i="60"/>
  <c r="F83" i="60"/>
  <c r="N28" i="59"/>
  <c r="R28" i="59"/>
  <c r="G83" i="60"/>
  <c r="T28" i="59"/>
  <c r="P11" i="51"/>
  <c r="P10" i="51"/>
  <c r="M30" i="49"/>
  <c r="M33" i="49" s="1"/>
  <c r="M13" i="51" s="1"/>
  <c r="M11" i="49"/>
  <c r="M13" i="49" s="1"/>
  <c r="M16" i="49"/>
  <c r="M18" i="49" s="1"/>
  <c r="M5" i="51"/>
  <c r="M28" i="49"/>
  <c r="M21" i="49"/>
  <c r="M8" i="49"/>
  <c r="N7" i="49" a="1"/>
  <c r="N7" i="49" s="1"/>
  <c r="N22" i="49" a="1"/>
  <c r="N22" i="49" s="1"/>
  <c r="N12" i="49" a="1"/>
  <c r="N12" i="49" s="1"/>
  <c r="N17" i="49" a="1"/>
  <c r="N17" i="49" s="1"/>
  <c r="O40" i="49"/>
  <c r="L23" i="49"/>
  <c r="L24" i="49"/>
  <c r="L25" i="49"/>
  <c r="C28" i="59"/>
  <c r="C83" i="60"/>
  <c r="AC8" i="48"/>
  <c r="AS9" i="48"/>
  <c r="AS6" i="48"/>
  <c r="AC5" i="48"/>
  <c r="AS5" i="48" s="1"/>
  <c r="V122" i="55"/>
  <c r="V123" i="55"/>
  <c r="V9" i="55"/>
  <c r="V8" i="55"/>
  <c r="V8" i="48"/>
  <c r="T14" i="53"/>
  <c r="T19" i="53"/>
  <c r="T20" i="53" s="1"/>
  <c r="T11" i="53"/>
  <c r="T44" i="53"/>
  <c r="T18" i="53"/>
  <c r="T21" i="53" s="1"/>
  <c r="T12" i="53"/>
  <c r="T13" i="53"/>
  <c r="T15" i="53"/>
  <c r="T16" i="53"/>
  <c r="T17" i="53"/>
  <c r="T41" i="53"/>
  <c r="T53" i="53"/>
  <c r="T56" i="53" s="1"/>
  <c r="T34" i="53"/>
  <c r="T97" i="53"/>
  <c r="T100" i="53" s="1"/>
  <c r="T85" i="53"/>
  <c r="T78" i="53"/>
  <c r="T135" i="53"/>
  <c r="T130" i="53"/>
  <c r="T127" i="53"/>
  <c r="T168" i="53"/>
  <c r="T162" i="53"/>
  <c r="T163" i="53"/>
  <c r="T165" i="53"/>
  <c r="T166" i="53"/>
  <c r="T167" i="53"/>
  <c r="T52" i="53"/>
  <c r="T61" i="53" s="1"/>
  <c r="T141" i="55" s="1"/>
  <c r="T39" i="53"/>
  <c r="T49" i="53"/>
  <c r="T51" i="53"/>
  <c r="T60" i="53" s="1"/>
  <c r="T139" i="55" s="1"/>
  <c r="T37" i="53"/>
  <c r="T48" i="53"/>
  <c r="T94" i="53"/>
  <c r="T103" i="53" s="1"/>
  <c r="T27" i="55" s="1"/>
  <c r="T79" i="53"/>
  <c r="T82" i="53"/>
  <c r="T91" i="53"/>
  <c r="T43" i="53"/>
  <c r="T55" i="53"/>
  <c r="T58" i="53" s="1"/>
  <c r="T38" i="53"/>
  <c r="T92" i="53"/>
  <c r="T101" i="53" s="1"/>
  <c r="T23" i="55" s="1"/>
  <c r="T75" i="53"/>
  <c r="T80" i="53"/>
  <c r="T87" i="53"/>
  <c r="T88" i="53"/>
  <c r="T89" i="53"/>
  <c r="T50" i="53"/>
  <c r="T59" i="53" s="1"/>
  <c r="T137" i="55" s="1"/>
  <c r="T35" i="53"/>
  <c r="T40" i="53"/>
  <c r="T47" i="53"/>
  <c r="T45" i="53"/>
  <c r="T46" i="53"/>
  <c r="T54" i="53"/>
  <c r="T57" i="53" s="1"/>
  <c r="T42" i="53"/>
  <c r="T36" i="53"/>
  <c r="T93" i="53"/>
  <c r="T102" i="53" s="1"/>
  <c r="T25" i="55" s="1"/>
  <c r="T77" i="53"/>
  <c r="T81" i="53"/>
  <c r="T90" i="53"/>
  <c r="T114" i="53"/>
  <c r="T115" i="53"/>
  <c r="T116" i="53"/>
  <c r="T111" i="53"/>
  <c r="T112" i="53"/>
  <c r="T151" i="53"/>
  <c r="T145" i="53"/>
  <c r="T148" i="53"/>
  <c r="T150" i="53"/>
  <c r="T146" i="53"/>
  <c r="T149" i="53"/>
  <c r="T84" i="53"/>
  <c r="T96" i="53"/>
  <c r="T99" i="53" s="1"/>
  <c r="T76" i="53"/>
  <c r="T134" i="53"/>
  <c r="T128" i="53"/>
  <c r="T129" i="53"/>
  <c r="T132" i="53"/>
  <c r="T133" i="53"/>
  <c r="T131" i="53"/>
  <c r="U31" i="53" a="1"/>
  <c r="U31" i="53" s="1"/>
  <c r="U28" i="53" a="1"/>
  <c r="U28" i="53" s="1"/>
  <c r="V28" i="53" s="1"/>
  <c r="U126" i="53" a="1"/>
  <c r="U126" i="53" s="1"/>
  <c r="U123" i="53" a="1"/>
  <c r="U123" i="53" s="1"/>
  <c r="U134" i="53" s="1"/>
  <c r="U158" i="53" a="1"/>
  <c r="U158" i="53" s="1"/>
  <c r="V158" i="53" s="1"/>
  <c r="V165" i="53" s="1"/>
  <c r="U9" i="53" a="1"/>
  <c r="U9" i="53" s="1"/>
  <c r="V9" i="53" s="1"/>
  <c r="V16" i="53" s="1"/>
  <c r="U30" i="53" a="1"/>
  <c r="U30" i="53" s="1"/>
  <c r="U69" i="53" a="1"/>
  <c r="U69" i="53" s="1"/>
  <c r="V69" i="53" s="1"/>
  <c r="V88" i="53" s="1"/>
  <c r="U65" i="53" a="1"/>
  <c r="U65" i="53" s="1"/>
  <c r="U124" i="53" a="1"/>
  <c r="U124" i="53" s="1"/>
  <c r="V124" i="53" s="1"/>
  <c r="V131" i="53" s="1"/>
  <c r="U141" i="53" a="1"/>
  <c r="U141" i="53" s="1"/>
  <c r="V141" i="53" s="1"/>
  <c r="V148" i="53" s="1"/>
  <c r="U157" i="53" a="1"/>
  <c r="U157" i="53" s="1"/>
  <c r="U168" i="53" s="1"/>
  <c r="U33" i="53" a="1"/>
  <c r="U33" i="53" s="1"/>
  <c r="U29" i="53" a="1"/>
  <c r="U29" i="53" s="1"/>
  <c r="V29" i="53" s="1"/>
  <c r="V46" i="53" s="1"/>
  <c r="U106" i="53" a="1"/>
  <c r="U106" i="53" s="1"/>
  <c r="U117" i="53" s="1"/>
  <c r="U24" i="53" a="1"/>
  <c r="U24" i="53" s="1"/>
  <c r="U67" i="53" a="1"/>
  <c r="U67" i="53" s="1"/>
  <c r="U109" i="53" a="1"/>
  <c r="U109" i="53" s="1"/>
  <c r="U142" i="53" a="1"/>
  <c r="U142" i="53" s="1"/>
  <c r="V142" i="53" s="1"/>
  <c r="V149" i="53" s="1"/>
  <c r="U140" i="53" a="1"/>
  <c r="U140" i="53" s="1"/>
  <c r="U151" i="53" s="1"/>
  <c r="U159" i="53" a="1"/>
  <c r="U159" i="53" s="1"/>
  <c r="V159" i="53" s="1"/>
  <c r="U7" i="53" a="1"/>
  <c r="U7" i="53" s="1"/>
  <c r="U18" i="53" s="1"/>
  <c r="U21" i="53" s="1"/>
  <c r="U32" i="53" a="1"/>
  <c r="U32" i="53" s="1"/>
  <c r="U27" i="53" a="1"/>
  <c r="U27" i="53" s="1"/>
  <c r="U72" i="53" a="1"/>
  <c r="U72" i="53" s="1"/>
  <c r="U107" i="53" a="1"/>
  <c r="U107" i="53" s="1"/>
  <c r="V107" i="53" s="1"/>
  <c r="U26" i="53" a="1"/>
  <c r="U26" i="53" s="1"/>
  <c r="U25" i="53" a="1"/>
  <c r="U25" i="53" s="1"/>
  <c r="U70" i="53" a="1"/>
  <c r="U70" i="53" s="1"/>
  <c r="U66" i="53" a="1"/>
  <c r="U66" i="53" s="1"/>
  <c r="U108" i="53" a="1"/>
  <c r="U108" i="53" s="1"/>
  <c r="V108" i="53" s="1"/>
  <c r="V115" i="53" s="1"/>
  <c r="U160" i="53" a="1"/>
  <c r="U160" i="53" s="1"/>
  <c r="U73" i="53" a="1"/>
  <c r="U73" i="53" s="1"/>
  <c r="U8" i="53" a="1"/>
  <c r="U8" i="53" s="1"/>
  <c r="V8" i="53" s="1"/>
  <c r="U71" i="53" a="1"/>
  <c r="U71" i="53" s="1"/>
  <c r="U143" i="53" a="1"/>
  <c r="U143" i="53" s="1"/>
  <c r="U10" i="53" a="1"/>
  <c r="U10" i="53" s="1"/>
  <c r="U68" i="53" a="1"/>
  <c r="U68" i="53" s="1"/>
  <c r="V68" i="53" s="1"/>
  <c r="U64" i="53" a="1"/>
  <c r="U64" i="53" s="1"/>
  <c r="U125" i="53" a="1"/>
  <c r="U125" i="53" s="1"/>
  <c r="V125" i="53" s="1"/>
  <c r="T86" i="53"/>
  <c r="T83" i="53"/>
  <c r="T95" i="53"/>
  <c r="T98" i="53" s="1"/>
  <c r="T74" i="53"/>
  <c r="T118" i="53"/>
  <c r="T113" i="53"/>
  <c r="T110" i="53"/>
  <c r="T164" i="53"/>
  <c r="T169" i="53"/>
  <c r="T161" i="53"/>
  <c r="T117" i="53"/>
  <c r="T144" i="53"/>
  <c r="T152" i="53"/>
  <c r="T147" i="53"/>
  <c r="S45" i="47"/>
  <c r="S47" i="47"/>
  <c r="S46" i="47"/>
  <c r="S38" i="47"/>
  <c r="S39" i="47"/>
  <c r="S40" i="47"/>
  <c r="S31" i="47"/>
  <c r="S32" i="47"/>
  <c r="S33" i="47"/>
  <c r="T68" i="47"/>
  <c r="T71" i="47" s="1"/>
  <c r="T27" i="48" s="1"/>
  <c r="T16" i="47"/>
  <c r="T43" i="47"/>
  <c r="T45" i="47" s="1"/>
  <c r="T66" i="47"/>
  <c r="T36" i="47"/>
  <c r="T38" i="47" s="1"/>
  <c r="T58" i="47"/>
  <c r="T12" i="47"/>
  <c r="T53" i="47"/>
  <c r="T54" i="47" s="1"/>
  <c r="T61" i="47"/>
  <c r="T62" i="47" s="1"/>
  <c r="T69" i="47"/>
  <c r="T70" i="47" s="1"/>
  <c r="T60" i="47"/>
  <c r="T63" i="47" s="1"/>
  <c r="T25" i="48" s="1"/>
  <c r="T52" i="47"/>
  <c r="T55" i="47" s="1"/>
  <c r="T23" i="48" s="1"/>
  <c r="T50" i="47"/>
  <c r="T29" i="47"/>
  <c r="T31" i="47" s="1"/>
  <c r="T24" i="47"/>
  <c r="T26" i="47" s="1"/>
  <c r="T8" i="47"/>
  <c r="T19" i="47"/>
  <c r="T21" i="47" s="1"/>
  <c r="U7" i="47" a="1"/>
  <c r="U7" i="47" s="1"/>
  <c r="U44" i="47" a="1"/>
  <c r="U44" i="47" s="1"/>
  <c r="U37" i="47" a="1"/>
  <c r="U37" i="47" s="1"/>
  <c r="U30" i="47" a="1"/>
  <c r="U30" i="47" s="1"/>
  <c r="U11" i="47" a="1"/>
  <c r="U11" i="47" s="1"/>
  <c r="U20" i="47" a="1"/>
  <c r="U20" i="47" s="1"/>
  <c r="V20" i="47" s="1"/>
  <c r="U15" i="47" a="1"/>
  <c r="U15" i="47" s="1"/>
  <c r="U25" i="47" a="1"/>
  <c r="U25" i="47" s="1"/>
  <c r="V25" i="47" s="1"/>
  <c r="V26" i="47" s="1"/>
  <c r="AS8" i="48"/>
  <c r="B30" i="48"/>
  <c r="B28" i="48"/>
  <c r="E28" i="48"/>
  <c r="D28" i="48"/>
  <c r="C28" i="48"/>
  <c r="D26" i="48"/>
  <c r="E26" i="48"/>
  <c r="C26" i="48"/>
  <c r="C24" i="48"/>
  <c r="D24" i="48"/>
  <c r="E24" i="48"/>
  <c r="B22" i="48"/>
  <c r="B21" i="48"/>
  <c r="D21" i="48"/>
  <c r="E21" i="48"/>
  <c r="E20" i="48"/>
  <c r="C21" i="48"/>
  <c r="B19" i="48"/>
  <c r="C19" i="48"/>
  <c r="E18" i="48"/>
  <c r="E19" i="48"/>
  <c r="D18" i="48"/>
  <c r="D19" i="48"/>
  <c r="E17" i="48"/>
  <c r="E16" i="48"/>
  <c r="D17" i="48"/>
  <c r="D16" i="48"/>
  <c r="C16" i="48"/>
  <c r="C17" i="48"/>
  <c r="B17" i="48"/>
  <c r="V17" i="48" s="1"/>
  <c r="B16" i="48"/>
  <c r="V16" i="48" s="1"/>
  <c r="E22" i="48"/>
  <c r="D22" i="48"/>
  <c r="C22" i="48"/>
  <c r="Z7" i="48"/>
  <c r="B143" i="55"/>
  <c r="B144" i="55"/>
  <c r="B30" i="55"/>
  <c r="B29" i="55"/>
  <c r="B20" i="48"/>
  <c r="D20" i="48"/>
  <c r="C20" i="48"/>
  <c r="C18" i="48"/>
  <c r="B29" i="48"/>
  <c r="Q49" i="29"/>
  <c r="I36" i="24"/>
  <c r="G36" i="24"/>
  <c r="H36" i="24"/>
  <c r="F36" i="24"/>
  <c r="G35" i="24"/>
  <c r="H35" i="24"/>
  <c r="F35" i="24"/>
  <c r="C38" i="30" s="1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35" i="24" s="1"/>
  <c r="I6" i="24"/>
  <c r="I5" i="24"/>
  <c r="I4" i="24"/>
  <c r="I3" i="24"/>
  <c r="I2" i="24"/>
  <c r="G47" i="26"/>
  <c r="H47" i="26"/>
  <c r="F47" i="26"/>
  <c r="G46" i="26"/>
  <c r="C36" i="30" s="1"/>
  <c r="H46" i="26"/>
  <c r="C37" i="30" s="1"/>
  <c r="F46" i="26"/>
  <c r="C35" i="30" s="1"/>
  <c r="I45" i="26"/>
  <c r="I47" i="26" s="1"/>
  <c r="I44" i="26"/>
  <c r="I43" i="26"/>
  <c r="I42" i="26"/>
  <c r="I41" i="26"/>
  <c r="I40" i="26"/>
  <c r="I39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I6" i="26"/>
  <c r="I5" i="26"/>
  <c r="I4" i="26"/>
  <c r="I3" i="26"/>
  <c r="I2" i="26"/>
  <c r="H97" i="27"/>
  <c r="I97" i="27"/>
  <c r="C30" i="30"/>
  <c r="I96" i="27"/>
  <c r="C31" i="30" s="1"/>
  <c r="G97" i="27"/>
  <c r="C29" i="30"/>
  <c r="J95" i="27"/>
  <c r="J97" i="27" s="1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8" i="27"/>
  <c r="J47" i="27"/>
  <c r="J46" i="27"/>
  <c r="J45" i="27"/>
  <c r="J44" i="27"/>
  <c r="J43" i="27"/>
  <c r="J42" i="27"/>
  <c r="J41" i="27"/>
  <c r="J40" i="27"/>
  <c r="J39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J96" i="27" s="1"/>
  <c r="M23" i="49" l="1"/>
  <c r="M24" i="49"/>
  <c r="M25" i="49"/>
  <c r="N21" i="49"/>
  <c r="N16" i="49"/>
  <c r="N5" i="51"/>
  <c r="N11" i="49"/>
  <c r="N28" i="49"/>
  <c r="N8" i="49"/>
  <c r="N31" i="49"/>
  <c r="N32" i="49" s="1"/>
  <c r="N23" i="49"/>
  <c r="N13" i="49"/>
  <c r="N18" i="49"/>
  <c r="O7" i="49" a="1"/>
  <c r="O7" i="49" s="1"/>
  <c r="O30" i="49" s="1"/>
  <c r="O33" i="49" s="1"/>
  <c r="O13" i="51" s="1"/>
  <c r="O17" i="49" a="1"/>
  <c r="O17" i="49" s="1"/>
  <c r="P17" i="49" s="1"/>
  <c r="P18" i="49" s="1"/>
  <c r="O12" i="49" a="1"/>
  <c r="O12" i="49" s="1"/>
  <c r="P12" i="49" s="1"/>
  <c r="O22" i="49" a="1"/>
  <c r="O22" i="49" s="1"/>
  <c r="N30" i="49"/>
  <c r="N33" i="49" s="1"/>
  <c r="N13" i="51" s="1"/>
  <c r="V18" i="48"/>
  <c r="V21" i="48"/>
  <c r="V19" i="48"/>
  <c r="V20" i="48"/>
  <c r="U93" i="53"/>
  <c r="U102" i="53" s="1"/>
  <c r="U25" i="55" s="1"/>
  <c r="U6" i="55"/>
  <c r="V6" i="55" s="1"/>
  <c r="U50" i="53"/>
  <c r="U59" i="53" s="1"/>
  <c r="U137" i="55" s="1"/>
  <c r="U119" i="55"/>
  <c r="V119" i="55" s="1"/>
  <c r="U110" i="53"/>
  <c r="V109" i="53"/>
  <c r="U118" i="53"/>
  <c r="U113" i="53"/>
  <c r="U52" i="53"/>
  <c r="U61" i="53" s="1"/>
  <c r="U141" i="55" s="1"/>
  <c r="U121" i="55"/>
  <c r="V121" i="55" s="1"/>
  <c r="U51" i="53"/>
  <c r="U60" i="53" s="1"/>
  <c r="U139" i="55" s="1"/>
  <c r="U120" i="55"/>
  <c r="V120" i="55" s="1"/>
  <c r="U94" i="53"/>
  <c r="U103" i="53" s="1"/>
  <c r="U27" i="55" s="1"/>
  <c r="U7" i="55"/>
  <c r="V7" i="55" s="1"/>
  <c r="U92" i="53"/>
  <c r="U101" i="53" s="1"/>
  <c r="U23" i="55" s="1"/>
  <c r="U5" i="55"/>
  <c r="V5" i="55" s="1"/>
  <c r="U52" i="47"/>
  <c r="U55" i="47" s="1"/>
  <c r="U23" i="48" s="1"/>
  <c r="U5" i="48"/>
  <c r="V5" i="48" s="1"/>
  <c r="U60" i="47"/>
  <c r="U63" i="47" s="1"/>
  <c r="U25" i="48" s="1"/>
  <c r="U6" i="48"/>
  <c r="V6" i="48" s="1"/>
  <c r="U68" i="47"/>
  <c r="U71" i="47" s="1"/>
  <c r="U27" i="48" s="1"/>
  <c r="U7" i="48"/>
  <c r="V7" i="48" s="1"/>
  <c r="V45" i="53"/>
  <c r="V126" i="53"/>
  <c r="V129" i="53" s="1"/>
  <c r="U127" i="53"/>
  <c r="U128" i="53"/>
  <c r="U131" i="53"/>
  <c r="U129" i="53"/>
  <c r="U132" i="53"/>
  <c r="U133" i="53"/>
  <c r="U77" i="53"/>
  <c r="U81" i="53"/>
  <c r="U90" i="53"/>
  <c r="U162" i="53"/>
  <c r="U163" i="53"/>
  <c r="U165" i="53"/>
  <c r="U166" i="53"/>
  <c r="U167" i="53"/>
  <c r="U111" i="53"/>
  <c r="U112" i="53"/>
  <c r="U114" i="53"/>
  <c r="U115" i="53"/>
  <c r="U116" i="53"/>
  <c r="U35" i="53"/>
  <c r="U40" i="53"/>
  <c r="U46" i="53"/>
  <c r="U45" i="53"/>
  <c r="U47" i="53"/>
  <c r="U145" i="53"/>
  <c r="U146" i="53"/>
  <c r="U149" i="53"/>
  <c r="U148" i="53"/>
  <c r="U150" i="53"/>
  <c r="U16" i="53"/>
  <c r="U12" i="53"/>
  <c r="U13" i="53"/>
  <c r="U15" i="53"/>
  <c r="U17" i="53"/>
  <c r="U39" i="53"/>
  <c r="U49" i="53"/>
  <c r="U37" i="53"/>
  <c r="U48" i="53"/>
  <c r="U79" i="53"/>
  <c r="U82" i="53"/>
  <c r="U91" i="53"/>
  <c r="V71" i="53"/>
  <c r="U76" i="53"/>
  <c r="U75" i="53"/>
  <c r="U80" i="53"/>
  <c r="U87" i="53"/>
  <c r="U88" i="53"/>
  <c r="U89" i="53"/>
  <c r="U74" i="53"/>
  <c r="U78" i="53"/>
  <c r="U38" i="53"/>
  <c r="U11" i="53"/>
  <c r="U36" i="53"/>
  <c r="U34" i="53"/>
  <c r="U42" i="53"/>
  <c r="V31" i="53"/>
  <c r="U54" i="53"/>
  <c r="U57" i="53" s="1"/>
  <c r="U130" i="53"/>
  <c r="U135" i="53"/>
  <c r="U53" i="53"/>
  <c r="U56" i="53" s="1"/>
  <c r="U41" i="53"/>
  <c r="V30" i="53"/>
  <c r="V40" i="53" s="1"/>
  <c r="V33" i="53"/>
  <c r="V44" i="53" s="1"/>
  <c r="U44" i="53"/>
  <c r="V166" i="53"/>
  <c r="U55" i="53"/>
  <c r="U58" i="53" s="1"/>
  <c r="U43" i="53"/>
  <c r="V32" i="53"/>
  <c r="U97" i="53"/>
  <c r="U100" i="53" s="1"/>
  <c r="V72" i="53"/>
  <c r="U85" i="53"/>
  <c r="V114" i="53"/>
  <c r="U95" i="53"/>
  <c r="U98" i="53" s="1"/>
  <c r="U83" i="53"/>
  <c r="V70" i="53"/>
  <c r="V80" i="53" s="1"/>
  <c r="U161" i="53"/>
  <c r="U164" i="53"/>
  <c r="V160" i="53"/>
  <c r="V163" i="53" s="1"/>
  <c r="U169" i="53"/>
  <c r="V73" i="53"/>
  <c r="V86" i="53" s="1"/>
  <c r="U86" i="53"/>
  <c r="V15" i="53"/>
  <c r="U84" i="53"/>
  <c r="U96" i="53"/>
  <c r="U99" i="53" s="1"/>
  <c r="U144" i="53"/>
  <c r="U147" i="53"/>
  <c r="V143" i="53"/>
  <c r="U152" i="53"/>
  <c r="U14" i="53"/>
  <c r="U19" i="53"/>
  <c r="U20" i="53" s="1"/>
  <c r="V10" i="53"/>
  <c r="V13" i="53" s="1"/>
  <c r="V87" i="53"/>
  <c r="V132" i="53"/>
  <c r="T47" i="47"/>
  <c r="T46" i="47"/>
  <c r="T39" i="47"/>
  <c r="T40" i="47"/>
  <c r="T33" i="47"/>
  <c r="T32" i="47"/>
  <c r="U19" i="47"/>
  <c r="U21" i="47" s="1"/>
  <c r="U8" i="47"/>
  <c r="V8" i="47" s="1"/>
  <c r="U24" i="47"/>
  <c r="U26" i="47" s="1"/>
  <c r="U29" i="47"/>
  <c r="U50" i="47"/>
  <c r="U36" i="47"/>
  <c r="U58" i="47"/>
  <c r="U12" i="47"/>
  <c r="V12" i="47" s="1"/>
  <c r="V21" i="47"/>
  <c r="U16" i="47"/>
  <c r="V16" i="47" s="1"/>
  <c r="U43" i="47"/>
  <c r="U66" i="47"/>
  <c r="U69" i="47"/>
  <c r="U70" i="47" s="1"/>
  <c r="V44" i="47"/>
  <c r="V37" i="47"/>
  <c r="U61" i="47"/>
  <c r="U62" i="47" s="1"/>
  <c r="V30" i="47"/>
  <c r="V50" i="47" s="1"/>
  <c r="U53" i="47"/>
  <c r="U54" i="47" s="1"/>
  <c r="AG13" i="48"/>
  <c r="AI13" i="48"/>
  <c r="AJ13" i="48"/>
  <c r="AK13" i="48"/>
  <c r="AL13" i="48"/>
  <c r="AM13" i="48"/>
  <c r="AN13" i="48"/>
  <c r="AO13" i="48"/>
  <c r="AP13" i="48"/>
  <c r="AQ13" i="48"/>
  <c r="AR13" i="48"/>
  <c r="AC13" i="48"/>
  <c r="AH13" i="48"/>
  <c r="AF13" i="48"/>
  <c r="AD13" i="48"/>
  <c r="AE13" i="48"/>
  <c r="AC11" i="48"/>
  <c r="AC12" i="48" s="1"/>
  <c r="AG11" i="48"/>
  <c r="AM11" i="48"/>
  <c r="AE11" i="48"/>
  <c r="AN11" i="48"/>
  <c r="AL11" i="48"/>
  <c r="AF11" i="48"/>
  <c r="AJ11" i="48"/>
  <c r="AQ11" i="48"/>
  <c r="AI11" i="48"/>
  <c r="AP11" i="48"/>
  <c r="AH11" i="48"/>
  <c r="AR11" i="48"/>
  <c r="AK11" i="48"/>
  <c r="AD11" i="48"/>
  <c r="AO11" i="48"/>
  <c r="I46" i="26"/>
  <c r="C26" i="30"/>
  <c r="N24" i="49" l="1"/>
  <c r="N25" i="49"/>
  <c r="P13" i="49"/>
  <c r="O11" i="49"/>
  <c r="O13" i="49" s="1"/>
  <c r="O16" i="49"/>
  <c r="O18" i="49" s="1"/>
  <c r="O28" i="49"/>
  <c r="O21" i="49"/>
  <c r="O5" i="51"/>
  <c r="P5" i="51" s="1"/>
  <c r="O8" i="49"/>
  <c r="P22" i="49"/>
  <c r="P28" i="49" s="1"/>
  <c r="O31" i="49"/>
  <c r="O32" i="49" s="1"/>
  <c r="V113" i="53"/>
  <c r="V111" i="53"/>
  <c r="V110" i="53"/>
  <c r="V116" i="53"/>
  <c r="V118" i="53"/>
  <c r="V119" i="53" s="1"/>
  <c r="V112" i="53"/>
  <c r="V133" i="53"/>
  <c r="V127" i="53"/>
  <c r="V130" i="53"/>
  <c r="V128" i="53"/>
  <c r="V135" i="53"/>
  <c r="V136" i="53" s="1"/>
  <c r="V90" i="53"/>
  <c r="V77" i="53"/>
  <c r="V76" i="53"/>
  <c r="V81" i="53"/>
  <c r="V96" i="53"/>
  <c r="V99" i="53" s="1"/>
  <c r="V84" i="53"/>
  <c r="V36" i="53"/>
  <c r="V54" i="53"/>
  <c r="V57" i="53" s="1"/>
  <c r="V48" i="53"/>
  <c r="V37" i="53"/>
  <c r="V42" i="53"/>
  <c r="V34" i="53"/>
  <c r="V53" i="53"/>
  <c r="V56" i="53" s="1"/>
  <c r="V47" i="53"/>
  <c r="V35" i="53"/>
  <c r="V41" i="53"/>
  <c r="V49" i="53"/>
  <c r="V55" i="53"/>
  <c r="V58" i="53" s="1"/>
  <c r="V43" i="53"/>
  <c r="V39" i="53"/>
  <c r="V38" i="53"/>
  <c r="V79" i="53"/>
  <c r="V78" i="53"/>
  <c r="V91" i="53"/>
  <c r="V82" i="53"/>
  <c r="V85" i="53"/>
  <c r="V97" i="53"/>
  <c r="V100" i="53" s="1"/>
  <c r="V89" i="53"/>
  <c r="V75" i="53"/>
  <c r="V95" i="53"/>
  <c r="V98" i="53" s="1"/>
  <c r="V74" i="53"/>
  <c r="V83" i="53"/>
  <c r="V169" i="53"/>
  <c r="V170" i="53" s="1"/>
  <c r="V164" i="53"/>
  <c r="V161" i="53"/>
  <c r="V162" i="53"/>
  <c r="V167" i="53"/>
  <c r="V144" i="53"/>
  <c r="V152" i="53"/>
  <c r="V153" i="53" s="1"/>
  <c r="V147" i="53"/>
  <c r="V145" i="53"/>
  <c r="V150" i="53"/>
  <c r="V146" i="53"/>
  <c r="V14" i="53"/>
  <c r="V17" i="53"/>
  <c r="V12" i="53"/>
  <c r="V19" i="53"/>
  <c r="V20" i="53" s="1"/>
  <c r="V11" i="53"/>
  <c r="U31" i="47"/>
  <c r="U32" i="47"/>
  <c r="U33" i="47"/>
  <c r="U38" i="47"/>
  <c r="U39" i="47"/>
  <c r="U40" i="47"/>
  <c r="U45" i="47"/>
  <c r="U47" i="47"/>
  <c r="U46" i="47"/>
  <c r="V46" i="47"/>
  <c r="V47" i="47"/>
  <c r="V66" i="47"/>
  <c r="V45" i="47"/>
  <c r="V69" i="47"/>
  <c r="V70" i="47" s="1"/>
  <c r="V40" i="47"/>
  <c r="V61" i="47"/>
  <c r="V62" i="47" s="1"/>
  <c r="V38" i="47"/>
  <c r="V39" i="47"/>
  <c r="V58" i="47"/>
  <c r="V53" i="47"/>
  <c r="V54" i="47" s="1"/>
  <c r="V31" i="47"/>
  <c r="V32" i="47"/>
  <c r="V33" i="47"/>
  <c r="AS13" i="48"/>
  <c r="AE14" i="48"/>
  <c r="AC14" i="48"/>
  <c r="AF14" i="48"/>
  <c r="AR12" i="48"/>
  <c r="AQ12" i="48"/>
  <c r="AP12" i="48"/>
  <c r="AD12" i="48"/>
  <c r="AE12" i="48"/>
  <c r="AF12" i="48"/>
  <c r="AG12" i="48"/>
  <c r="AH12" i="48"/>
  <c r="AI12" i="48"/>
  <c r="AJ12" i="48"/>
  <c r="AK12" i="48"/>
  <c r="AL12" i="48"/>
  <c r="AM12" i="48"/>
  <c r="AN12" i="48"/>
  <c r="AO12" i="48"/>
  <c r="AD14" i="48"/>
  <c r="AS11" i="48"/>
  <c r="O23" i="49" l="1"/>
  <c r="O24" i="49"/>
  <c r="O25" i="49"/>
  <c r="P31" i="49"/>
  <c r="P32" i="49" s="1"/>
  <c r="P25" i="49"/>
  <c r="P23" i="49"/>
  <c r="P24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<sst xmlns="http://schemas.openxmlformats.org/spreadsheetml/2006/main" count="10987" uniqueCount="2035">
  <si>
    <t>No.</t>
  </si>
  <si>
    <t>Tasks</t>
  </si>
  <si>
    <t>% Complete</t>
  </si>
  <si>
    <t>Status</t>
  </si>
  <si>
    <t>HQ</t>
  </si>
  <si>
    <t>New AP Cabling &gt;</t>
  </si>
  <si>
    <t>Electrical System &gt;</t>
  </si>
  <si>
    <t>SVB</t>
  </si>
  <si>
    <t>HKT</t>
  </si>
  <si>
    <t>CNX</t>
  </si>
  <si>
    <t>HDY</t>
  </si>
  <si>
    <t>CEI</t>
  </si>
  <si>
    <t>Configuration &gt;</t>
  </si>
  <si>
    <t>Installation &gt;</t>
  </si>
  <si>
    <t>Migration &gt;</t>
  </si>
  <si>
    <t>สถานที่</t>
  </si>
  <si>
    <t>ห้อง</t>
  </si>
  <si>
    <t>ชั้น</t>
  </si>
  <si>
    <t>อุปกรณ์</t>
  </si>
  <si>
    <t>ยี่ห้อ รุ่น</t>
  </si>
  <si>
    <t>จำนวน
TOR</t>
  </si>
  <si>
    <t>จำนวน 
ใหม่</t>
  </si>
  <si>
    <t>Migration Plan</t>
  </si>
  <si>
    <t>Install Date</t>
  </si>
  <si>
    <t>Complete Date</t>
  </si>
  <si>
    <t>หมายเหตุ</t>
  </si>
  <si>
    <t>Configuration</t>
  </si>
  <si>
    <t>Installation</t>
  </si>
  <si>
    <t>Migration</t>
  </si>
  <si>
    <t>Total</t>
  </si>
  <si>
    <t xml:space="preserve">Remark </t>
  </si>
  <si>
    <t>Category</t>
  </si>
  <si>
    <t>วันที่เริ่ม (Helper)</t>
  </si>
  <si>
    <t>วันที่ติดตั้ง
(Helper)</t>
  </si>
  <si>
    <t>วันที่สิ้นสุด (Helper)</t>
  </si>
  <si>
    <t>เริ่ม</t>
  </si>
  <si>
    <t>ถึง</t>
  </si>
  <si>
    <t>อาคารสายงานวิศวกรรมศาสตร์และเทคโนโลยีสารสนเทศ (สงวท.)</t>
  </si>
  <si>
    <t>ห้องไฟฟ้า</t>
  </si>
  <si>
    <t>อุปกรณ์กระจายสัญญาณเครือข่ายแบบที่ 2 (Access Switch Type 2)</t>
  </si>
  <si>
    <t>Cisco /C9300L-24T-4X</t>
  </si>
  <si>
    <t>-</t>
  </si>
  <si>
    <t>ย้ายไปห้องอื่น</t>
  </si>
  <si>
    <t>อุปกรณ์กระจายสัญญาณเครือข่ายแบบที่ 4 (Access Switch Type 4)</t>
  </si>
  <si>
    <t>Cisco /C9300L-24UXG-4X</t>
  </si>
  <si>
    <t>ชั้น 2 Data Center</t>
  </si>
  <si>
    <t xml:space="preserve">ระบบบริหารจัดการ อุปกรณ์รักษาความปลอดภัยระบบเครือข่ายจากส่วนกลาง (Centralized Management) </t>
  </si>
  <si>
    <t>Paloalto/M300</t>
  </si>
  <si>
    <t>In Progress</t>
  </si>
  <si>
    <t>อุปกรณ์เชื่อมต่อระบบกับเครือข่ายภายนอกแบบที่ 1 (Extranet Switch Type 1)</t>
  </si>
  <si>
    <t>Cisco /C9500-48Y4C</t>
  </si>
  <si>
    <t>อุปกรณ์ควบคุมการเข้าถึงระบบเครือข่ายแบบที่ 1 (Access Control Type 1)</t>
  </si>
  <si>
    <t>Cisco /SNS-3755</t>
  </si>
  <si>
    <t>อุปกรณ์ควบคุมการกระจายสัญญาณเครือข่ายไร้สาย (Wireless Controller)</t>
  </si>
  <si>
    <t>Cisco /C9800-L-F</t>
  </si>
  <si>
    <t>อุปกรณ์ควบคุมระบบครือข่ายด้วยซอฟต์แวร์ (SDN Controller)</t>
  </si>
  <si>
    <t>Cisco /DN3-HW-APL-XL</t>
  </si>
  <si>
    <t xml:space="preserve">อุปกรณ์รักษาความปลอดภัยระบบเครือข่าย Next Generation Firewall แบบที่ 1 </t>
  </si>
  <si>
    <t>Paloalto/PA-3420</t>
  </si>
  <si>
    <t xml:space="preserve">อุปกรณ์รักษาความปลอดภัยระบบเครือข่าย Next Generation Firewall แบบที่ 2 </t>
  </si>
  <si>
    <t>Paloalto/PA-3410</t>
  </si>
  <si>
    <t xml:space="preserve">อุปกรณ์ Web Application Firewall </t>
  </si>
  <si>
    <t>Imperva/X6530</t>
  </si>
  <si>
    <t>อุปกรณ์กระจายสัญญาณเครือข่ายหลักแบบที่ 2 (Core Switch Type 2)</t>
  </si>
  <si>
    <t>Cisco /C9407R</t>
  </si>
  <si>
    <t>อุปกรณ์เชื่อมต่อระบบกับเครือข่ายภายในแบบที่ 1 (Fusion Switch Type 1)</t>
  </si>
  <si>
    <t>Cisco /C9606R</t>
  </si>
  <si>
    <t>ห้องไฟฟ้า 102</t>
  </si>
  <si>
    <t>Complete</t>
  </si>
  <si>
    <t xml:space="preserve">ย้าย TPYE 2 ไปชั้น 4 สงวท 1 ตัว </t>
  </si>
  <si>
    <t>ห้องเก็บของ</t>
  </si>
  <si>
    <r>
      <rPr>
        <sz val="16"/>
        <color rgb="FF000000"/>
        <rFont val="TH SarabunPSK"/>
        <family val="2"/>
      </rPr>
      <t xml:space="preserve">ชื่อห้องเดิมคือ  ชั้น 2 ห้องฝ่ายระบบคอมพิวเตอร์และเครือข่าย
</t>
    </r>
    <r>
      <rPr>
        <b/>
        <sz val="16"/>
        <color rgb="FF000000"/>
        <rFont val="TH SarabunPSK"/>
        <family val="2"/>
      </rPr>
      <t>*** เป็น Pilot Site</t>
    </r>
  </si>
  <si>
    <t>ห้องไฟฟ้า 301</t>
  </si>
  <si>
    <t>ห้องไฟฟ้า ชั้น 4</t>
  </si>
  <si>
    <t xml:space="preserve">ชื่อห้องเดิมคือ ห้องข้างๆ ลิฟ ชั้น 4  เพิ่ม 2 ตัวType 4   จากอาคารลานจอด ห้องวิศวกรรม Type 2  ย้ายจากชั้น 1 สงวท. </t>
  </si>
  <si>
    <t>อาคารสำนักงานใหญ่</t>
  </si>
  <si>
    <t xml:space="preserve">ชั้น 1 ห้องเก็บของ สกหม.    </t>
  </si>
  <si>
    <t>อุปกรณ์กระจายสัญญาณเครือข่ายรองแบบที่ 3 (Distribute Switch Type 3)</t>
  </si>
  <si>
    <t xml:space="preserve">ชื่อห้องเดิมคือ  ชั้น 1 ห้องเก็บของ ตรงข้ามห้องพักเจ้าหน้าที่ปรับอากาศ    </t>
  </si>
  <si>
    <t>ชั้น 5 ห้องไฟฟ้า</t>
  </si>
  <si>
    <t>ชั้น 2 ห้องไฟฟ้า</t>
  </si>
  <si>
    <t>ชั้น 4 ห้องไฟฟ้า</t>
  </si>
  <si>
    <t>นำมาจากห้องสำนักเลขาชั้น 5 1 ตัว</t>
  </si>
  <si>
    <t>ชั้น 1 ห้องไฟฟ้า</t>
  </si>
  <si>
    <t>ชั้น 3 ห้องไฟฟ้า</t>
  </si>
  <si>
    <t>ย้ายtype 2 มาจากชั้น 2 ฝ่ายอำนวยการกลาง</t>
  </si>
  <si>
    <t>ชื่อห้องเดิมคือ HQ-AHU-203 เพิ่ม 1 ตัว จากห้อง  ฝ่ายอำนวยกลาง</t>
  </si>
  <si>
    <t>ชื่อห้องเดิมคือ HQ-AHU-302</t>
  </si>
  <si>
    <t xml:space="preserve">ชื่อห้องเดิมคือ ห้องควบคุมระบบไฟฟ้า ชั้น 5 ข้างห้องน้ำชาย     </t>
  </si>
  <si>
    <t>ชั้น 6 ห้องไฟฟ้า</t>
  </si>
  <si>
    <t>ชื่อห้องเดิมคือ HQ-AHU-127</t>
  </si>
  <si>
    <t>ชื่อห้องเดิมคือ HQ-AHU-411</t>
  </si>
  <si>
    <t>ชั้น 7 ห้องไฟฟ้า</t>
  </si>
  <si>
    <t>ฝ่ายอำนวยการกลาง</t>
  </si>
  <si>
    <t>เพิ่ม TYPE4 1 ตัว ย้ายมาจากฝ่ายบัญชีตัวที่6 TYPE 2 รอย้ายไปติดตั้งห้องอื่น 1 ตัวไป ห้องไฟฟ้า ชั้น 2</t>
  </si>
  <si>
    <t>ห้องฝ่ายการเงิน</t>
  </si>
  <si>
    <t>สำนักงานเลขานุการบริษัทฝ่ายป้องกันอุบัติภัยและอาชีวอนามัย</t>
  </si>
  <si>
    <t>ย้าย1 ตัว ไป ห้องไฟฟ้าชั้น 4</t>
  </si>
  <si>
    <t>ฝ่ายบัญชี</t>
  </si>
  <si>
    <t xml:space="preserve">ย้าย1 ตัวไปฝ่ายอำนวยการกลาง </t>
  </si>
  <si>
    <t>ฝ่ายพัฒนาทรัพยากรบุคคล</t>
  </si>
  <si>
    <t>สำนักงานตรวจสอบ AUDIT OFFICE</t>
  </si>
  <si>
    <t>ห้องฝ่ายอำนวยการกลาง</t>
  </si>
  <si>
    <t xml:space="preserve">ชื่อห้องเดิมคือ ศูนย์รับ-ส่งหนังสือภายใน ทอท.  </t>
  </si>
  <si>
    <t>หน้าห้องประชุม ทอท.</t>
  </si>
  <si>
    <t>ชื่อห้องเดิมคือ ห้องควบคุมไฟฟ้า ชั้น 7</t>
  </si>
  <si>
    <t>ห้องประชุมใหญ่ ทอท.</t>
  </si>
  <si>
    <t>อาคารสโมสรท่าอากาศยาน - สทย. (สงทภ.)</t>
  </si>
  <si>
    <t>ห้อง AHU</t>
  </si>
  <si>
    <t>ชื่อห้องเดิมคือ ห้องไฟฟ้า</t>
  </si>
  <si>
    <t>ฝ่ายสิ่งแวดล้อม</t>
  </si>
  <si>
    <t>เพิ่มจาก TOR 1 ตัว จาก สงวท ห้องไฟฟ้าชั้น 1</t>
  </si>
  <si>
    <t>ห้องสมุดและศูนย์ข้อมูลข่าวสาร  ทอท.</t>
  </si>
  <si>
    <t xml:space="preserve">ชื่อห้องเดิมคือ ห้องสมุด เพิ่ม 1 ตัว นำมาจาก นำมาจาก อาคาร สงวท. เพิ่มT2จาก TOR 1 ตัว จาก สงวท ห้องไฟฟ้าชั้น 1 และย้าย T4 ไป สำนักงานวิศวกรรมโครงการ </t>
  </si>
  <si>
    <t>อาคารจอดรถ</t>
  </si>
  <si>
    <t>ห้องสื่อสาร</t>
  </si>
  <si>
    <t>ชื่อห้องเดิมคือ ห้องตรงอาคารจอดรถเสา 2F</t>
  </si>
  <si>
    <t>สำนักงานวิศวกรรมโครงการ</t>
  </si>
  <si>
    <t>ชื่อห้องเดิมคือ ฝ่ายวิศวะกรรมโครงการ ย้าย TPYE 4 ไปชั้น 4 สงวท 1 ตัว นำ  Type 2 ไป เจ๊เล้ง 1 ตัว</t>
  </si>
  <si>
    <t>คลังพัสดุ</t>
  </si>
  <si>
    <t>คลังพัสดุ (เจ้เล้ง)</t>
  </si>
  <si>
    <t>นำ  Type 2 มาจาก อาคารจอดรถ ห้องวิศวกรรม  1 ตัว</t>
  </si>
  <si>
    <t>สถานีไฟฟ้าย่อย 1 อาคารข้างหลัง</t>
  </si>
  <si>
    <t>สำนักแพทย์</t>
  </si>
  <si>
    <t>ห้องตรวจ 2</t>
  </si>
  <si>
    <t>ชื่อห้องเดิมคือ สำนักแพทย์</t>
  </si>
  <si>
    <t>อาคารกองประปา</t>
  </si>
  <si>
    <t>ห้องธุรการ</t>
  </si>
  <si>
    <t>ชื่อห้องเดิมคือ สำนักงาน</t>
  </si>
  <si>
    <t>อาคารกองอาคาร</t>
  </si>
  <si>
    <t>สำนักงาน</t>
  </si>
  <si>
    <t>อาคารบำบัดน้ำเสีย</t>
  </si>
  <si>
    <t>อาคารผู้โดยสายภายในประเทศ (T2)</t>
  </si>
  <si>
    <t xml:space="preserve">ห้อง 1714 (MDF) </t>
  </si>
  <si>
    <t>อาคารเสริมสร้างพลานามัย</t>
  </si>
  <si>
    <t>ชื่อห้องเดิมคือ ห้อง SIS</t>
  </si>
  <si>
    <t>ห้องสำนักงานสมาคมสโมสรท่าอากาศยาน</t>
  </si>
  <si>
    <t>ชื่อห้องเดิมคือ ห้องกีฬาอเนกประสงค์ 2</t>
  </si>
  <si>
    <t>อาคารสันทนาการ สนญ.</t>
  </si>
  <si>
    <t>อาคารเดียวกับ อาคารสโมสรท่าอากาศยาน - สทย. (สงทภ.)</t>
  </si>
  <si>
    <t>ห้องสมุดและศูนย์ข้อมูลช่าวสาร ทอท. ห้องสมุดธรรมาภิบาล</t>
  </si>
  <si>
    <t>สถานีไฟฟ้าย่อย 1 อาคารข้างหน้า</t>
  </si>
  <si>
    <t>ห้องแบตเตอรี่</t>
  </si>
  <si>
    <t>Pending</t>
  </si>
  <si>
    <t>ชื่อห้องเดิมคือ ห้องไฟฟ้า เพิ่ม Access Switch Type 2) จาก TOR 1 ตัว</t>
  </si>
  <si>
    <t>Link Dark Fiber HQ to ELECTRIC Crack)</t>
  </si>
  <si>
    <t>เพิ่มเติม</t>
  </si>
  <si>
    <t xml:space="preserve">สำนักงานวิศวกรรม </t>
  </si>
  <si>
    <t>นำมาจาก อาคาร สงวท. ห้องไฟฟ้า</t>
  </si>
  <si>
    <t>ฝ่ายพัสดุ (ที่ต้องตั้ง Rack ของเดิมยึดกับ Patition)</t>
  </si>
  <si>
    <t>%Progress</t>
  </si>
  <si>
    <t>เฉพาะ Access SW.  170 ชุด</t>
  </si>
  <si>
    <t>จำนวน</t>
  </si>
  <si>
    <t>Replace</t>
  </si>
  <si>
    <t>New Inst.</t>
  </si>
  <si>
    <t>New Cabling</t>
  </si>
  <si>
    <t xml:space="preserve">Migration Plan	</t>
  </si>
  <si>
    <t>ห้องประกวดราคา 115</t>
  </si>
  <si>
    <t>Done</t>
  </si>
  <si>
    <t>สำนักงานฝ่ายพัสดุ</t>
  </si>
  <si>
    <t>ส่วนสัญญาและตรวจรับพัสดุ</t>
  </si>
  <si>
    <t>ธุรการ ฝ่ายอำนวยการกลาง</t>
  </si>
  <si>
    <t>ศูนย์รับ-ส่งหนังสือภายใน ทอท.</t>
  </si>
  <si>
    <t>โถงทางเดินทางไปลิฟท์</t>
  </si>
  <si>
    <t>ห้องควบคุมระบบไฟฟ้า</t>
  </si>
  <si>
    <t>ฝ่ายการเงิน (กองการเงิน)</t>
  </si>
  <si>
    <t>ฝ่ายการเงิน (กองการบัญชี)</t>
  </si>
  <si>
    <t>ฝ่ายอำนวยการกลาง สำนักงานบัญชีพัสดุ</t>
  </si>
  <si>
    <t>ฝ่ายอำนวยการกลาง งานบริหารทั่วไป</t>
  </si>
  <si>
    <t>ฝ่ายอำนวยการกลาง ส่วนสนับสนุนผู้บริหาร</t>
  </si>
  <si>
    <t>ห้องประชุม ทอท.5</t>
  </si>
  <si>
    <t>ฝ่ายสื่อสารองค์กร</t>
  </si>
  <si>
    <t>สำนักงานตรวจเงินแผ่นดิน</t>
  </si>
  <si>
    <t>รองผู้อำนวยการฝ่ายบัญชี</t>
  </si>
  <si>
    <t>ฝ่ายบัญชี (งานการเงิน)</t>
  </si>
  <si>
    <t>ฝ่ายบัญชี (งานบริหารทั่วไป)</t>
  </si>
  <si>
    <t xml:space="preserve">โถงหน้าลิฟต์ </t>
  </si>
  <si>
    <t>ฝ่ายบัญชี (งานบัญชีลูกหนี้)</t>
  </si>
  <si>
    <t>โถงทางเดินเชื่อม</t>
  </si>
  <si>
    <t>หน้าห้องผู้อำนวยการฝ่าย</t>
  </si>
  <si>
    <t>หน้าห้องผู้อำนวยการฝ่ายพัสดุ</t>
  </si>
  <si>
    <t>ฝ่ายกำกับกฎระเบียบองค์กรและป้องกันการทุจริต</t>
  </si>
  <si>
    <t>ห้องฝึกอบรม 1 (ส่วนพัฒนาดิจิทัลองค์กร)</t>
  </si>
  <si>
    <t>หน้าห้องฝึกอบรม 1 (ส่วนพัฒนาดิจิทัลองค์กร)</t>
  </si>
  <si>
    <t>โถงทางเดินหน้าลิฟต์</t>
  </si>
  <si>
    <t>โถงทางเดิน หน้าห้องถ่ายบัตรพนักงาน</t>
  </si>
  <si>
    <t>สำนักงาน ฝ่ายพัฒนาทรัพยากรบุคคล</t>
  </si>
  <si>
    <t>ห้องประชุมใหญ่ ทอท. (AOT AUDITORIUM)</t>
  </si>
  <si>
    <t>โถงทางเดิน สำนักตรวจสอบ</t>
  </si>
  <si>
    <t>สำนักงาน ฝ่ายกลยุทธองค์กร / ฝ่ายงบประมาณ</t>
  </si>
  <si>
    <t>โถงหน้าลิฟต์</t>
  </si>
  <si>
    <t>สำนักงานเลขานุการบริษัท (งานบริหารทั่วไป)</t>
  </si>
  <si>
    <t>ส่วนกิจกรรมเชิงพาณิชย์</t>
  </si>
  <si>
    <t>ส่วนบริหารธุรกิจ</t>
  </si>
  <si>
    <t>แผนกกลยุทธ์ธุรกิจ</t>
  </si>
  <si>
    <t>ส่วนพัฒนาธุรกิจและการตลาด</t>
  </si>
  <si>
    <t>หน้าห้องผู้ชำนาญการ</t>
  </si>
  <si>
    <t>สำนักงานฝ่ายนิติกรรมสัญญา</t>
  </si>
  <si>
    <t>สำนักงานฝ่ายนิติการ</t>
  </si>
  <si>
    <t>สำนักงานเลขานุการบริษัท</t>
  </si>
  <si>
    <t>ห้องประชุมกิจการ</t>
  </si>
  <si>
    <t>ห้องประชุม Telepresence สำนักงานใหญ่ ทอท.</t>
  </si>
  <si>
    <t>ผู้ช่วยกรรมการผู้อำนวยการใหญ่</t>
  </si>
  <si>
    <t>ผู้อำนวยการสำนักงานวิศวกรรมโครงการ</t>
  </si>
  <si>
    <t>รองกรรมการผู้อำนวยการใหญ่ (สายงานท่าอากาศยานภูมิภาค)</t>
  </si>
  <si>
    <t>ผู้ช่วยกรรมการผู้อำนวยการใหญ่ (สายงานท่าอากาศยานภูมิภาค)</t>
  </si>
  <si>
    <t>รองกรรมการผู้อำนวยการใหญ่ (สายงานพัฒนาธุรกิจและการตลาด)</t>
  </si>
  <si>
    <t>รองกรรมการผู้อำนวยการใหญ่ (สายงานทรัพยากรบุคคลและอำนวยการ)</t>
  </si>
  <si>
    <t>รองกรรมการผู้อำนวยการใหญ่ (สายงานวิศวกรรมและการก่อสร้าง)</t>
  </si>
  <si>
    <t>รองกรรมการผู้อำนวยการใหญ่ (สายงานบัญชีและการเงิน)</t>
  </si>
  <si>
    <t>ผู้ช่วยกรรมการผู้อำนวยการใหญ่ (สายกฎหมาย)</t>
  </si>
  <si>
    <t>รองกรรมการผู้อำนวยการใหญ่ (สายงานยุทธศาสตร์)</t>
  </si>
  <si>
    <t>ผู้ช่วยกรรมการผู้อำนวยการใหญ่ (สายงานบัญชีและการเงิน)</t>
  </si>
  <si>
    <t>ผู้ช่วยกรรมการผู้อำนวยการใหญ่ (สายงานพัฒนาธุรกิจ)</t>
  </si>
  <si>
    <t>ห้องสำนักงาน ส่วนธุรการ</t>
  </si>
  <si>
    <t>คณะทำงาน กอญ.</t>
  </si>
  <si>
    <t>กรรมการผู้อำนวยการใหญ่</t>
  </si>
  <si>
    <t>ห้องประชุมกรรมการ</t>
  </si>
  <si>
    <t>โถงหน้าห้องประชุมกรรมการ</t>
  </si>
  <si>
    <t>ห้องรับรอง</t>
  </si>
  <si>
    <t>ห้องรับรอง / ประชุม</t>
  </si>
  <si>
    <t>ประธานกรรมการ</t>
  </si>
  <si>
    <t>อาคารวิศวกรรมศาสตร์และเทคโนโลยีสารสนเทศ</t>
  </si>
  <si>
    <t>สำนักงาน ฝ่ายพัฒนาดิจิทัลโซลูชั่น</t>
  </si>
  <si>
    <t>ส่วนแผนและมาตรฐานสู่ความยั่งยืน ฝ่ายกิจการเพื่อสังคม</t>
  </si>
  <si>
    <t>สำนักงาน ฝ่ายกิจการต่างประเทศ สายงานยุทธศาสตร์</t>
  </si>
  <si>
    <t>บริเวณเคาน์เตอร์แลกบัตร หน้าประตูทางเข้า</t>
  </si>
  <si>
    <t>หน้าห้อง ผู้อำนวยการฝ่ายกิจการเพื่อสังคม</t>
  </si>
  <si>
    <t>หน้าห้อง ฝ่ายพัฒนาดิจิทัลโซลูชั่น</t>
  </si>
  <si>
    <t>ห้องประชุม ฝพช.</t>
  </si>
  <si>
    <t>สำนักงาน ฝ่ายระบบคอมพิวเตอร์และเครือข่าย</t>
  </si>
  <si>
    <t>ห้องประชุม ฝ่ายระบบคอมพิวเตอร์และเครือข่าย</t>
  </si>
  <si>
    <t xml:space="preserve">Data Center </t>
  </si>
  <si>
    <t>สำนักงาน ฝ่ายกลยุทธ์นวัตกรรม</t>
  </si>
  <si>
    <t>ห้องประชุม นวัตกรรม</t>
  </si>
  <si>
    <t>หน้าห้อง ผอ.ส่วนปฏิบัติการนวัตกรรม</t>
  </si>
  <si>
    <t>สำนักงาน ฝ่ายกลยุทธ์นวัตกรรม บริเวณโต๊ะกินข้าว</t>
  </si>
  <si>
    <t>ห้องประชุม</t>
  </si>
  <si>
    <t>ห้องรองกรรมการผู้อำนวยการใหญ่ (สายงานเทคโนโลยีดิจิทัลและการสื่อสาร)</t>
  </si>
  <si>
    <t>สำนักงาน ฝ่ายกลยุทธ์เทคโนโลยีสารสนเทศและการสื่อสาร</t>
  </si>
  <si>
    <t>อาคารสำนักแพทย์</t>
  </si>
  <si>
    <t>อาคารสโมสรท่าอากาศยานและสันทนาการ</t>
  </si>
  <si>
    <t>สิ่งแวดล้อม</t>
  </si>
  <si>
    <t>โรงอาหาร</t>
  </si>
  <si>
    <t>ห้องสมุด</t>
  </si>
  <si>
    <t>โถงทางเดิน</t>
  </si>
  <si>
    <t>จัดเลี้ยง</t>
  </si>
  <si>
    <t>หน้าห้องออกกำลังกาย</t>
  </si>
  <si>
    <t>ห้องออกกำลังกาย</t>
  </si>
  <si>
    <t>ห้องนอนเวร จนท.ไฟฟ้า</t>
  </si>
  <si>
    <t>หน้าห้องกีฬาอเนกประสงค์ 2</t>
  </si>
  <si>
    <t>กีฬาอเนกประสงค์ 2</t>
  </si>
  <si>
    <t>สำนักงานกองอาคาร</t>
  </si>
  <si>
    <t>สำนักงานกองสถานที่</t>
  </si>
  <si>
    <t>สำนักงานบำบัดน้ำเสีย</t>
  </si>
  <si>
    <t>สำนักงานกองประปา</t>
  </si>
  <si>
    <t xml:space="preserve"> อาคารจอดรถ ชั้น 2</t>
  </si>
  <si>
    <t>อาคารจอดรถ ชั้น 2</t>
  </si>
  <si>
    <t>ย้ายมากจาก อาคารคลังพัสดุสำนักงานคลังพัสดุ</t>
  </si>
  <si>
    <t>Summary :</t>
  </si>
  <si>
    <t>% Progress :</t>
  </si>
  <si>
    <t>Node</t>
  </si>
  <si>
    <t>ชื่อห้อง</t>
  </si>
  <si>
    <t>ชื่อ Rack</t>
  </si>
  <si>
    <t>ติดตั้ง PDU 6 ช่อง</t>
  </si>
  <si>
    <t>ติดตั้ง PDU 8 ช่อง</t>
  </si>
  <si>
    <t>ติดตั้ง PDU 10 ช่อง</t>
  </si>
  <si>
    <t>ติดตั้ง PDU 12 ช่อง</t>
  </si>
  <si>
    <t>ติดตั้ง CB</t>
  </si>
  <si>
    <t>ใช้ Temp. PDU</t>
  </si>
  <si>
    <t>เปลี่ยนเต้ารับผนัง 2 ช่อง</t>
  </si>
  <si>
    <t>ตัดต่อปลั๊กใหม่</t>
  </si>
  <si>
    <t>ตั้งตู้ Rack ใหม่</t>
  </si>
  <si>
    <t>Pregress</t>
  </si>
  <si>
    <t> 1</t>
  </si>
  <si>
    <t>27U  , IT1 (27U)</t>
  </si>
  <si>
    <r>
      <rPr>
        <b/>
        <sz val="14"/>
        <color rgb="FFFF0000"/>
        <rFont val="TH SarabunPSK"/>
        <family val="2"/>
      </rPr>
      <t xml:space="preserve">ชั้น 2 </t>
    </r>
    <r>
      <rPr>
        <b/>
        <strike/>
        <sz val="14"/>
        <color rgb="FFFF0000"/>
        <rFont val="TH SarabunPSK"/>
        <family val="2"/>
      </rPr>
      <t>ห้องฝ่ายระบบคอมพิวเตอร์และเครือข่าย</t>
    </r>
    <r>
      <rPr>
        <b/>
        <sz val="14"/>
        <color rgb="FFFF0000"/>
        <rFont val="TH SarabunPSK"/>
        <family val="2"/>
      </rPr>
      <t xml:space="preserve">  ห้องเก็บของ</t>
    </r>
  </si>
  <si>
    <r>
      <rPr>
        <b/>
        <strike/>
        <sz val="14"/>
        <color rgb="FFFF0000"/>
        <rFont val="TH SarabunPSK"/>
        <family val="2"/>
      </rPr>
      <t>ห้องข้างๆ ลิฟ ชั้น 4</t>
    </r>
    <r>
      <rPr>
        <b/>
        <sz val="14"/>
        <color rgb="FFFF0000"/>
        <rFont val="TH SarabunPSK"/>
        <family val="2"/>
      </rPr>
      <t xml:space="preserve">    ห้องไฟฟ้า ชั้น 4</t>
    </r>
  </si>
  <si>
    <r>
      <rPr>
        <b/>
        <strike/>
        <sz val="14"/>
        <color rgb="FFFF0000"/>
        <rFont val="TH SarabunPSK"/>
        <family val="2"/>
      </rPr>
      <t>ชั้น 1 ห้องเก็บของ ตรงข้ามห้องพักเจ้าหน้าที่ปรับอากาศ</t>
    </r>
    <r>
      <rPr>
        <b/>
        <sz val="14"/>
        <color rgb="FFFF0000"/>
        <rFont val="TH SarabunPSK"/>
        <family val="2"/>
      </rPr>
      <t xml:space="preserve">      ชั้น 1 ห้องเก็บของ สกหม.</t>
    </r>
  </si>
  <si>
    <r>
      <rPr>
        <b/>
        <strike/>
        <sz val="14"/>
        <color rgb="FFFF0000"/>
        <rFont val="TH SarabunPSK"/>
        <family val="2"/>
      </rPr>
      <t>HQ-AHU-203</t>
    </r>
    <r>
      <rPr>
        <b/>
        <sz val="14"/>
        <color rgb="FFFF0000"/>
        <rFont val="TH SarabunPSK"/>
        <family val="2"/>
      </rPr>
      <t xml:space="preserve">      ชั้น 2 ห้องไฟฟ้า </t>
    </r>
  </si>
  <si>
    <r>
      <rPr>
        <b/>
        <strike/>
        <sz val="14"/>
        <color rgb="FFFF0000"/>
        <rFont val="TH SarabunPSK"/>
        <family val="2"/>
      </rPr>
      <t>HQ-AHU-302</t>
    </r>
    <r>
      <rPr>
        <b/>
        <sz val="14"/>
        <color rgb="FFFF0000"/>
        <rFont val="TH SarabunPSK"/>
        <family val="2"/>
      </rPr>
      <t xml:space="preserve">      ชั้น 3 ห้องไฟฟ้า</t>
    </r>
  </si>
  <si>
    <r>
      <rPr>
        <b/>
        <strike/>
        <sz val="14"/>
        <color rgb="FFFF0000"/>
        <rFont val="TH SarabunPSK"/>
        <family val="2"/>
      </rPr>
      <t>HQ-AHU-127</t>
    </r>
    <r>
      <rPr>
        <b/>
        <sz val="14"/>
        <color rgb="FFFF0000"/>
        <rFont val="TH SarabunPSK"/>
        <family val="2"/>
      </rPr>
      <t xml:space="preserve">     ชั้น 1 ห้องไฟฟ้า </t>
    </r>
  </si>
  <si>
    <t xml:space="preserve">สำนักงานเลขานุการบริษัทฝ่ายป้องกันอุบัติภัยและอาชีวอนามัย </t>
  </si>
  <si>
    <r>
      <rPr>
        <b/>
        <strike/>
        <sz val="14"/>
        <color rgb="FFFF0000"/>
        <rFont val="TH SarabunPSK"/>
        <family val="2"/>
      </rPr>
      <t>ศูนย์รับ-ส่งหนังสือภายใน ทอท</t>
    </r>
    <r>
      <rPr>
        <b/>
        <sz val="14"/>
        <color rgb="FFFF0000"/>
        <rFont val="TH SarabunPSK"/>
        <family val="2"/>
      </rPr>
      <t>.    ห้องฝ่ายอำนวยการกลาง</t>
    </r>
  </si>
  <si>
    <r>
      <rPr>
        <b/>
        <strike/>
        <sz val="14"/>
        <color rgb="FFFF0000"/>
        <rFont val="TH SarabunPSK"/>
        <family val="2"/>
      </rPr>
      <t>ห้องควบคุมไฟฟ้า ชั้น 7</t>
    </r>
    <r>
      <rPr>
        <b/>
        <sz val="14"/>
        <color rgb="FFFF0000"/>
        <rFont val="TH SarabunPSK"/>
        <family val="2"/>
      </rPr>
      <t xml:space="preserve">    ชั้น 7 ห้องไฟฟ้า</t>
    </r>
  </si>
  <si>
    <r>
      <rPr>
        <b/>
        <strike/>
        <sz val="14"/>
        <color rgb="FFFF0000"/>
        <rFont val="TH SarabunPSK"/>
        <family val="2"/>
      </rPr>
      <t xml:space="preserve">ห้องไฟฟ้า </t>
    </r>
    <r>
      <rPr>
        <b/>
        <sz val="14"/>
        <color rgb="FFFF0000"/>
        <rFont val="TH SarabunPSK"/>
        <family val="2"/>
      </rPr>
      <t xml:space="preserve">   ห้อง AHU</t>
    </r>
  </si>
  <si>
    <r>
      <rPr>
        <b/>
        <strike/>
        <sz val="14"/>
        <color rgb="FFFF0000"/>
        <rFont val="TH SarabunPSK"/>
        <family val="2"/>
      </rPr>
      <t xml:space="preserve">ห้องสมุด </t>
    </r>
    <r>
      <rPr>
        <b/>
        <sz val="14"/>
        <color rgb="FFFF0000"/>
        <rFont val="TH SarabunPSK"/>
        <family val="2"/>
      </rPr>
      <t xml:space="preserve"> ห้องสมุดและศูนย์ข้อมูลข่าวสาร  ทอท.</t>
    </r>
  </si>
  <si>
    <r>
      <rPr>
        <b/>
        <strike/>
        <sz val="14"/>
        <color rgb="FFFF0000"/>
        <rFont val="TH SarabunPSK"/>
        <family val="2"/>
      </rPr>
      <t>ห้องตรงอาคารจอดรถเสา 2F</t>
    </r>
    <r>
      <rPr>
        <b/>
        <sz val="14"/>
        <color rgb="FFFF0000"/>
        <rFont val="TH SarabunPSK"/>
        <family val="2"/>
      </rPr>
      <t xml:space="preserve">   ห้องสื่อสาร</t>
    </r>
  </si>
  <si>
    <r>
      <rPr>
        <b/>
        <strike/>
        <sz val="14"/>
        <color rgb="FFFF0000"/>
        <rFont val="TH SarabunPSK"/>
        <family val="2"/>
      </rPr>
      <t>สำนักแพทย์</t>
    </r>
    <r>
      <rPr>
        <b/>
        <sz val="14"/>
        <color rgb="FFFF0000"/>
        <rFont val="TH SarabunPSK"/>
        <family val="2"/>
      </rPr>
      <t xml:space="preserve"> ห้องตรวจ 2</t>
    </r>
  </si>
  <si>
    <r>
      <rPr>
        <b/>
        <strike/>
        <sz val="14"/>
        <color rgb="FFFF0000"/>
        <rFont val="TH SarabunPSK"/>
        <family val="2"/>
      </rPr>
      <t>สำนักงาน</t>
    </r>
    <r>
      <rPr>
        <b/>
        <sz val="14"/>
        <color rgb="FFFF0000"/>
        <rFont val="TH SarabunPSK"/>
        <family val="2"/>
      </rPr>
      <t xml:space="preserve"> ห้องธุรการ</t>
    </r>
  </si>
  <si>
    <r>
      <rPr>
        <b/>
        <strike/>
        <sz val="14"/>
        <color rgb="FFFF0000"/>
        <rFont val="TH SarabunPSK"/>
        <family val="2"/>
      </rPr>
      <t>ห้อง SIS</t>
    </r>
    <r>
      <rPr>
        <b/>
        <sz val="14"/>
        <color rgb="FFFF0000"/>
        <rFont val="TH SarabunPSK"/>
        <family val="2"/>
      </rPr>
      <t xml:space="preserve">   ห้องเก็บของ</t>
    </r>
  </si>
  <si>
    <r>
      <rPr>
        <b/>
        <strike/>
        <sz val="14"/>
        <color rgb="FFFF0000"/>
        <rFont val="TH SarabunPSK"/>
        <family val="2"/>
      </rPr>
      <t>ห้องกีฬาอเนกประสงค์ 2</t>
    </r>
    <r>
      <rPr>
        <b/>
        <sz val="14"/>
        <color rgb="FFFF0000"/>
        <rFont val="TH SarabunPSK"/>
        <family val="2"/>
      </rPr>
      <t xml:space="preserve">    ห้องสำนักงานสมาคมสโมสรท่าอากาศยาน</t>
    </r>
  </si>
  <si>
    <r>
      <rPr>
        <b/>
        <strike/>
        <sz val="14"/>
        <color rgb="FFFF0000"/>
        <rFont val="TH SarabunPSK"/>
        <family val="2"/>
      </rPr>
      <t>ห้องไฟฟ้า</t>
    </r>
    <r>
      <rPr>
        <b/>
        <sz val="14"/>
        <color rgb="FFFF0000"/>
        <rFont val="TH SarabunPSK"/>
        <family val="2"/>
      </rPr>
      <t xml:space="preserve">   ห้องแบตเตอรี่</t>
    </r>
  </si>
  <si>
    <t>สรุปจำนวน</t>
  </si>
  <si>
    <t>สรุปแผนความก้าวหน้ารายสัปดาห์ - สนญ. (HQ)</t>
  </si>
  <si>
    <t>แผนการติดตั้งและ Migration เปรียบเทียบแผนกับผลจริง (เป้าหมาย 100%) | สูตรดึงข้อมูลอัตโนมัติจาก sheet HQ</t>
  </si>
  <si>
    <t>รายการ</t>
  </si>
  <si>
    <t>W.1
(2/2-8/2)</t>
  </si>
  <si>
    <t>W.2
(9/2-15/2)</t>
  </si>
  <si>
    <t>W.3
(16/2-22/2)</t>
  </si>
  <si>
    <t>W.4
(23/2-1/3)</t>
  </si>
  <si>
    <t>W.5
(2/3-8/3)</t>
  </si>
  <si>
    <t>W.6
(9/3-15/3)</t>
  </si>
  <si>
    <t>W.7
(16/3-22/3)</t>
  </si>
  <si>
    <t>W.8
(23/3-29/3)</t>
  </si>
  <si>
    <t>W.9
(30/3-5/4)</t>
  </si>
  <si>
    <t>W.10
(6/4-12/4)</t>
  </si>
  <si>
    <t>W.11
(13/4-19/4)</t>
  </si>
  <si>
    <t>W.12
(20/4-26/4)</t>
  </si>
  <si>
    <t>W.13
(27/4-3/5)</t>
  </si>
  <si>
    <t>W.14
(4/5-10/5)</t>
  </si>
  <si>
    <t>รวมทั้งหมด</t>
  </si>
  <si>
    <t>▌ จำนวนอุปกรณ์ที่วางแผนติดตั้ง-Migration (เครื่อง)</t>
  </si>
  <si>
    <t>จำนวนอุปกรณ์ตามแผน (เครื่อง)</t>
  </si>
  <si>
    <t>% แผนรายสัปดาห์ (ของยอดรวม)</t>
  </si>
  <si>
    <t>▌ Configuration</t>
  </si>
  <si>
    <t>แผน (เครื่อง)</t>
  </si>
  <si>
    <t>ผลจริง (เครื่อง)</t>
  </si>
  <si>
    <t>% ความก้าวหน้า Configuration</t>
  </si>
  <si>
    <t>▌ Installation</t>
  </si>
  <si>
    <t>% ความก้าวหน้า Installation</t>
  </si>
  <si>
    <t>▌ Migration</t>
  </si>
  <si>
    <t>มากกว่าแผน (เครื่อง)</t>
  </si>
  <si>
    <t>ต่ำกว่าแผน (เครื่อง)</t>
  </si>
  <si>
    <t>% ความก้าวหน้า Migration</t>
  </si>
  <si>
    <t>▌ สรุปภาพรวมและความก้าวหน้าสะสม</t>
  </si>
  <si>
    <t>% ความก้าวหน้าโดยรวม (รายสัปดาห์)</t>
  </si>
  <si>
    <t>จำนวนอุปกรณ์สะสมตามแผน (เครื่อง)</t>
  </si>
  <si>
    <t>จำนวนที่เสร็จสิ้นสะสม - ผลจริง (เครื่อง)</t>
  </si>
  <si>
    <t>% สะสมผลจริงเทียบเป้าหมายรวม</t>
  </si>
  <si>
    <t>% สะสมตามแผนเทียบเป้าหมายรวม</t>
  </si>
  <si>
    <t>หมายเหตุ: ทุกตัวเลขคำนวณอัตโนมัติจาก sheet HQ | col G = จำนวนอุปกรณ์ใหม่ | col P = วันที่เริ่ม (Helper) | col K/L/M = Config/Install/Migration ผลจริง</t>
  </si>
  <si>
    <t>สรุปแผนความก้าวหน้ารายวัน - สนญ. (HQ)</t>
  </si>
  <si>
    <t>ช่วงวันที่ 3 ก.พ. – 9 มี.ค. 69 | แสดงทุกวัน (วันที่ไม่มีแผน = 0) | สูตรดึงข้อมูลอัตโนมัติจาก sheet HQ</t>
  </si>
  <si>
    <t>% แผนรายวัน (ของยอดรวม)</t>
  </si>
  <si>
    <t>% ความก้าวหน้าโดยรวมรายวัน</t>
  </si>
  <si>
    <t>หมายเหตุ: วันเสาร์-อาทิตย์ = header สีเทา | วันที่ไม่มีแผนงาน = 0 | สูตรดึงข้อมูลอัตโนมัติจาก HQ col G (จำนวน), col P (วันที่), col K/L/M (ผลจริง)</t>
  </si>
  <si>
    <t>กราฟแสดงความก้าวหน้ารายสัปดาห์ - แผน vs ผลจริง</t>
  </si>
  <si>
    <t>ดึงข้อมูลอัตโนมัติจาก sheet รายสัปดาห์ | อัปเดตเมื่อแก้ไขข้อมูลใน HQ</t>
  </si>
  <si>
    <t>Config จริง (เครื่อง)</t>
  </si>
  <si>
    <t>Install จริง (เครื่อง)</t>
  </si>
  <si>
    <t>Migration จริง (เครื่อง)</t>
  </si>
  <si>
    <t>Migration สะสมจริง (เครื่อง)</t>
  </si>
  <si>
    <t>% โดยรวม (จริง)</t>
  </si>
  <si>
    <t>% สะสมตามแผน</t>
  </si>
  <si>
    <t>% สะสมจริง</t>
  </si>
  <si>
    <t>% Config (จริง/แผน)</t>
  </si>
  <si>
    <t>% Install (จริง/แผน)</t>
  </si>
  <si>
    <t>% Migration (จริง/แผน)</t>
  </si>
  <si>
    <t xml:space="preserve"> </t>
  </si>
  <si>
    <t>กราฟแสดงความก้าวหน้ารายวัน - แผน vs ผลจริง</t>
  </si>
  <si>
    <t>ช่วงวันที่ 3 ก.พ. – 9 มี.ค. 69 | ดึงข้อมูลอัตโนมัติจาก sheet รายวัน</t>
  </si>
  <si>
    <t>วันที่</t>
  </si>
  <si>
    <t>Fabric</t>
  </si>
  <si>
    <t>Location</t>
  </si>
  <si>
    <t>Room</t>
  </si>
  <si>
    <t>Device Type</t>
  </si>
  <si>
    <t>Qty</t>
  </si>
  <si>
    <t>Qty. Success</t>
  </si>
  <si>
    <t>Scheduled Date</t>
  </si>
  <si>
    <t>Remark</t>
  </si>
  <si>
    <t>วันที่เริ่ม
(Helper)</t>
  </si>
  <si>
    <t>D1-041</t>
  </si>
  <si>
    <t>อาคารสำนักงานท่าอากาศยานสุวรรณภูมิ</t>
  </si>
  <si>
    <t>Access Point</t>
  </si>
  <si>
    <t>On Plan</t>
  </si>
  <si>
    <t>101ELE</t>
  </si>
  <si>
    <t>Access Switch Type 3</t>
  </si>
  <si>
    <t>Success</t>
  </si>
  <si>
    <t>104LAN Air-Condition</t>
  </si>
  <si>
    <t>Access Switch Type 2</t>
  </si>
  <si>
    <t>104LAN Server Room</t>
  </si>
  <si>
    <t>Aggregation Switch Type 1</t>
  </si>
  <si>
    <t>105 Computer-Security Department</t>
  </si>
  <si>
    <t>Access Switch Type 1</t>
  </si>
  <si>
    <t>Access Switch Type 4</t>
  </si>
  <si>
    <t>201ELE</t>
  </si>
  <si>
    <t>202ELE</t>
  </si>
  <si>
    <t>204COM Room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</si>
  <si>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แยกรายการมาจาก </t>
    </r>
    <r>
      <rPr>
        <sz val="11"/>
        <color rgb="FFFF0000"/>
        <rFont val="Calibri"/>
        <family val="2"/>
        <charset val="1"/>
      </rPr>
      <t xml:space="preserve">Access Point </t>
    </r>
    <r>
      <rPr>
        <sz val="11"/>
        <color rgb="FFFF0000"/>
        <rFont val="DejaVu Sans"/>
        <family val="2"/>
      </rPr>
      <t>หลัก</t>
    </r>
  </si>
  <si>
    <t>301ELE</t>
  </si>
  <si>
    <t>302ELE</t>
  </si>
  <si>
    <t>304COM Room</t>
  </si>
  <si>
    <t>401ELE</t>
  </si>
  <si>
    <t>402ELE</t>
  </si>
  <si>
    <t>406COM Room</t>
  </si>
  <si>
    <t>500COM Room</t>
  </si>
  <si>
    <t>501ELE</t>
  </si>
  <si>
    <t>502ELE</t>
  </si>
  <si>
    <t>603FAN</t>
  </si>
  <si>
    <t>603FAN2</t>
  </si>
  <si>
    <t>Canteen</t>
  </si>
  <si>
    <t>Corridor</t>
  </si>
  <si>
    <t>AOB3 Coridor Casecade via 302ELE</t>
  </si>
  <si>
    <t>Unknown Room (APM)</t>
  </si>
  <si>
    <t>*Change to Access Switch Type 4</t>
  </si>
  <si>
    <t>Room APM Casecade via 402ELE</t>
  </si>
  <si>
    <t>งานบริการยานพาหนะ</t>
  </si>
  <si>
    <t>Hold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</si>
  <si>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หน้างานติดตั้งไม่ได้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</si>
  <si>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ฝ่ายบริหารทรัพย์สิน</t>
  </si>
  <si>
    <t>Casecade via 302ELE</t>
  </si>
  <si>
    <r>
      <rPr>
        <sz val="11"/>
        <color theme="1"/>
        <rFont val="DejaVu Sans"/>
        <family val="2"/>
      </rPr>
      <t>สปค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</si>
  <si>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พี่เน็ท</t>
    </r>
    <r>
      <rPr>
        <sz val="11"/>
        <color rgb="FFFF0000"/>
        <rFont val="Calibri"/>
        <family val="2"/>
        <charset val="1"/>
      </rPr>
      <t>)</t>
    </r>
  </si>
  <si>
    <t>Casecade via 402ELE</t>
  </si>
  <si>
    <t>ห้องส่วนระบบสื่อสาร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</si>
  <si>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</t>
    </r>
    <r>
      <rPr>
        <sz val="11"/>
        <color rgb="FFFF0000"/>
        <rFont val="Calibri"/>
        <family val="2"/>
        <charset val="1"/>
      </rPr>
      <t xml:space="preserve">(Stack) </t>
    </r>
    <r>
      <rPr>
        <sz val="11"/>
        <color rgb="FFFF0000"/>
        <rFont val="DejaVu Sans"/>
        <family val="2"/>
      </rPr>
      <t xml:space="preserve">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</si>
  <si>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ห้องส่วนระบบเครือข่าย</t>
  </si>
  <si>
    <t>Concourse D</t>
  </si>
  <si>
    <t>D1-007</t>
  </si>
  <si>
    <t>Aggregation Switch Type 3</t>
  </si>
  <si>
    <t>D1-012</t>
  </si>
  <si>
    <t>Aggregation Switch Type 2</t>
  </si>
  <si>
    <t>D1-017</t>
  </si>
  <si>
    <t>D1-025</t>
  </si>
  <si>
    <t>D1-030</t>
  </si>
  <si>
    <t>D1-035</t>
  </si>
  <si>
    <t>Core Switch Type 1</t>
  </si>
  <si>
    <t>Distribute Switch Type 1</t>
  </si>
  <si>
    <t>Extranet Switch Type 1</t>
  </si>
  <si>
    <t>Next Gen Firewall Type 2</t>
  </si>
  <si>
    <t>Wireless Controller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</si>
  <si>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DC</t>
    </r>
  </si>
  <si>
    <t>D1-063</t>
  </si>
  <si>
    <t>D1-068</t>
  </si>
  <si>
    <t>D1-091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</si>
  <si>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D1-041</t>
    </r>
  </si>
  <si>
    <t>D2-006</t>
  </si>
  <si>
    <t>D2-017</t>
  </si>
  <si>
    <t>D2-026</t>
  </si>
  <si>
    <t>D2-035</t>
  </si>
  <si>
    <t>D2-046</t>
  </si>
  <si>
    <t>D2-060</t>
  </si>
  <si>
    <t>D2-069</t>
  </si>
  <si>
    <t>D2-082</t>
  </si>
  <si>
    <t>D2-094</t>
  </si>
  <si>
    <t>D2-105</t>
  </si>
  <si>
    <t>D3-012</t>
  </si>
  <si>
    <t>D3-031</t>
  </si>
  <si>
    <t>D4-009</t>
  </si>
  <si>
    <t>D4-065</t>
  </si>
  <si>
    <t>D4-074</t>
  </si>
  <si>
    <t>D4-075</t>
  </si>
  <si>
    <t>D4-081</t>
  </si>
  <si>
    <t>D4-082</t>
  </si>
  <si>
    <t>D4-083</t>
  </si>
  <si>
    <t>Concourse A</t>
  </si>
  <si>
    <t>A1-027</t>
  </si>
  <si>
    <t>A1-041</t>
  </si>
  <si>
    <t>A1-046</t>
  </si>
  <si>
    <t>A1-050</t>
  </si>
  <si>
    <t>A1-059</t>
  </si>
  <si>
    <t>A1-078</t>
  </si>
  <si>
    <t>A1-086</t>
  </si>
  <si>
    <t>A1-090</t>
  </si>
  <si>
    <t>A1-097</t>
  </si>
  <si>
    <t>A1-112</t>
  </si>
  <si>
    <t>A2-009</t>
  </si>
  <si>
    <t>BPDU</t>
  </si>
  <si>
    <t>A2-027</t>
  </si>
  <si>
    <t>A2-036</t>
  </si>
  <si>
    <t>A2-047</t>
  </si>
  <si>
    <t>A2-058</t>
  </si>
  <si>
    <t>A2-067</t>
  </si>
  <si>
    <t>A2-076</t>
  </si>
  <si>
    <t>A2-093</t>
  </si>
  <si>
    <t>A2-121</t>
  </si>
  <si>
    <t>A2-125</t>
  </si>
  <si>
    <t>A3-008</t>
  </si>
  <si>
    <t>A3-035</t>
  </si>
  <si>
    <t>A3-039</t>
  </si>
  <si>
    <t>A3-060</t>
  </si>
  <si>
    <t>A3-061</t>
  </si>
  <si>
    <t>A3-068</t>
  </si>
  <si>
    <t>A3-072</t>
  </si>
  <si>
    <t>A4-007</t>
  </si>
  <si>
    <t>A4-036</t>
  </si>
  <si>
    <t>A4-041</t>
  </si>
  <si>
    <t>A4-075</t>
  </si>
  <si>
    <t>A4-079</t>
  </si>
  <si>
    <t>A4-091</t>
  </si>
  <si>
    <t>AIMS</t>
  </si>
  <si>
    <t>AOCC Room</t>
  </si>
  <si>
    <t>BTL Room</t>
  </si>
  <si>
    <t>CCC Room</t>
  </si>
  <si>
    <t>Data Center</t>
  </si>
  <si>
    <t>Access Control Type 1</t>
  </si>
  <si>
    <t>Next Gen Firewall Type 1</t>
  </si>
  <si>
    <t>SDN Controller</t>
  </si>
  <si>
    <t>SDN Witness</t>
  </si>
  <si>
    <t>Emergency Operation Center</t>
  </si>
  <si>
    <t>SCC Room</t>
  </si>
  <si>
    <t>security and control system room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</si>
  <si>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scheme val="minor"/>
      </rPr>
      <t>Server</t>
    </r>
  </si>
  <si>
    <t>Concourse C</t>
  </si>
  <si>
    <t>C1-023</t>
  </si>
  <si>
    <t>C1-033</t>
  </si>
  <si>
    <t>C1-050</t>
  </si>
  <si>
    <t>C1-060</t>
  </si>
  <si>
    <t>C1-070</t>
  </si>
  <si>
    <t>C2-007</t>
  </si>
  <si>
    <t>C2-044</t>
  </si>
  <si>
    <t>C2-062</t>
  </si>
  <si>
    <t>C2-084</t>
  </si>
  <si>
    <t>C2-096</t>
  </si>
  <si>
    <t>C2-120</t>
  </si>
  <si>
    <t>C3-009</t>
  </si>
  <si>
    <t>C4-007</t>
  </si>
  <si>
    <t>Concourse B</t>
  </si>
  <si>
    <t>B1-024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</si>
  <si>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ยังไม่ได้ติด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</t>
    </r>
  </si>
  <si>
    <t>B1-039</t>
  </si>
  <si>
    <t>B1-049</t>
  </si>
  <si>
    <t>B2-010</t>
  </si>
  <si>
    <t>B2-031</t>
  </si>
  <si>
    <t>B2-062</t>
  </si>
  <si>
    <t>B2-071</t>
  </si>
  <si>
    <t>B3-008</t>
  </si>
  <si>
    <t>B4-003</t>
  </si>
  <si>
    <t>อาคารสถานีดับเพลิงและกู้ภัยฝั่งตะวันออก</t>
  </si>
  <si>
    <t>Communication Room</t>
  </si>
  <si>
    <t>Storage Room</t>
  </si>
  <si>
    <r>
      <rPr>
        <sz val="11"/>
        <color theme="1"/>
        <rFont val="DejaVu Sans"/>
        <family val="2"/>
      </rPr>
      <t xml:space="preserve">ริมบันได </t>
    </r>
    <r>
      <rPr>
        <sz val="11"/>
        <color theme="1"/>
        <rFont val="Calibri"/>
        <family val="2"/>
        <scheme val="minor"/>
      </rPr>
      <t>FL.2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</si>
  <si>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SBIA-NEWBULDING</t>
    </r>
  </si>
  <si>
    <t>Information Technology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</si>
  <si>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2</t>
    </r>
  </si>
  <si>
    <t>ระบบสื่อสาร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</si>
  <si>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3</t>
    </r>
  </si>
  <si>
    <t>Unknown Room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</si>
  <si>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PMC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</si>
  <si>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</si>
  <si>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4</t>
    </r>
  </si>
  <si>
    <t>ฝ่ายวิศวกรรมก่อสร้าง</t>
  </si>
  <si>
    <t>CtrlPost-4</t>
  </si>
  <si>
    <t>CtrlPost-3</t>
  </si>
  <si>
    <t>CtrlPost-2</t>
  </si>
  <si>
    <t>Power house 01R</t>
  </si>
  <si>
    <t>ห้องเครื่อง</t>
  </si>
  <si>
    <t>สำนักงานบริหารการก่อสร้าง อาคารวิศวกรรม</t>
  </si>
  <si>
    <t>ราชเทวะ</t>
  </si>
  <si>
    <t>อาคารโรงสูบน้ำฝั่งตะออก</t>
  </si>
  <si>
    <t>CFZ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</si>
  <si>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BFZ</t>
    </r>
  </si>
  <si>
    <t>(BF-Z) COMM. RM.</t>
  </si>
  <si>
    <t>(BF-Z) MDB COMM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</si>
  <si>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BFZ</t>
    </r>
  </si>
  <si>
    <t>BFZ FL.7</t>
  </si>
  <si>
    <t>BFZ-7</t>
  </si>
  <si>
    <t>CCTV ROOM</t>
  </si>
  <si>
    <t>Router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</si>
  <si>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BC-1</t>
    </r>
  </si>
  <si>
    <t>(BC-1) COMM.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</si>
  <si>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BC-1</t>
    </r>
  </si>
  <si>
    <t>BC-1 FL.1</t>
  </si>
  <si>
    <t>BC-1 FL.3</t>
  </si>
  <si>
    <t>E-IMPORT</t>
  </si>
  <si>
    <t>e - IMPORT</t>
  </si>
  <si>
    <t>งานสืบสวนและปราบปราม</t>
  </si>
  <si>
    <t>ผู้เชี่ยวชาญด้านเทคนิคการตรวจสอบสินค้า</t>
  </si>
  <si>
    <t>ฝ่ายคดี</t>
  </si>
  <si>
    <t>ฝ่ายทบทวนหลังการตรวจปล่อย</t>
  </si>
  <si>
    <t>ฝ่ายสืบสวนและปราบปราม</t>
  </si>
  <si>
    <t>ฝ่ายเอกสิทธิ์และส่งเสริมการลงทุน</t>
  </si>
  <si>
    <t>ส่วนบริการกลาง</t>
  </si>
  <si>
    <r>
      <rPr>
        <sz val="11"/>
        <color theme="1"/>
        <rFont val="DejaVu Sans"/>
        <family val="2"/>
      </rPr>
      <t>ส่วนบัญชีและอากร 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</si>
  <si>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S1</t>
    </r>
  </si>
  <si>
    <t>Core Node 7</t>
  </si>
  <si>
    <t>Distribute Switch Type 2</t>
  </si>
  <si>
    <t>S-1 FL.1</t>
  </si>
  <si>
    <t>S-1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</si>
  <si>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CI-1</t>
    </r>
  </si>
  <si>
    <t>(CE-1)EE</t>
  </si>
  <si>
    <t>CI 1-1</t>
  </si>
  <si>
    <t>CI-1 FL.1</t>
  </si>
  <si>
    <t>CI-1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</si>
  <si>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CE-1</t>
    </r>
  </si>
  <si>
    <t>CE 1-1</t>
  </si>
  <si>
    <t>CE-1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</si>
  <si>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CP-1</t>
    </r>
  </si>
  <si>
    <t>CP-1</t>
  </si>
  <si>
    <t>CP-1 FL.1</t>
  </si>
  <si>
    <r>
      <rPr>
        <sz val="11"/>
        <color theme="1"/>
        <rFont val="DejaVu Sans"/>
        <family val="2"/>
      </rPr>
      <t>ฝปป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สคศ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</si>
  <si>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ต้องดูเรื่องตู้ </t>
    </r>
    <r>
      <rPr>
        <sz val="11"/>
        <color rgb="FFFF0000"/>
        <rFont val="Calibri"/>
        <family val="2"/>
        <charset val="1"/>
      </rPr>
      <t xml:space="preserve">Wall Rack </t>
    </r>
    <r>
      <rPr>
        <sz val="11"/>
        <color rgb="FFFF0000"/>
        <rFont val="DejaVu Sans"/>
        <family val="2"/>
      </rPr>
      <t>ฝาตู้ปิดไม่ได้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</si>
  <si>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CT-1</t>
    </r>
  </si>
  <si>
    <t>SECURITY 1</t>
  </si>
  <si>
    <t>เจ้าหน้าที่ศุลกากรตรวจสินค้าขาเข้า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</si>
  <si>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WH-4</t>
    </r>
  </si>
  <si>
    <t>WH-4</t>
  </si>
  <si>
    <t>Power house 19R</t>
  </si>
  <si>
    <t>19R-FL.1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</si>
  <si>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Carpark-1</t>
    </r>
  </si>
  <si>
    <t>P1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</si>
  <si>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AS Type 4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</si>
  <si>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DS Type 3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</si>
  <si>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BC-2</t>
    </r>
  </si>
  <si>
    <t>BC-2 FL.1</t>
  </si>
  <si>
    <t>BC-2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</si>
  <si>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1</t>
    </r>
  </si>
  <si>
    <t>GH-1 FL.1</t>
  </si>
  <si>
    <t>BFS-Cargo</t>
  </si>
  <si>
    <t>Server Room</t>
  </si>
  <si>
    <t>Airmail</t>
  </si>
  <si>
    <t>High Voltage Electrical Room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</si>
  <si>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BFS Cargo Terminal</t>
    </r>
  </si>
  <si>
    <t>CT2</t>
  </si>
  <si>
    <t>TGA</t>
  </si>
  <si>
    <t>Network &amp; PABX Room</t>
  </si>
  <si>
    <t>FZ Service Center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</si>
  <si>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รายการนี้ไม่มีห้องอยู่จริง จะย้ายไปติดที่ </t>
    </r>
    <r>
      <rPr>
        <sz val="11"/>
        <color rgb="FFFF0000"/>
        <rFont val="Calibri"/>
        <family val="2"/>
        <charset val="1"/>
      </rPr>
      <t xml:space="preserve">P1 </t>
    </r>
    <r>
      <rPr>
        <sz val="11"/>
        <color rgb="FFFF0000"/>
        <rFont val="DejaVu Sans"/>
        <family val="2"/>
      </rPr>
      <t xml:space="preserve">และ </t>
    </r>
    <r>
      <rPr>
        <sz val="11"/>
        <color rgb="FFFF0000"/>
        <rFont val="Calibri"/>
        <family val="2"/>
        <charset val="1"/>
      </rPr>
      <t>SWT</t>
    </r>
  </si>
  <si>
    <t>TG-Cargo</t>
  </si>
  <si>
    <t>BAS Control Room</t>
  </si>
  <si>
    <t>อาคารกรมศุลกากรคลองเตย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</si>
  <si>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AO-1</t>
    </r>
  </si>
  <si>
    <t>AO-1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</si>
  <si>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GH-6</t>
    </r>
  </si>
  <si>
    <t>GH-6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</si>
  <si>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AO-2</t>
    </r>
  </si>
  <si>
    <t>AO-2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</si>
  <si>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Access Control</t>
    </r>
  </si>
  <si>
    <t>Access Control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</si>
  <si>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AO-3</t>
    </r>
  </si>
  <si>
    <t>AO-3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</si>
  <si>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Export</t>
    </r>
  </si>
  <si>
    <t>Scanning Export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</si>
  <si>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Import</t>
    </r>
  </si>
  <si>
    <t>Scanning Import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</si>
  <si>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WH-1</t>
    </r>
  </si>
  <si>
    <t>WH-1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</si>
  <si>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WH-2</t>
    </r>
  </si>
  <si>
    <t>WH-2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</si>
  <si>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WH-3</t>
    </r>
  </si>
  <si>
    <t>WH-3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</si>
  <si>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AO-4</t>
    </r>
  </si>
  <si>
    <t>AO-4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</si>
  <si>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2</t>
    </r>
  </si>
  <si>
    <t>GH-2 FL.1</t>
  </si>
  <si>
    <t>T1-015</t>
  </si>
  <si>
    <t>อาคารผู้โดยสาร</t>
  </si>
  <si>
    <t>CheckinRow A Island-1</t>
  </si>
  <si>
    <t>CheckinRow C Island-2</t>
  </si>
  <si>
    <t>CheckinRow E Island-3</t>
  </si>
  <si>
    <t>CheckinRow G Island-4</t>
  </si>
  <si>
    <t>CheckinRow J Island-5</t>
  </si>
  <si>
    <t>CheckinRow L Island-6</t>
  </si>
  <si>
    <t>CheckinRow N Island-7</t>
  </si>
  <si>
    <t>CheckinRow Q Island-8</t>
  </si>
  <si>
    <t>CheckinRow S Island-9</t>
  </si>
  <si>
    <t>CheckinRow U Island-10</t>
  </si>
  <si>
    <t>T1-003</t>
  </si>
  <si>
    <t>T1-019</t>
  </si>
  <si>
    <t>T1-037</t>
  </si>
  <si>
    <t>T1-058</t>
  </si>
  <si>
    <t>T1-071</t>
  </si>
  <si>
    <t>T1-077</t>
  </si>
  <si>
    <t>T1-085</t>
  </si>
  <si>
    <t>T1-095</t>
  </si>
  <si>
    <t>T1-107</t>
  </si>
  <si>
    <t>T1-123</t>
  </si>
  <si>
    <t>T1-138</t>
  </si>
  <si>
    <t>T1-149</t>
  </si>
  <si>
    <t>T1-TM-101A</t>
  </si>
  <si>
    <t>T2-009</t>
  </si>
  <si>
    <t>T2-032</t>
  </si>
  <si>
    <t>T2-048</t>
  </si>
  <si>
    <t>T2-079</t>
  </si>
  <si>
    <t>T2-091</t>
  </si>
  <si>
    <t>T2-098</t>
  </si>
  <si>
    <t>T2-125</t>
  </si>
  <si>
    <t>T2-140</t>
  </si>
  <si>
    <t>T2-147</t>
  </si>
  <si>
    <t>T2-158</t>
  </si>
  <si>
    <t>T3-002</t>
  </si>
  <si>
    <t>T3-012</t>
  </si>
  <si>
    <t>T3-031</t>
  </si>
  <si>
    <t>T3-052</t>
  </si>
  <si>
    <t>T3-067</t>
  </si>
  <si>
    <t>T3-076</t>
  </si>
  <si>
    <t>T3-084</t>
  </si>
  <si>
    <t>T3-090</t>
  </si>
  <si>
    <t>T3-102</t>
  </si>
  <si>
    <t>T3-107</t>
  </si>
  <si>
    <t>T4-008</t>
  </si>
  <si>
    <t>T4-008a</t>
  </si>
  <si>
    <t>T4-031</t>
  </si>
  <si>
    <t>T4-031(Screening)</t>
  </si>
  <si>
    <t>T4-048</t>
  </si>
  <si>
    <t>T4-063</t>
  </si>
  <si>
    <t>T4-063(Screening)</t>
  </si>
  <si>
    <t>T5-003</t>
  </si>
  <si>
    <t>T5-016</t>
  </si>
  <si>
    <t>T5-020</t>
  </si>
  <si>
    <t>T5-032</t>
  </si>
  <si>
    <t>T6-007</t>
  </si>
  <si>
    <t>T6-014</t>
  </si>
  <si>
    <t>Carpark West</t>
  </si>
  <si>
    <t>CPW1-09</t>
  </si>
  <si>
    <r>
      <rPr>
        <sz val="11"/>
        <color theme="1"/>
        <rFont val="Calibri"/>
        <family val="2"/>
        <scheme val="minor"/>
      </rPr>
      <t xml:space="preserve">CPW1-09 </t>
    </r>
    <r>
      <rPr>
        <sz val="11"/>
        <color theme="1"/>
        <rFont val="DejaVu Sans"/>
        <family val="2"/>
      </rPr>
      <t>ห้องงานไฟฟ้า</t>
    </r>
  </si>
  <si>
    <t>Museum FL.6</t>
  </si>
  <si>
    <t>Carpark East</t>
  </si>
  <si>
    <t>CPE1-09</t>
  </si>
  <si>
    <t>Operation-Room</t>
  </si>
  <si>
    <t>อาคารปฏิบัติการและระบบลำเลียงกระเป๋าสัมภาระเปลี่ยนเที่ยวบิน</t>
  </si>
  <si>
    <r>
      <rPr>
        <sz val="11"/>
        <color theme="1"/>
        <rFont val="DejaVu Sans"/>
        <family val="2"/>
      </rPr>
      <t xml:space="preserve">ตู้ </t>
    </r>
    <r>
      <rPr>
        <sz val="11"/>
        <color theme="1"/>
        <rFont val="Calibri"/>
        <family val="2"/>
        <scheme val="minor"/>
      </rPr>
      <t xml:space="preserve">rack </t>
    </r>
    <r>
      <rPr>
        <sz val="11"/>
        <color theme="1"/>
        <rFont val="DejaVu Sans"/>
        <family val="2"/>
      </rPr>
      <t>ลอย</t>
    </r>
  </si>
  <si>
    <t>ห้องติดตั้งระบบดับเพลิงอัตโนมัติ</t>
  </si>
  <si>
    <t>Terminal</t>
  </si>
  <si>
    <t>Concourse G</t>
  </si>
  <si>
    <t>G1-028</t>
  </si>
  <si>
    <t>G1-041</t>
  </si>
  <si>
    <t>G1-045</t>
  </si>
  <si>
    <t>G1-050</t>
  </si>
  <si>
    <t>G1-057</t>
  </si>
  <si>
    <t>G1-078</t>
  </si>
  <si>
    <t>G1-082</t>
  </si>
  <si>
    <t>G1-088</t>
  </si>
  <si>
    <t>G1-093</t>
  </si>
  <si>
    <t>G2-009</t>
  </si>
  <si>
    <t>G2-026</t>
  </si>
  <si>
    <t>G2-034</t>
  </si>
  <si>
    <t>G2-047</t>
  </si>
  <si>
    <t>G2-056</t>
  </si>
  <si>
    <t>G2-065</t>
  </si>
  <si>
    <t>G2-079</t>
  </si>
  <si>
    <t>G2-083</t>
  </si>
  <si>
    <t>G2-095</t>
  </si>
  <si>
    <t>G2-099</t>
  </si>
  <si>
    <t>G3-016</t>
  </si>
  <si>
    <t>G3-031</t>
  </si>
  <si>
    <t>G3-035</t>
  </si>
  <si>
    <t>G3-046</t>
  </si>
  <si>
    <t>G3-050</t>
  </si>
  <si>
    <t>G4-013</t>
  </si>
  <si>
    <t>G4-026</t>
  </si>
  <si>
    <t>G4-030</t>
  </si>
  <si>
    <t>G4-042</t>
  </si>
  <si>
    <t>G4-046</t>
  </si>
  <si>
    <t>Concourse E</t>
  </si>
  <si>
    <t>E1-023</t>
  </si>
  <si>
    <t>E1-033</t>
  </si>
  <si>
    <t>E1-050</t>
  </si>
  <si>
    <t>E1-060</t>
  </si>
  <si>
    <t>E1-070</t>
  </si>
  <si>
    <t>E2-019</t>
  </si>
  <si>
    <t>E2-047</t>
  </si>
  <si>
    <t>E2-065</t>
  </si>
  <si>
    <t>E2-087</t>
  </si>
  <si>
    <t>E2-099</t>
  </si>
  <si>
    <t>E2-123</t>
  </si>
  <si>
    <t>E3-009</t>
  </si>
  <si>
    <t>E4-007</t>
  </si>
  <si>
    <t>Concourse F</t>
  </si>
  <si>
    <t>F1-024</t>
  </si>
  <si>
    <t>F1-039</t>
  </si>
  <si>
    <t>F1-049</t>
  </si>
  <si>
    <t>F2-008</t>
  </si>
  <si>
    <t>F2-037</t>
  </si>
  <si>
    <t>F2-051</t>
  </si>
  <si>
    <t>F2-077</t>
  </si>
  <si>
    <t>F3-008</t>
  </si>
  <si>
    <t>F4-007</t>
  </si>
  <si>
    <t>อาคารสถานีดับเพลิงและกู้ภัยฝั่งตะวันตก</t>
  </si>
  <si>
    <t>Computer Room</t>
  </si>
  <si>
    <t>Office Room</t>
  </si>
  <si>
    <t>Store Room</t>
  </si>
  <si>
    <t>หอควบคุมลานจอดฝั่งตะวันออก</t>
  </si>
  <si>
    <t>CT-4-02 Equipment Room</t>
  </si>
  <si>
    <t>CtrlPost-1</t>
  </si>
  <si>
    <t>หอควบคุมลานจอดฝั่งตะวันตก</t>
  </si>
  <si>
    <t>Carpark Zone 5</t>
  </si>
  <si>
    <t>ตู้เก็บเงินทางเข้า</t>
  </si>
  <si>
    <t>อาคารบริษัทวิทยุการบินแห่งประเทศไทย จำกัด</t>
  </si>
  <si>
    <t>Surveillance System Room</t>
  </si>
  <si>
    <t>อาคารฝ่ายบริการอุปกรณ์ภาคพื้น การบินไทย</t>
  </si>
  <si>
    <t>Electrical Control Room</t>
  </si>
  <si>
    <t>RFF</t>
  </si>
  <si>
    <t>Electical High Voltage Room</t>
  </si>
  <si>
    <t>Electical Room</t>
  </si>
  <si>
    <t>Fl.2</t>
  </si>
  <si>
    <t>Fl.3</t>
  </si>
  <si>
    <t>Node 4</t>
  </si>
  <si>
    <t>RFF FL.1</t>
  </si>
  <si>
    <t>RFF FL.2</t>
  </si>
  <si>
    <t>งานควบคุมและมาตรฐาน</t>
  </si>
  <si>
    <t>ตรวจถังดับเพลิง</t>
  </si>
  <si>
    <t>ห้องประชุมใหญ่</t>
  </si>
  <si>
    <t>ห้องผู้อำนวยการ</t>
  </si>
  <si>
    <t>ห้้องไฟฟ้า</t>
  </si>
  <si>
    <t>ศูนย์การขนส่งสาธารณะ</t>
  </si>
  <si>
    <t>AOT Office Server Room</t>
  </si>
  <si>
    <t>BUS-ELE</t>
  </si>
  <si>
    <t>Control Room</t>
  </si>
  <si>
    <t>SECURE-REST-BLD</t>
  </si>
  <si>
    <t>ส่วนบริหารระบบขนส่งสาธารณะ</t>
  </si>
  <si>
    <t>ส่่วนบริหารรถเช่าและรถรับจ้าง</t>
  </si>
  <si>
    <r>
      <rPr>
        <sz val="11"/>
        <color theme="1"/>
        <rFont val="DejaVu Sans"/>
        <family val="2"/>
      </rPr>
      <t xml:space="preserve">ห้องสอบสวนที่ </t>
    </r>
    <r>
      <rPr>
        <sz val="11"/>
        <color theme="1"/>
        <rFont val="Calibri"/>
        <family val="2"/>
        <scheme val="minor"/>
      </rPr>
      <t>2</t>
    </r>
  </si>
  <si>
    <t>MTS</t>
  </si>
  <si>
    <t>WSS</t>
  </si>
  <si>
    <t>ASIG</t>
  </si>
  <si>
    <t>BAFS</t>
  </si>
  <si>
    <t>IT SYSTEM ENGINEERING</t>
  </si>
  <si>
    <t>BFS-GSE</t>
  </si>
  <si>
    <t>SCADA Room</t>
  </si>
  <si>
    <t>BFSC</t>
  </si>
  <si>
    <t>CGP</t>
  </si>
  <si>
    <t>Control Equipment Room</t>
  </si>
  <si>
    <t>LSG</t>
  </si>
  <si>
    <t>Power house 19L</t>
  </si>
  <si>
    <t>19L-FL.1</t>
  </si>
  <si>
    <t>TG-GSE</t>
  </si>
  <si>
    <t>Building Automation System</t>
  </si>
  <si>
    <t>TGC</t>
  </si>
  <si>
    <t>System Control Room</t>
  </si>
  <si>
    <t>TGD</t>
  </si>
  <si>
    <t>AS-B6-5 SUBSTATION 51</t>
  </si>
  <si>
    <t>TGO</t>
  </si>
  <si>
    <t>Computer Operations center</t>
  </si>
  <si>
    <t>AMF</t>
  </si>
  <si>
    <t>AMF1</t>
  </si>
  <si>
    <t>AMF1 FL.2</t>
  </si>
  <si>
    <t>AMF1-FL.3</t>
  </si>
  <si>
    <t>AMF11</t>
  </si>
  <si>
    <t>AMF12</t>
  </si>
  <si>
    <t>AMF12 Core Room</t>
  </si>
  <si>
    <t>AMF13</t>
  </si>
  <si>
    <t>Air Conditioned Room</t>
  </si>
  <si>
    <t>Core Node Room</t>
  </si>
  <si>
    <t>ประชุมผู้บริหารท่าอากาศยาน</t>
  </si>
  <si>
    <t>AMF4</t>
  </si>
  <si>
    <t>AMF4-FL.1</t>
  </si>
  <si>
    <t>งานซ่่อมบำรุงยานยนต์</t>
  </si>
  <si>
    <t>ส่วนบำรุงพื้นที่และสนับสนุนเครื่องทุนแรง</t>
  </si>
  <si>
    <r>
      <rPr>
        <sz val="11"/>
        <color theme="1"/>
        <rFont val="DejaVu Sans"/>
        <family val="2"/>
      </rPr>
      <t xml:space="preserve">ส่วนบำรุงพื้นที่และสนับสนุนเครื่องทุนแรง </t>
    </r>
    <r>
      <rPr>
        <sz val="11"/>
        <color theme="1"/>
        <rFont val="Calibri"/>
        <family val="2"/>
        <scheme val="minor"/>
      </rPr>
      <t>Room</t>
    </r>
  </si>
  <si>
    <t>AMF2</t>
  </si>
  <si>
    <r>
      <rPr>
        <sz val="11"/>
        <color theme="1"/>
        <rFont val="DejaVu Sans"/>
        <family val="2"/>
      </rPr>
      <t>งานฝ่ายอาคารทั่วไป ฝสอ</t>
    </r>
    <r>
      <rPr>
        <sz val="11"/>
        <color theme="1"/>
        <rFont val="Calibri"/>
        <family val="2"/>
        <scheme val="minor"/>
      </rPr>
      <t>. Room</t>
    </r>
  </si>
  <si>
    <r>
      <rPr>
        <sz val="11"/>
        <color theme="1"/>
        <rFont val="DejaVu Sans"/>
        <family val="2"/>
      </rPr>
      <t>งานอาคารทั่วไป ฝสอ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</si>
  <si>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ฝ่ายพัฒนาดิจิทัลโซลูชั่น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.)</t>
    </r>
  </si>
  <si>
    <r>
      <rPr>
        <sz val="11"/>
        <color theme="1"/>
        <rFont val="DejaVu Sans"/>
        <family val="2"/>
      </rPr>
      <t>สอค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ฝสอ</t>
    </r>
    <r>
      <rPr>
        <sz val="11"/>
        <color theme="1"/>
        <rFont val="Calibri"/>
        <family val="2"/>
        <scheme val="minor"/>
      </rPr>
      <t>.</t>
    </r>
  </si>
  <si>
    <t>WWT</t>
  </si>
  <si>
    <t>ห้้องควบคุมระบบบำบัดน้ำเสีย</t>
  </si>
  <si>
    <t>AMF3</t>
  </si>
  <si>
    <t>AMF31</t>
  </si>
  <si>
    <r>
      <rPr>
        <sz val="11"/>
        <color theme="1"/>
        <rFont val="DejaVu Sans"/>
        <family val="2"/>
      </rPr>
      <t>สคพ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DejaVu Sans"/>
        <family val="2"/>
      </rPr>
      <t xml:space="preserve">ฝพอ </t>
    </r>
    <r>
      <rPr>
        <sz val="11"/>
        <color theme="1"/>
        <rFont val="Calibri"/>
        <family val="2"/>
        <scheme val="minor"/>
      </rPr>
      <t>Room</t>
    </r>
  </si>
  <si>
    <t>AMF5</t>
  </si>
  <si>
    <t>AMF5-FL.1</t>
  </si>
  <si>
    <t>อาคารภูมิสถาปัตยกรรม</t>
  </si>
  <si>
    <t>FFT</t>
  </si>
  <si>
    <t>ELE-Mainroom</t>
  </si>
  <si>
    <t>Office-Room</t>
  </si>
  <si>
    <t>อาคารสถานีกำจัดขยะ</t>
  </si>
  <si>
    <t>SWT Building</t>
  </si>
  <si>
    <t>SWT-OFFICE FL.2</t>
  </si>
  <si>
    <t>งานซ่อมบำรุงเครื่องจักรและระบบควบคุม</t>
  </si>
  <si>
    <t>AFD</t>
  </si>
  <si>
    <r>
      <rPr>
        <sz val="11"/>
        <color theme="1"/>
        <rFont val="Calibri"/>
        <family val="2"/>
        <scheme val="minor"/>
      </rPr>
      <t>MET(</t>
    </r>
    <r>
      <rPr>
        <sz val="11"/>
        <color theme="1"/>
        <rFont val="DejaVu Sans"/>
        <family val="2"/>
      </rPr>
      <t>อาคารอุตุนิยม</t>
    </r>
    <r>
      <rPr>
        <sz val="11"/>
        <color theme="1"/>
        <rFont val="Calibri"/>
        <family val="2"/>
        <scheme val="minor"/>
      </rPr>
      <t>)</t>
    </r>
  </si>
  <si>
    <t>MET-FL.2</t>
  </si>
  <si>
    <t>อาคารสถานีซ้อมดับเพลิงอากาศยานสุวรรณภูมิ</t>
  </si>
  <si>
    <t>อาคารรอบนอก</t>
  </si>
  <si>
    <t>ห้องควบคุมระบบบำบัดน้ำเสีย</t>
  </si>
  <si>
    <t>PPW</t>
  </si>
  <si>
    <t>PPW Core Room</t>
  </si>
  <si>
    <t>Power house 01L</t>
  </si>
  <si>
    <t>01L-FL.1</t>
  </si>
  <si>
    <t>สรุปแผนความก้าวหน้ารายสัปดาห์ - SVB</t>
  </si>
  <si>
    <t>ช่วง 14 ก.พ. - 1 มิ.ย. 69 (16 สัปดาห์) | สูตรดึงข้อมูลอัตโนมัติจาก sheet SVB</t>
  </si>
  <si>
    <t>W.1
(14/2-20/2)</t>
  </si>
  <si>
    <t>W.2
(21/2-27/2)</t>
  </si>
  <si>
    <t>W.3
(28/2-6/3)</t>
  </si>
  <si>
    <t>W.4
(7/3-13/3)</t>
  </si>
  <si>
    <t>W.5
(14/3-20/3)</t>
  </si>
  <si>
    <t>W.6
(21/3-27/3)</t>
  </si>
  <si>
    <t>W.7
(28/3-3/4)</t>
  </si>
  <si>
    <t>W.8
(4/4-10/4)</t>
  </si>
  <si>
    <t>W.9
(11/4-17/4)</t>
  </si>
  <si>
    <t>W.10
(18/4-24/4)</t>
  </si>
  <si>
    <t>W.11
(25/4-1/5)</t>
  </si>
  <si>
    <t>W.12
(2/5-8/5)</t>
  </si>
  <si>
    <t>W.13
(9/5-15/5)</t>
  </si>
  <si>
    <t>W.14
(16/5-22/5)</t>
  </si>
  <si>
    <t>W.15
(23/5-29/5)</t>
  </si>
  <si>
    <t>W.16
(30/5-5/6)</t>
  </si>
  <si>
    <t>W.17
(6/6-12/6)</t>
  </si>
  <si>
    <t>W.18
(13/6-19/6)</t>
  </si>
  <si>
    <t>W.19
(20/6-26/6)</t>
  </si>
  <si>
    <t>W.20
(27/6-3/7)</t>
  </si>
  <si>
    <t>▌ จำนวน Switch ที่วางแผนติดตั้ง-Migration (เครื่อง)</t>
  </si>
  <si>
    <t>จำนวน Switch ตามแผน (เครื่อง)</t>
  </si>
  <si>
    <t>% แผนรายสัปดาห์ (ของ Switch)</t>
  </si>
  <si>
    <t>▌ จำนวน AP ที่วางแผนติดตั้ง-Migration (เครื่อง)</t>
  </si>
  <si>
    <t>จำนวน AP ตามแผน (เครื่อง)</t>
  </si>
  <si>
    <t>% แผนรายสัปดาห์ (ของ AP)</t>
  </si>
  <si>
    <t>▌ Migration Switch</t>
  </si>
  <si>
    <t>แผน Switch (เครื่อง)</t>
  </si>
  <si>
    <t>ผลจริง Switch (เครื่อง)</t>
  </si>
  <si>
    <t>มากกว่าแผน Switch (เครื่อง)</t>
  </si>
  <si>
    <t>ต่ำกว่าแผน Switch (เครื่อง)</t>
  </si>
  <si>
    <t>% ความก้าวหน้า Migration ของ Switch</t>
  </si>
  <si>
    <t>▌ Migration AP</t>
  </si>
  <si>
    <t>แผน AP (เครื่อง)</t>
  </si>
  <si>
    <t>ผลจริง AP (เครื่อง)</t>
  </si>
  <si>
    <t>มากกว่าแผน AP (เครื่อง)</t>
  </si>
  <si>
    <t>ต่ำกว่าแผน AP (เครื่อง)</t>
  </si>
  <si>
    <t>% ความก้าวหน้า Migration ของ AP</t>
  </si>
  <si>
    <t>▌ สรุปภาพรวมและความก้าวหน้าสะสม Switch</t>
  </si>
  <si>
    <t>% ความก้าวหน้า Switch (รายสัปดาห์)</t>
  </si>
  <si>
    <t>จำนวน Switch สะสมตามแผน (เครื่อง)</t>
  </si>
  <si>
    <t>จำนวน Switch ที่เสร็จสิ้นสะสม - ผลจริง (เครื่อง)</t>
  </si>
  <si>
    <t>% สะสมผลจริง Switch เทียบเป้าหมายรวม</t>
  </si>
  <si>
    <t>% สะสม Switch ตามแผนเทียบเป้าหมายรวม</t>
  </si>
  <si>
    <t>▌ สรุปภาพรวมและความก้าวหน้าสะสม AP</t>
  </si>
  <si>
    <t>% ความก้าวหน้า AP (รายสัปดาห์)</t>
  </si>
  <si>
    <t>จำนวน AP สะสมตามแผน (เครื่อง)</t>
  </si>
  <si>
    <t>จำนวน AP ที่เสร็จสิ้นสะสม - ผลจริง (เครื่อง)</t>
  </si>
  <si>
    <t>% สะสมผลจริง AP เทียบเป้าหมายรวม</t>
  </si>
  <si>
    <t>% สะสม AP ตามแผนเทียบเป้าหมายรวม</t>
  </si>
  <si>
    <t>หมายเหตุ: ทุกตัวเลขคำนวณอัตโนมัติจาก sheet SVB | col F = จำนวน | col Q = วันที่ (Helper) | col L/M/N = Config/Install/Migration</t>
  </si>
  <si>
    <t>สรุปแผนความก้าวหน้ารายสัปดาห์ทั้งหมด - แยกตาม Fabric</t>
  </si>
  <si>
    <t>ช่วง 14 ก.พ. - 1 มิ.ย. 69 (16 สัปดาห์) | รวมข้อมูล 7 Fabrics | ดึงอัตโนมัติจาก SVB</t>
  </si>
  <si>
    <t>▌ Fabric: AMF</t>
  </si>
  <si>
    <t>Config ผลจริง</t>
  </si>
  <si>
    <t>Install ผลจริง</t>
  </si>
  <si>
    <t>Migration ผลจริง</t>
  </si>
  <si>
    <t>สะสมผลจริง (เครื่อง)</t>
  </si>
  <si>
    <t>▌ Fabric: CFZ</t>
  </si>
  <si>
    <t>จำนวน Infra ตามแผน (เครื่อง)</t>
  </si>
  <si>
    <t>Migration Switch ผลจริง</t>
  </si>
  <si>
    <t>Migration AP ผลจริง</t>
  </si>
  <si>
    <t>Migration Infra ผลจริง</t>
  </si>
  <si>
    <t>สะสมผลจริง Switch (เครื่อง)</t>
  </si>
  <si>
    <t>สะสมผลจริง AP (เครื่อง)</t>
  </si>
  <si>
    <t>สะสมผลจริง Infra (เครื่อง)</t>
  </si>
  <si>
    <t>% ความก้าวหน้า Migration Switch</t>
  </si>
  <si>
    <t>% ความก้าวหน้า Migration AP</t>
  </si>
  <si>
    <t>% สะสม Switch ผลจริงเทียบเป้าหมายรวม</t>
  </si>
  <si>
    <t>% สะสม AP ผลจริงเทียบเป้าหมายรวม</t>
  </si>
  <si>
    <t>▌ Fabric: D1-041</t>
  </si>
  <si>
    <t>▌ Fabric: D1-091</t>
  </si>
  <si>
    <t>▌ Fabric: PPW</t>
  </si>
  <si>
    <t>▌ Fabric: RFF</t>
  </si>
  <si>
    <t>▌ Fabric: T1-015</t>
  </si>
  <si>
    <t>หมายเหตุ: รวมข้อมูลทุก Fabric ในหน้าเดียว | สูตรดึงจาก SVB col B (Fabric), F (จำนวน), Q (วันที่), L/M/N (Config/Install/Migration)</t>
  </si>
  <si>
    <t>Detail</t>
  </si>
  <si>
    <t>TOR</t>
  </si>
  <si>
    <t>Actually Installed</t>
  </si>
  <si>
    <t>Finally AP Installed</t>
  </si>
  <si>
    <t>อาคาร CPE</t>
  </si>
  <si>
    <t>CPE-FL1</t>
  </si>
  <si>
    <t>อาคาร CPW</t>
  </si>
  <si>
    <t>CPW-FL1</t>
  </si>
  <si>
    <t>อาคาร Terminal</t>
  </si>
  <si>
    <t>Terminal-FL1</t>
  </si>
  <si>
    <t>Terminal-FL3</t>
  </si>
  <si>
    <t>Sorting</t>
  </si>
  <si>
    <t>Terminal-Sorting</t>
  </si>
  <si>
    <t>อาคาร ATE</t>
  </si>
  <si>
    <t>T</t>
  </si>
  <si>
    <t>ATE-T</t>
  </si>
  <si>
    <t>อาคาร Concourse D</t>
  </si>
  <si>
    <t>ConcourseD-FL1</t>
  </si>
  <si>
    <t>อาคาร Concourse E</t>
  </si>
  <si>
    <t>ConcourseE-FL1</t>
  </si>
  <si>
    <t>อาคาร Concourse G</t>
  </si>
  <si>
    <t>ConcourseG-FL1</t>
  </si>
  <si>
    <t>ConcourseG-FL2</t>
  </si>
  <si>
    <t>ConcourseG-FL3</t>
  </si>
  <si>
    <t>อาคาร RFW</t>
  </si>
  <si>
    <t>RFW-FL1</t>
  </si>
  <si>
    <t>RFW-FL2</t>
  </si>
  <si>
    <t>RFW-FL3</t>
  </si>
  <si>
    <t>ยกเลิกติดตั้ง 1 จุด เหลือ 1 จุด</t>
  </si>
  <si>
    <t>อาคาร AIMS</t>
  </si>
  <si>
    <t>AIMS-FL1</t>
  </si>
  <si>
    <t>ยกเลิกติดตั้ง 1 จุด เหลือ 0 จุด</t>
  </si>
  <si>
    <t>AIMS-FL2</t>
  </si>
  <si>
    <t>ยกเลิกติดตั้ง 1 จุด เหลืือ 4 จุด</t>
  </si>
  <si>
    <t>AIMS-FL3</t>
  </si>
  <si>
    <t>ยกเลิกติดตั้ง 4 จุด เหลืือ 3 จุด</t>
  </si>
  <si>
    <t>AIMS-FL4</t>
  </si>
  <si>
    <t>เพิ่มติดตั้ง 2 จุด รวม 7 จุด</t>
  </si>
  <si>
    <t>AIMS-FL5</t>
  </si>
  <si>
    <t>อาคาร AOB</t>
  </si>
  <si>
    <t>AOB-FL1</t>
  </si>
  <si>
    <t>AOB-FL2</t>
  </si>
  <si>
    <t>AOB-FL3</t>
  </si>
  <si>
    <t>ยกเลิกติดตั้ง 3 จุด เหลืือ 8 จุด</t>
  </si>
  <si>
    <t>AOB-FL4</t>
  </si>
  <si>
    <t>เพิ่มติดตั้ง 3 จุด รวม 13 จุด</t>
  </si>
  <si>
    <t>AOB-FL5</t>
  </si>
  <si>
    <t>ยกเลิกติดตั้ง 1 จุด เหลือ 6 จุด</t>
  </si>
  <si>
    <t>AOB-FL6</t>
  </si>
  <si>
    <t>ยกเลิกติดตั้ง 7 จุด เหลือ 0 จุด</t>
  </si>
  <si>
    <t>อาคาร AOB Canteen</t>
  </si>
  <si>
    <t>AOBCanteen-FL1</t>
  </si>
  <si>
    <t>ยกเลิกติดตั้ง 3 จุุดเหลือ 0 จุด</t>
  </si>
  <si>
    <t>อาคาร Concourse A</t>
  </si>
  <si>
    <t>ConcourseA-FL1</t>
  </si>
  <si>
    <t>ConcourseA-FL2</t>
  </si>
  <si>
    <t>ConcourseA-FL3</t>
  </si>
  <si>
    <t>ConcourseA-FL4</t>
  </si>
  <si>
    <t>อาคาร Concourse C</t>
  </si>
  <si>
    <t>ConcourseC-FL1</t>
  </si>
  <si>
    <t>อาคาร RFE</t>
  </si>
  <si>
    <t>RFE-FL1</t>
  </si>
  <si>
    <t>RFE-FL2</t>
  </si>
  <si>
    <t>RFE-FL3</t>
  </si>
  <si>
    <t>อาคาร SBIA 1</t>
  </si>
  <si>
    <t>SBIA1-FL1</t>
  </si>
  <si>
    <t>อาคาร SBIA 2</t>
  </si>
  <si>
    <t>SBIA2-FL1</t>
  </si>
  <si>
    <t>ยกเลิกติดตั้ง 1 จุด เหลือ 4 จุด</t>
  </si>
  <si>
    <t>อาคาร SBIA 3</t>
  </si>
  <si>
    <t>SBIA3-FL1</t>
  </si>
  <si>
    <t>ยกเลิกติดตั้ง 1 จุด เหลือ 5 จุด</t>
  </si>
  <si>
    <t>อาคาร SBIA 4</t>
  </si>
  <si>
    <t>SBIA4-FL1</t>
  </si>
  <si>
    <t>อาคาร SBIA New Building</t>
  </si>
  <si>
    <t>SBIANewBuilding-FL1</t>
  </si>
  <si>
    <t>ยกเลิกติดตั้ง 2 จุุด เหลือ 2 จุด</t>
  </si>
  <si>
    <t>อาคาร Bus Terminal</t>
  </si>
  <si>
    <t>BusTerminal-FL1</t>
  </si>
  <si>
    <t>อาคาร Bus Public Management</t>
  </si>
  <si>
    <t>BusPublicManagement-FL1</t>
  </si>
  <si>
    <t>อาคาร MTS</t>
  </si>
  <si>
    <t>MTS-FL1</t>
  </si>
  <si>
    <t>อาคาร RFF</t>
  </si>
  <si>
    <t>RFF-FL1</t>
  </si>
  <si>
    <t>RFF-FL2</t>
  </si>
  <si>
    <t>RFF-FL3</t>
  </si>
  <si>
    <t>อาคาร WSS</t>
  </si>
  <si>
    <t>WSS-FL1</t>
  </si>
  <si>
    <t>อาคาร AMF 1</t>
  </si>
  <si>
    <t>AMF1-FL1</t>
  </si>
  <si>
    <t>AMF1-FL2</t>
  </si>
  <si>
    <t>เพิ่มติดตั้ง 1 จุด รวม 4 จุด</t>
  </si>
  <si>
    <t>AMF1-FL3</t>
  </si>
  <si>
    <t>อาคาร AMF 2</t>
  </si>
  <si>
    <t>AMF2-FL1</t>
  </si>
  <si>
    <t>ยกเลิกติดตั้ง 2 จุด เหลือ 0 จุด</t>
  </si>
  <si>
    <t>AMF2-FL2</t>
  </si>
  <si>
    <t>อาคาร AMF 3</t>
  </si>
  <si>
    <t>AMF3-FL1</t>
  </si>
  <si>
    <t>อาคาร AMF 4</t>
  </si>
  <si>
    <t>AMF4-FL1</t>
  </si>
  <si>
    <t>AMF4-FL2</t>
  </si>
  <si>
    <t>อาคาร AMF 5</t>
  </si>
  <si>
    <t>AMF5-FL1</t>
  </si>
  <si>
    <t>อาคาร FFT</t>
  </si>
  <si>
    <t>FFT-FL1</t>
  </si>
  <si>
    <t>เพิ่มติดตั้ง 1 จุด รวม 1 จุด *** New Floor</t>
  </si>
  <si>
    <t>FFT-FL2</t>
  </si>
  <si>
    <t>อาคาร Mobile Lighting Park</t>
  </si>
  <si>
    <t>MobileLightingPark-FL1</t>
  </si>
  <si>
    <t>อาคาร Main Utilities Building</t>
  </si>
  <si>
    <t>MainUtilitiesBuilding-FL1</t>
  </si>
  <si>
    <t>อาคาร SWT</t>
  </si>
  <si>
    <t>SWT-FL1</t>
  </si>
  <si>
    <t>SWT-FL2</t>
  </si>
  <si>
    <t>อาคาร WWT</t>
  </si>
  <si>
    <t>WWT-FL1</t>
  </si>
  <si>
    <t>เพิ่มติดตั้ง 1 จุด รวม 1 จุด</t>
  </si>
  <si>
    <t>WWT-FL2</t>
  </si>
  <si>
    <t>อาคาร 19R</t>
  </si>
  <si>
    <t>19R-FL1</t>
  </si>
  <si>
    <t>อาคาร AC</t>
  </si>
  <si>
    <t>AC-FL1</t>
  </si>
  <si>
    <t>อาคาร BFZ</t>
  </si>
  <si>
    <t>BFZ-FL1</t>
  </si>
  <si>
    <t>BFZ-FL6</t>
  </si>
  <si>
    <t>BFZ-FL7</t>
  </si>
  <si>
    <t>BFZ-FL8</t>
  </si>
  <si>
    <t>อาคาร CE</t>
  </si>
  <si>
    <t>CE-FL1</t>
  </si>
  <si>
    <t>อาคาร GH-1</t>
  </si>
  <si>
    <t>GH-1-FL1</t>
  </si>
  <si>
    <t>อาคาร GH-2</t>
  </si>
  <si>
    <t>GH-2-FL1</t>
  </si>
  <si>
    <t>อาคาร S1</t>
  </si>
  <si>
    <t>S1-FL1</t>
  </si>
  <si>
    <t>อาคารพักเวร ฝรภ. (Secure-Rest)</t>
  </si>
  <si>
    <t>เพิ่มติดตั้ง 4 จุด รวม 4 จุด *** Building</t>
  </si>
  <si>
    <t>เพิ่มติดตั้ง 3 จุด รวม 3 จุด *** Building</t>
  </si>
  <si>
    <t>อาคารสำหรับระบบลำเลียงกระเป๋าสัมภาระที่เปลี่ยนเที่ยวบินเป็นการเฉพาะ (Transfer Baggage Terminal)</t>
  </si>
  <si>
    <t>หาจุดที่ตั้งเพิ่ม 8 จุดจากที่ยกเลิก</t>
  </si>
  <si>
    <t>New Device Type</t>
  </si>
  <si>
    <t>Option</t>
  </si>
  <si>
    <t>จำนวน Switch เก่าที่ต้องถอดออก</t>
  </si>
  <si>
    <t>จำนวน Switch ใหม่ที่ติดตั้ง</t>
  </si>
  <si>
    <t>Outlet ที่ต้องการใช้</t>
  </si>
  <si>
    <t>Outlet ที่เหลือ</t>
  </si>
  <si>
    <t>Need More Slot</t>
  </si>
  <si>
    <t>ประเภท</t>
  </si>
  <si>
    <t>ขนาด PDU</t>
  </si>
  <si>
    <t>Comment</t>
  </si>
  <si>
    <t>Node 3</t>
  </si>
  <si>
    <t>SACS</t>
  </si>
  <si>
    <t>F</t>
  </si>
  <si>
    <t>Access Switch</t>
  </si>
  <si>
    <t>Cabinet</t>
  </si>
  <si>
    <t>EOC</t>
  </si>
  <si>
    <t>NETWORK ROOM</t>
  </si>
  <si>
    <t>NETWORK R1</t>
  </si>
  <si>
    <t>Rack46</t>
  </si>
  <si>
    <t>Next Generation Firewall</t>
  </si>
  <si>
    <t>Parallel</t>
  </si>
  <si>
    <t>Rack52</t>
  </si>
  <si>
    <t>Node 5</t>
  </si>
  <si>
    <t>AMF 1</t>
  </si>
  <si>
    <t>AMF 2</t>
  </si>
  <si>
    <t>งานอาคารทั่วไป ฝสอ.</t>
  </si>
  <si>
    <t>LAN-21</t>
  </si>
  <si>
    <t>Wall Rack</t>
  </si>
  <si>
    <t>ฝ่ายพัฒนาดิจิทัลโซลูชั่น (ฝพช.)</t>
  </si>
  <si>
    <t>สอค.ฝสอ.</t>
  </si>
  <si>
    <t>LAN-22</t>
  </si>
  <si>
    <t>AMF 4</t>
  </si>
  <si>
    <t>Vehicle Maintenance Building</t>
  </si>
  <si>
    <t>LAN-41</t>
  </si>
  <si>
    <t>Facilities &amp; Equipment Sec.</t>
  </si>
  <si>
    <t>LAN-42</t>
  </si>
  <si>
    <t>AOB</t>
  </si>
  <si>
    <t>104 LAN</t>
  </si>
  <si>
    <t>105 Computer-Security Dept.</t>
  </si>
  <si>
    <t>DATA RACK#11</t>
  </si>
  <si>
    <t>Temp Airport Permit</t>
  </si>
  <si>
    <t>วางบนพื้น</t>
  </si>
  <si>
    <t>On Floor</t>
  </si>
  <si>
    <t>On Floor
6 x 2 ราง</t>
  </si>
  <si>
    <t>202 ELE</t>
  </si>
  <si>
    <t>IP ACCESS</t>
  </si>
  <si>
    <t>204 COM</t>
  </si>
  <si>
    <t>DATA RACK#21</t>
  </si>
  <si>
    <t>Vehicle Services Div.</t>
  </si>
  <si>
    <t>Property Mgmt Div.</t>
  </si>
  <si>
    <t>402 ELE</t>
  </si>
  <si>
    <t>SDF RACK#42</t>
  </si>
  <si>
    <t>Communications Div.</t>
  </si>
  <si>
    <t>Digital Solutions Dev Div.</t>
  </si>
  <si>
    <t>Network Div.</t>
  </si>
  <si>
    <t>NETWORK R2</t>
  </si>
  <si>
    <t>500 COM</t>
  </si>
  <si>
    <t>DATA RACK#52</t>
  </si>
  <si>
    <t>Node 7</t>
  </si>
  <si>
    <t>BC-1</t>
  </si>
  <si>
    <t>BC-1 1-1</t>
  </si>
  <si>
    <t>BC-1 1-2</t>
  </si>
  <si>
    <t>4227(BC-1) COMM.</t>
  </si>
  <si>
    <t>BC-1 2-2</t>
  </si>
  <si>
    <t>ส่วนบัญชีและอากร สสภ.</t>
  </si>
  <si>
    <t>BC-1 2-1</t>
  </si>
  <si>
    <t>BFZ</t>
  </si>
  <si>
    <t>ห้อง SERVER</t>
  </si>
  <si>
    <t>BKK-ACCS-B-FZ</t>
  </si>
  <si>
    <t>6609 (BF-Z) MDB COMM.</t>
  </si>
  <si>
    <t>BFZ 6-1</t>
  </si>
  <si>
    <t>Bus Public Management</t>
  </si>
  <si>
    <t>ห้องสอบสวนที่ 1</t>
  </si>
  <si>
    <t>Bus Terminal</t>
  </si>
  <si>
    <t>AOT Office</t>
  </si>
  <si>
    <t>CE</t>
  </si>
  <si>
    <t>1210(CE-1) EE.</t>
  </si>
  <si>
    <t>CE1 2-1</t>
  </si>
  <si>
    <t>CI</t>
  </si>
  <si>
    <t>B2233</t>
  </si>
  <si>
    <t>CI-1 2-1</t>
  </si>
  <si>
    <t>GE VOIP 1</t>
  </si>
  <si>
    <t>Aggregation Switch</t>
  </si>
  <si>
    <t>GE VOIP 4</t>
  </si>
  <si>
    <t>Distribute Switch</t>
  </si>
  <si>
    <t>GE VOIP 6</t>
  </si>
  <si>
    <t>Node 2</t>
  </si>
  <si>
    <t>Extranet Switch</t>
  </si>
  <si>
    <t>GE VOIP 2</t>
  </si>
  <si>
    <t>Node 1</t>
  </si>
  <si>
    <t>Control Post 1</t>
  </si>
  <si>
    <t>VOICE CABINET</t>
  </si>
  <si>
    <t>Control Post 2</t>
  </si>
  <si>
    <t>Control Post 3</t>
  </si>
  <si>
    <t>CP</t>
  </si>
  <si>
    <t>BKK-ACCS-CP1</t>
  </si>
  <si>
    <t>CT-1</t>
  </si>
  <si>
    <t>GH-1</t>
  </si>
  <si>
    <t>ห้องเก็บพัสดุ</t>
  </si>
  <si>
    <t>P2</t>
  </si>
  <si>
    <t>12 x 4 ราง
6 x 1 ราง</t>
  </si>
  <si>
    <t>Parking Operation Center (POC)</t>
  </si>
  <si>
    <t>DATA RACK</t>
  </si>
  <si>
    <t>P3</t>
  </si>
  <si>
    <t>12 x 4 ราง
6 x 2 ราง</t>
  </si>
  <si>
    <t>P5</t>
  </si>
  <si>
    <t>Car Park Zone 5 South</t>
  </si>
  <si>
    <t>PTC</t>
  </si>
  <si>
    <t>CheckinRow A</t>
  </si>
  <si>
    <t>CheckinRow C</t>
  </si>
  <si>
    <t>CheckinRow E</t>
  </si>
  <si>
    <t>CheckinRow J</t>
  </si>
  <si>
    <t>CheckinRow S</t>
  </si>
  <si>
    <t>CheckinRow U</t>
  </si>
  <si>
    <t>RACK NETWORK AOT สรค.ฝรค.</t>
  </si>
  <si>
    <t>G</t>
  </si>
  <si>
    <t>RFE</t>
  </si>
  <si>
    <t>STORAGE</t>
  </si>
  <si>
    <t>BKK-ACCS-FIRE-EAST</t>
  </si>
  <si>
    <t>RFW</t>
  </si>
  <si>
    <t>BKK-ACCS-FIRE-WEST</t>
  </si>
  <si>
    <t>SBIA 1</t>
  </si>
  <si>
    <t>AOT_SBIA1</t>
  </si>
  <si>
    <t>SBIA 3</t>
  </si>
  <si>
    <t>ส่วนบริหารสัญญาและกฏหมาย</t>
  </si>
  <si>
    <t>SBIA-New Building</t>
  </si>
  <si>
    <t>ฝ่ายแผนพัฒนาท่าอากาศยาน (ฝผพ.)</t>
  </si>
  <si>
    <t>วางบนพื้น 1</t>
  </si>
  <si>
    <t>วางบนพื้น 2</t>
  </si>
  <si>
    <t>วางบนพื้น 3</t>
  </si>
  <si>
    <t>SCNE</t>
  </si>
  <si>
    <t>ห้องควบคุมเครื่อง X-Ray</t>
  </si>
  <si>
    <t>L3 C-Rack</t>
  </si>
  <si>
    <t>SCNI</t>
  </si>
  <si>
    <t>ITX-FZ/N39</t>
  </si>
  <si>
    <t>SWT</t>
  </si>
  <si>
    <t>E405</t>
  </si>
  <si>
    <t>Office</t>
  </si>
  <si>
    <t>TBT</t>
  </si>
  <si>
    <t>Wall Rack : TBT 61</t>
  </si>
  <si>
    <t>TBT 61</t>
  </si>
  <si>
    <t>Sum.</t>
  </si>
  <si>
    <t>กราฟแสดงความก้าวหน้ารายสัปดาห์ - SVB (แผน vs ผลจริง)</t>
  </si>
  <si>
    <t>ช่วง 14 ก.พ. - 1 มิ.ย. 69 (16 สัปดาห์) | ดึงข้อมูลอัตโนมัติจาก sheet รายสัปดาห์</t>
  </si>
  <si>
    <t>Weight</t>
  </si>
  <si>
    <t>Target</t>
  </si>
  <si>
    <t>Switch</t>
  </si>
  <si>
    <t>แผน (เครื่อง) - Wieght</t>
  </si>
  <si>
    <t>AP</t>
  </si>
  <si>
    <t>แผน Switch (เครื่อง) - Wieght</t>
  </si>
  <si>
    <t>SUM.</t>
  </si>
  <si>
    <t>แผน AP (เครื่อง) - Wieght</t>
  </si>
  <si>
    <t>Migration จริง (เครื่อง) - Weight</t>
  </si>
  <si>
    <t>Migration Switch จริง (เครื่อง) - Weight</t>
  </si>
  <si>
    <t>Migration AP จริง (เครื่อง)</t>
  </si>
  <si>
    <t>Migration Switch จริง (เครื่อง)</t>
  </si>
  <si>
    <t>% ตามแผน - Weight</t>
  </si>
  <si>
    <t>% สะสมตามแผน - Weight</t>
  </si>
  <si>
    <t>% จริง - Weight</t>
  </si>
  <si>
    <t>Migration Switch สะสมจริง (เครื่อง)</t>
  </si>
  <si>
    <t>% สะสมจริง - Weight</t>
  </si>
  <si>
    <t>Migration AP สะสมจริง (เครื่อง)</t>
  </si>
  <si>
    <t>% โดยรวม</t>
  </si>
  <si>
    <t>% สะสม Switch ตามแผน</t>
  </si>
  <si>
    <t>% สะสม Switch จริง</t>
  </si>
  <si>
    <t>% สะสม AP ตามแผน</t>
  </si>
  <si>
    <t>% สะสม AP จริง</t>
  </si>
  <si>
    <t>% Config</t>
  </si>
  <si>
    <t>% Install</t>
  </si>
  <si>
    <t>% Migration</t>
  </si>
  <si>
    <t>กราฟแยกตาม Fabric - SVB</t>
  </si>
  <si>
    <t>กราฟแยกตาม Fabric - SVB (Switch)</t>
  </si>
  <si>
    <t>กราฟแยกตาม Fabric - SVB (AP)</t>
  </si>
  <si>
    <t>สามารถเลือก Fabric ที่ต้องการดูได้จาก dropdown ด้านล่าง</t>
  </si>
  <si>
    <t>เลือก Fabric:</t>
  </si>
  <si>
    <t>ทั้งหมด</t>
  </si>
  <si>
    <t>จำนวนรวม</t>
  </si>
  <si>
    <t>Config</t>
  </si>
  <si>
    <t>Install</t>
  </si>
  <si>
    <t>ข้อมูล Fabric ที่เลือก:</t>
  </si>
  <si>
    <t>กราฟแสดงความก้าวหน้ารายสัปดาห์ - กราฟทุก Fabric</t>
  </si>
  <si>
    <t>ดึงข้อมูลอัตโนมัติจาก sheet SVB-รายสัปดาห์ทั้งหมด</t>
  </si>
  <si>
    <t>D041-Fabic</t>
  </si>
  <si>
    <t>CFZ-Fabic</t>
  </si>
  <si>
    <t>Gate</t>
  </si>
  <si>
    <t>Cabling Date (S)</t>
  </si>
  <si>
    <t>Cabling Date (A)</t>
  </si>
  <si>
    <t>Coring Date (S)</t>
  </si>
  <si>
    <t>Coring Date (A)</t>
  </si>
  <si>
    <t>Qty2</t>
  </si>
  <si>
    <t>Qty. Success2</t>
  </si>
  <si>
    <t>Status4</t>
  </si>
  <si>
    <t>Cabling</t>
  </si>
  <si>
    <t>Coring</t>
  </si>
  <si>
    <t>วันที่เริ่ม2
(Helper)</t>
  </si>
  <si>
    <t>วันที่ติดตั้ง2
(Helper)</t>
  </si>
  <si>
    <t>C1</t>
  </si>
  <si>
    <t>C7</t>
  </si>
  <si>
    <t>C2</t>
  </si>
  <si>
    <t>E6</t>
  </si>
  <si>
    <t>C8</t>
  </si>
  <si>
    <t>E5</t>
  </si>
  <si>
    <t>F3</t>
  </si>
  <si>
    <t>E1</t>
  </si>
  <si>
    <t>C3</t>
  </si>
  <si>
    <t>C4</t>
  </si>
  <si>
    <t>C5</t>
  </si>
  <si>
    <t>C6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</si>
  <si>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</si>
  <si>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</si>
  <si>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</si>
  <si>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</si>
  <si>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</si>
  <si>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</si>
  <si>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</si>
  <si>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</si>
  <si>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</si>
  <si>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</si>
  <si>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E2</t>
  </si>
  <si>
    <t>E3</t>
  </si>
  <si>
    <t>E4</t>
  </si>
  <si>
    <t>E7</t>
  </si>
  <si>
    <t>E8</t>
  </si>
  <si>
    <t>E9</t>
  </si>
  <si>
    <t>E10</t>
  </si>
  <si>
    <t>F1</t>
  </si>
  <si>
    <t>F2</t>
  </si>
  <si>
    <t>F4</t>
  </si>
  <si>
    <t>F5</t>
  </si>
  <si>
    <t>F6</t>
  </si>
  <si>
    <t>G1</t>
  </si>
  <si>
    <t>G2</t>
  </si>
  <si>
    <t>G3</t>
  </si>
  <si>
    <t>G4</t>
  </si>
  <si>
    <t>G5</t>
  </si>
  <si>
    <t>สรุปแผนความก้าวหน้ารายสัปดาห์ - SVB Coring &amp; Cabling</t>
  </si>
  <si>
    <t>ช่วง 8/11/68 - 31/7/69 (38 สัปดาห์) | ดึงอัตโนมัติจาก SVB-Coring</t>
  </si>
  <si>
    <t>W.1
(8/11-14/11)</t>
  </si>
  <si>
    <t>W.2
(15/11-21/11)</t>
  </si>
  <si>
    <t>W.3
(22/11-28/11)</t>
  </si>
  <si>
    <t>W.4
(29/11-5/12)</t>
  </si>
  <si>
    <t>W.5
(6/12-12/12)</t>
  </si>
  <si>
    <t>W.6
(13/12-19/12)</t>
  </si>
  <si>
    <t>W.7
(20/12-26/12)</t>
  </si>
  <si>
    <t>W.8
(27/12-2/1)</t>
  </si>
  <si>
    <t>W.9
(3/1-9/1)</t>
  </si>
  <si>
    <t>W.10
(10/1-16/1)</t>
  </si>
  <si>
    <t>W.11
(17/1-23/1)</t>
  </si>
  <si>
    <t>W.12
(24/1-30/1)</t>
  </si>
  <si>
    <t>W.13
(31/1-6/2)</t>
  </si>
  <si>
    <t>W.14
(7/2-13/2)</t>
  </si>
  <si>
    <t>W.15
(14/2-20/2)</t>
  </si>
  <si>
    <t>W.16
(21/2-27/2)</t>
  </si>
  <si>
    <t>W.17
(28/2-6/3)</t>
  </si>
  <si>
    <t>W.18
(7/3-13/3)</t>
  </si>
  <si>
    <t>W.19
(14/3-20/3)</t>
  </si>
  <si>
    <t>W.20
(21/3-27/3)</t>
  </si>
  <si>
    <t>W.21
(28/3-3/4)</t>
  </si>
  <si>
    <t>W.22
(4/4-10/4)</t>
  </si>
  <si>
    <t>W.23
(11/4-17/4)</t>
  </si>
  <si>
    <t>W.24
(18/4-24/4)</t>
  </si>
  <si>
    <t>W.25
(25/4-1/5)</t>
  </si>
  <si>
    <t>W.26
(2/5-8/5)</t>
  </si>
  <si>
    <t>W.27
(9/5-15/5)</t>
  </si>
  <si>
    <t>W.28
(16/5-22/5)</t>
  </si>
  <si>
    <t>W.29
(23/5-29/5)</t>
  </si>
  <si>
    <t>W.30
(30/5-5/6)</t>
  </si>
  <si>
    <t>W.31
(6/6-12/6)</t>
  </si>
  <si>
    <t>W.32
(13/6-19/6)</t>
  </si>
  <si>
    <t>W.33
(20/6-26/6)</t>
  </si>
  <si>
    <t>W.34
(27/6-3/7)</t>
  </si>
  <si>
    <t>W.35
(4/7-10/7)</t>
  </si>
  <si>
    <t>W.36
(11/7-17/7)</t>
  </si>
  <si>
    <t>W.37
(18/7-24/7)</t>
  </si>
  <si>
    <t>W.38
(25/7-31/7)</t>
  </si>
  <si>
    <t>▌ งาน CABLING</t>
  </si>
  <si>
    <t>แผน (Schedule)</t>
  </si>
  <si>
    <t>ผลจริง (Actual)</t>
  </si>
  <si>
    <t>% Progress</t>
  </si>
  <si>
    <t>สะสมแผน</t>
  </si>
  <si>
    <t>สะสมผลจริง</t>
  </si>
  <si>
    <t>% สะสมเทียบแผนรวม</t>
  </si>
  <si>
    <t>▌ งาน CORING</t>
  </si>
  <si>
    <t>▌ สรุปความก้าวหน้าโดยรวม (เฉลี่ย Cabling + Coring)</t>
  </si>
  <si>
    <t>% ความก้าวหน้าเฉลี่ยโดยรวม (Cabling + Coring)</t>
  </si>
  <si>
    <t>▌ % สะสมรวมเทียบแผนรวม (Cabling + Coring)</t>
  </si>
  <si>
    <t>% สะสมตามแผน (Cabling + Coring รวม)</t>
  </si>
  <si>
    <t>% สะสมผลจริง (Cabling + Coring รวม)</t>
  </si>
  <si>
    <t>ส่วนต่าง (แผน - ผลจริง)</t>
  </si>
  <si>
    <t>หมายเหตุ: Helper col R=Cab(S), S=Cab(A), T=Cor(S), U=Cor(A) | Qty: F=Cabling, K=Coring</t>
  </si>
  <si>
    <t>กราฟแสดงความก้าวหน้ารายสัปดาห์ - Cabling &amp; Coring</t>
  </si>
  <si>
    <t>38 สัปดาห์ | ดึงอัตโนมัติจาก SVB-Coring-รายสัปดาห์</t>
  </si>
  <si>
    <t>แผน</t>
  </si>
  <si>
    <t>ผลจริง</t>
  </si>
  <si>
    <t>% สะสม</t>
  </si>
  <si>
    <t>▌ % สะสมรวม - แผน vs ผลจริง</t>
  </si>
  <si>
    <t>% สะสมแผน</t>
  </si>
  <si>
    <t>จำนวนตาม TOR</t>
  </si>
  <si>
    <t>จำนวนจริง</t>
  </si>
  <si>
    <t>อาคารประปา</t>
  </si>
  <si>
    <t>ห้องพักเจ้าหน้าที่</t>
  </si>
  <si>
    <t>Cisco/C9300L-24UXG-4X</t>
  </si>
  <si>
    <t> </t>
  </si>
  <si>
    <t>อาคารผู้โดยสารระหว่างประเทศ</t>
  </si>
  <si>
    <t>ห้อง Data Server</t>
  </si>
  <si>
    <t>Cisco/C9300L-24T-4X</t>
  </si>
  <si>
    <t>อุปกรณ์กระจายสัญญาณเครือข่ายรวมแบบที่ 2 (Aggregation Switch Type 2)</t>
  </si>
  <si>
    <t>Cisco/C9500-48Y4C</t>
  </si>
  <si>
    <t>Cisco/C9800-L-F</t>
  </si>
  <si>
    <t>อุปกรณ์ควบคุมการเข้าถึงระบบเครือข่ายแบบที่ 2 (Access Control Type 2)</t>
  </si>
  <si>
    <t>Cisco/SNS-3715</t>
  </si>
  <si>
    <t>อุปกรณ์เชื่อมต่อระบบกับเครือข่ายภายนอกแบบที่ 2 (Extranet Switch Type 2)</t>
  </si>
  <si>
    <t>Cisco/C9500-24Y4C</t>
  </si>
  <si>
    <t>อุปกรณ์เชื่อมต่อระบบกับเครือข่ายภายในแบบที่ 2 (Fusion Switch Type 2)</t>
  </si>
  <si>
    <t>อุปกรณ์กระจายสัญญาณเครือข่ายหลักแบบที่ 3 (Core Switch Type 3)</t>
  </si>
  <si>
    <t>Cisco/C9407R</t>
  </si>
  <si>
    <t>อุปกรณ์กระจายสัญญาณเครือข่ายรองแบบที่ 2 (Distribute Switch Type 2)</t>
  </si>
  <si>
    <t>ย้าย ไปสำนักงานท่าอากาศยานภูเก็ต ชั้น 1  ห้องคอมพิวเตอร์</t>
  </si>
  <si>
    <t>อุปกรณ์กระจายสัญญาณเครือข่ายรวมแบบที่ 3 (Aggregation Switch Type 3)</t>
  </si>
  <si>
    <t>อุปกรณ์กระจายสัญญาณเครือข่ายแบบที่ 1 (Access Switch Type 1)</t>
  </si>
  <si>
    <t>Cisco/C9300L-48T-4X</t>
  </si>
  <si>
    <t>ห้องสื่อสาร A12</t>
  </si>
  <si>
    <t>ห้องสื่อสาร A14</t>
  </si>
  <si>
    <t>ห้องสื่อสาร A13</t>
  </si>
  <si>
    <t>ห้องสื่อสาร A21</t>
  </si>
  <si>
    <t>ห้องสื่อสาร A24</t>
  </si>
  <si>
    <t>ห้องสื่อสาร A25</t>
  </si>
  <si>
    <t>ห้องสื่อสาร A32</t>
  </si>
  <si>
    <t>ห้องสื่อสาร A33</t>
  </si>
  <si>
    <t>ห้องสื่อสาร A10</t>
  </si>
  <si>
    <t>ห้องสื่อสาร A22</t>
  </si>
  <si>
    <t>ห้องสื่อสาร A23</t>
  </si>
  <si>
    <t>ห้องสื่อสาร A31</t>
  </si>
  <si>
    <t>ห้องสื่อสาร A41</t>
  </si>
  <si>
    <t>ห้องสื่อสาร A42</t>
  </si>
  <si>
    <t>บริเวณเคาท์เตอร์ Check-In ชั้น 3</t>
  </si>
  <si>
    <t>ย้ายไป Check in Island 1-4 ห้องละ 1 ตัว</t>
  </si>
  <si>
    <t>Counter Check-in Island 3 ชั้น 3</t>
  </si>
  <si>
    <t>Counter Check-in Island 4 ชั้น 3</t>
  </si>
  <si>
    <t>Counter Check-in Island 1 ชั้น 3</t>
  </si>
  <si>
    <t>Counter Check-in Island 2 ชั้น 3</t>
  </si>
  <si>
    <t>อาคารสถานีไฟฟ้าย่อย 115 KV</t>
  </si>
  <si>
    <t>ห้องสื่อสาร ชั้น 2</t>
  </si>
  <si>
    <t> ย้ายไปอาคารคลังสินค้า Rack : Network 42U ชั้น 2</t>
  </si>
  <si>
    <t>อาคารจอดรถยนต์</t>
  </si>
  <si>
    <t>ห้องสื่อสาร ชั้น 1</t>
  </si>
  <si>
    <t>ชั้น 1 ฝั่งทิศเหนือ</t>
  </si>
  <si>
    <t xml:space="preserve">ชื่อห้องเดิมคือ ฝั่งทิศใต้  </t>
  </si>
  <si>
    <t>อาคารสำนักงาน</t>
  </si>
  <si>
    <t>ห้องคอมพิวเตอร์ ชั้น 2</t>
  </si>
  <si>
    <t xml:space="preserve">ชื่อห้องเดิมคือ ห้องสื่อสาร ชั้น 2 </t>
  </si>
  <si>
    <t>ห้องคอมพิวเตอร์ ชั้น 1</t>
  </si>
  <si>
    <t xml:space="preserve">ชื่อห้องเดิมคือ ห้องสื่อสาร ชั้น 1 </t>
  </si>
  <si>
    <t>ห้องคอมพิวเตอร์ ชั้น 5</t>
  </si>
  <si>
    <t xml:space="preserve">ชื่อห้องเดิมคือ ห้องสื่อสาร ชั้น 5  </t>
  </si>
  <si>
    <t>สรุปสรุปจำนวน Final</t>
  </si>
  <si>
    <t>ห้องประชุม ทภก. 2  ชั้น 5</t>
  </si>
  <si>
    <t xml:space="preserve">ชื่อห้องเดิมคือ ห้องประชุมใหญ่ ชั้น 5   </t>
  </si>
  <si>
    <t>ห้องคอมพิวเตอร์ ชั้น 4</t>
  </si>
  <si>
    <t xml:space="preserve">ชื่อห้องเดิมคือ ห้องสื่อสาร ชั้น 4 </t>
  </si>
  <si>
    <t>ห้องคอมพิวเตอร์ ชั้น 3</t>
  </si>
  <si>
    <t xml:space="preserve">ชื่อห้องเดิมคือ ห้องสื่อสาร ชั้น 3 </t>
  </si>
  <si>
    <t>ห้องเครื่อง ชั้น 2</t>
  </si>
  <si>
    <t>  ย้ายไปอาคารคลังสินค้า Rack : Network 42U ชั้น 2</t>
  </si>
  <si>
    <t>นำมาจากอาคารคลังสินค้า</t>
  </si>
  <si>
    <t>อาคารผู้โดยสารภายในประเทศ</t>
  </si>
  <si>
    <t>ห้อง Comm Room</t>
  </si>
  <si>
    <t xml:space="preserve">ชื่อห้องเดิมคือ ห้อง Data Center  </t>
  </si>
  <si>
    <t>ห้อง EOC ชั้น 3</t>
  </si>
  <si>
    <t>ห้องสื่อสาร B11</t>
  </si>
  <si>
    <t>ห้องสื่อสาร B12</t>
  </si>
  <si>
    <t>ห้องสื่อสาร B13</t>
  </si>
  <si>
    <t>ห้องสื่อสาร B21</t>
  </si>
  <si>
    <t>ห้องสื่อสาร B24</t>
  </si>
  <si>
    <t>ห้องสื่อสาร B22</t>
  </si>
  <si>
    <t>ห้องสื่อสาร B31</t>
  </si>
  <si>
    <t>ห้องสื่อสาร B32</t>
  </si>
  <si>
    <t>อาคารคลังสินค้า</t>
  </si>
  <si>
    <t>ห้องสื่อสารฝั่งตะวันตก ชั้น 2</t>
  </si>
  <si>
    <t>ห้องสื่อสารฝั่งตะวันออก ชั้น 2</t>
  </si>
  <si>
    <t>นำมาจาก อาคารบำบัดน้ำเสีย</t>
  </si>
  <si>
    <t>นำมาจาก อาคารสถานีไฟฟ้าย่อย 115 KV</t>
  </si>
  <si>
    <t>อาคารดับเพลิงอาคาร (หน้าหาด)</t>
  </si>
  <si>
    <t>ห้องพักพนักงานดับเพลิง</t>
  </si>
  <si>
    <t>อาคารสถานีดับเพลิง ไม้ขาว</t>
  </si>
  <si>
    <t>อาคารบริการลานจอด (OM)</t>
  </si>
  <si>
    <t xml:space="preserve">ชื่ออาคารเดิมคือ อาคารบำรุงรักษาอากาศยาน </t>
  </si>
  <si>
    <t>อาคารบริการอุปกรณ์ภาคพื้น (GSE)</t>
  </si>
  <si>
    <t xml:space="preserve">ชื่ออาคารเดิมคือ อาคารบริการภาคพื้นและลานจอด   </t>
  </si>
  <si>
    <t>อุปกรณ์กระจายสัญญาณเครือข่ายแบบที่ 3 (Access Switch Type 3)</t>
  </si>
  <si>
    <t>Cisco/C9300L-48UXG-4X</t>
  </si>
  <si>
    <t>อาคารไฟฟ้าย่อย 115kV</t>
  </si>
  <si>
    <t> '-</t>
  </si>
  <si>
    <t>อาคาร Bird Control Unit</t>
  </si>
  <si>
    <t xml:space="preserve">ชื่ออาคารเดิมคือ อาคารดับเพลิงเก่า  </t>
  </si>
  <si>
    <t>ป้อมยามขาเข้าหน้าอาคาร domestric</t>
  </si>
  <si>
    <t>ห้องเจ้าหน้าที่</t>
  </si>
  <si>
    <t>อาคารหนีภัยสึนามิ</t>
  </si>
  <si>
    <t>อาคาร Control Post 1</t>
  </si>
  <si>
    <t>ห้อง Control Post 1</t>
  </si>
  <si>
    <t xml:space="preserve">ชื่ออาคารเดิมคือ อาคาร Control Post </t>
  </si>
  <si>
    <t>อาคาร Control Post 2</t>
  </si>
  <si>
    <t>อาคาร Control Post 3</t>
  </si>
  <si>
    <t>ห้อง Control Post 3</t>
  </si>
  <si>
    <t>อาคารสำนักงานบำรุงรักษาและคลัง (MO)</t>
  </si>
  <si>
    <t xml:space="preserve">ชื่ออาคารเดิมคือ อาคารซ่อมบำรุง ทภก. </t>
  </si>
  <si>
    <t>อาคารจอดรถ ทภก.</t>
  </si>
  <si>
    <t>ชั้น 1 ฝั่งทิศใต้</t>
  </si>
  <si>
    <t>ชั้น 2 ฝั่งทิศเหนือ</t>
  </si>
  <si>
    <t>ชั้น 2 ฝั่งทิศใต้</t>
  </si>
  <si>
    <t>ชั้น 3 ฝั่งทิศเหนือ</t>
  </si>
  <si>
    <t>ชั้น 3 ฝั่งทิศใต้</t>
  </si>
  <si>
    <t>ชั้น 4 ฝั่งทิศเหนือ</t>
  </si>
  <si>
    <t>ชั้น 4 ฝั่งทิศใต้</t>
  </si>
  <si>
    <t>ชั้น 5 ฝั่งทิศเหนือ</t>
  </si>
  <si>
    <t>ชั้น 5 ฝั่งทิศใต้</t>
  </si>
  <si>
    <t xml:space="preserve">สำนักงาน ทภก. </t>
  </si>
  <si>
    <t xml:space="preserve">ห้องสื่อสาร ชั้น 2    </t>
  </si>
  <si>
    <t>ย้ายไปติดตั้งที่ อาคารสำนักงาน ห้องคอมพิวเตอร์ ชั้น 2</t>
  </si>
  <si>
    <t xml:space="preserve">ห้องสื่อสาร ชั้น 1     </t>
  </si>
  <si>
    <t>ย้ายไปติดตั้งที่อาคารสำนักงาน ห้องคอมพิวเตอร์ ชั้น 1</t>
  </si>
  <si>
    <t xml:space="preserve">ห้องสื่อสาร ชั้น 3   </t>
  </si>
  <si>
    <t>ย้ายไปติดตั้งที่อาคารสำนักงาน ห้องคอมพิวเตอร์ ชั้น 3</t>
  </si>
  <si>
    <t>หลังออฟฟิตเคาท์เตอร์ประชาสัมพันธ์   ชั้น 3</t>
  </si>
  <si>
    <t xml:space="preserve">นำมาจาก Access Switch Type 4 ตัวที่ 12 ห้องคอมพิวเตอร์ ชั้น 4 อาคารสำนักงาน </t>
  </si>
  <si>
    <t>ห้องสื่อสาร B23  ชั้น 2</t>
  </si>
  <si>
    <t xml:space="preserve">นำมาจาก Access Switch Type 4 ตัวที่ 13 ห้องคอมพิวเตอร์ ชั้น 4 อาคารสำนักงาน </t>
  </si>
  <si>
    <t xml:space="preserve">อาคารสถานีกู้ภัยทางทะเล </t>
  </si>
  <si>
    <t xml:space="preserve">ห้องสำนักงาน </t>
  </si>
  <si>
    <t xml:space="preserve">นำมาจาก Access Switch Type 4 ตัวที่ 7 ห้องคอมพิวเตอร์ ชั้น 5 อาคารสำนักงาน </t>
  </si>
  <si>
    <t>เฉพาะอุปกรณ์ Dis. Agg. Acc SW   190 ชุด</t>
  </si>
  <si>
    <t>ติดตั้งแล้ว</t>
  </si>
  <si>
    <t>เฉพาะ AP  50 ชุด</t>
  </si>
  <si>
    <t>รวม</t>
  </si>
  <si>
    <t>ทำบัตร</t>
  </si>
  <si>
    <t>รักษาความปลอดภัย</t>
  </si>
  <si>
    <t>สำนักงาน (รักษาความปลอดภัย)</t>
  </si>
  <si>
    <t>หน้าห้องประชุมส่วนซ่อมบำรุง</t>
  </si>
  <si>
    <t>การเงิน</t>
  </si>
  <si>
    <t>ห้องส่วนซ่อมบำรุง</t>
  </si>
  <si>
    <t>ห้องผู้อำนวยการ (การเงิน)</t>
  </si>
  <si>
    <t>ห้องผู้อำนวยการ (ส่วนซ่อมบำรุง)</t>
  </si>
  <si>
    <t>ส่วนมาตรฐานและความปลอดภัยท่าอากาศยาน</t>
  </si>
  <si>
    <t>สำนักงานหน้าห้องรอง</t>
  </si>
  <si>
    <t>ห้องส่วนมาตรฐานและความปลอดภัยท่าอากาศยาน</t>
  </si>
  <si>
    <t>หน้าประตูโถงผู้อำนวยการท่าอากาศยานภูเก็ต</t>
  </si>
  <si>
    <t>ห้องส่วนบริหารงานทั่วไป</t>
  </si>
  <si>
    <t>ห้องผู้อำนวยการท่าอากาศยานภูเก็ต</t>
  </si>
  <si>
    <t>ห้องรองผู้อำนวยการท่าอากาศยานภูเก็ต</t>
  </si>
  <si>
    <t>ห้องหัวหน้าส่วนบริหารงานทั่วไป</t>
  </si>
  <si>
    <t>ห้องประชุม 1</t>
  </si>
  <si>
    <t>ห้องประชุม 2</t>
  </si>
  <si>
    <t>สำนักงานสมาคมการท่องเที่ยวภูเก็ต</t>
  </si>
  <si>
    <t>โถงทางเดินผู้โดยสาร</t>
  </si>
  <si>
    <t>โถงทางเดินเคาน์เตอร์เช็คอิน</t>
  </si>
  <si>
    <t>โถงทางเดินหน้าเคาน์เตอร์</t>
  </si>
  <si>
    <t>โถงทางเดินหน้าธนาคาร</t>
  </si>
  <si>
    <t>ศูนย์ปฏิบัติการฉุกเฉิน</t>
  </si>
  <si>
    <t>อาคารซ่อมบำรุง</t>
  </si>
  <si>
    <t>โถงทางเดินบันได ชั้น 1</t>
  </si>
  <si>
    <t>โถงทางเดินบันได ชั้น 2</t>
  </si>
  <si>
    <t>สำนักงานส่วนซ่อมบำรุง</t>
  </si>
  <si>
    <t>อาคารดับเพลิงใหม่ (ไม้ขาว)</t>
  </si>
  <si>
    <t>พนักงานพักเวร</t>
  </si>
  <si>
    <t>หน้าห้องนอน</t>
  </si>
  <si>
    <t>หน้าห้องอาหาร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</si>
  <si>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Data Server</t>
    </r>
  </si>
  <si>
    <t xml:space="preserve">ห้องสื่อสาร A21 </t>
  </si>
  <si>
    <r>
      <rPr>
        <b/>
        <sz val="14"/>
        <color rgb="FF000000"/>
        <rFont val="TH SarabunPSK"/>
        <family val="2"/>
      </rPr>
      <t>ห้องสื่อสาร A24</t>
    </r>
    <r>
      <rPr>
        <b/>
        <sz val="14"/>
        <color rgb="FFFF0000"/>
        <rFont val="TH SarabunPSK"/>
        <family val="2"/>
      </rPr>
      <t xml:space="preserve">  </t>
    </r>
  </si>
  <si>
    <t>Counter Check-in Island 3</t>
  </si>
  <si>
    <t>Counter Check-in Island 4</t>
  </si>
  <si>
    <t>Counter Check-in Island 1</t>
  </si>
  <si>
    <t>Counter Check-in Island 2</t>
  </si>
  <si>
    <t xml:space="preserve">หลังออฟฟิตเคาท์เตอร์ประชาสัมพันธ์ (เพิ่ม) เอา Switch ตัวที่ 12 มาจากห้องคอมพิวเตอร์ ชั้น 4 อาคารสำนักงาน </t>
  </si>
  <si>
    <r>
      <rPr>
        <b/>
        <strike/>
        <sz val="14"/>
        <color rgb="FFFF0000"/>
        <rFont val="TH SarabunPSK"/>
        <family val="2"/>
      </rPr>
      <t>ฝั่งทิศใต้</t>
    </r>
    <r>
      <rPr>
        <b/>
        <sz val="14"/>
        <color rgb="FFFF0000"/>
        <rFont val="TH SarabunPSK"/>
        <family val="2"/>
      </rPr>
      <t xml:space="preserve">  ชั้น 1 ฝั่งทิศเหนือ</t>
    </r>
  </si>
  <si>
    <r>
      <rPr>
        <b/>
        <strike/>
        <sz val="14"/>
        <color rgb="FFFF0000"/>
        <rFont val="TH SarabunPSK"/>
        <family val="2"/>
      </rPr>
      <t>ห้องสื่อสาร ชั้น 2</t>
    </r>
    <r>
      <rPr>
        <b/>
        <sz val="14"/>
        <color rgb="FFFF0000"/>
        <rFont val="TH SarabunPSK"/>
        <family val="2"/>
      </rPr>
      <t xml:space="preserve">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</si>
  <si>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FF0000"/>
        <rFont val="TH SarabunPSK"/>
        <family val="2"/>
      </rPr>
      <t xml:space="preserve">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</si>
  <si>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5</t>
    </r>
    <r>
      <rPr>
        <b/>
        <sz val="14"/>
        <color rgb="FFFF0000"/>
        <rFont val="TH SarabunPSK"/>
        <family val="2"/>
      </rPr>
      <t xml:space="preserve">  ห้องคอมพิวเตอร์ ชั้น 5</t>
    </r>
  </si>
  <si>
    <r>
      <rPr>
        <b/>
        <strike/>
        <sz val="14"/>
        <color rgb="FFFF0000"/>
        <rFont val="TH SarabunPSK"/>
        <family val="2"/>
      </rPr>
      <t xml:space="preserve">ห้องประชุมใหญ่ ชั้น 5   </t>
    </r>
    <r>
      <rPr>
        <b/>
        <sz val="14"/>
        <color rgb="FFFF0000"/>
        <rFont val="TH SarabunPSK"/>
        <family val="2"/>
      </rPr>
      <t xml:space="preserve">ห้องประชุม ทภก. 2 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</si>
  <si>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FF0000"/>
        <rFont val="TH SarabunPSK"/>
        <family val="2"/>
      </rPr>
      <t xml:space="preserve"> ห้องคอมพิวเตอร์ ชั้น 3</t>
    </r>
  </si>
  <si>
    <t>อาคารสถานีกู้ภัยทางทะเล (เพิ่ม)</t>
  </si>
  <si>
    <t>ห้องสำนักงาน (เพิ่ม)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</si>
  <si>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ห้องสื่อสาร Com Room</t>
    </r>
  </si>
  <si>
    <t>อาคารสถานีดับเพลิง</t>
  </si>
  <si>
    <r>
      <rPr>
        <b/>
        <strike/>
        <sz val="14"/>
        <color rgb="FFFF0000"/>
        <rFont val="TH SarabunPSK"/>
        <family val="2"/>
      </rPr>
      <t>อาคารบำรุงรักษาอากาศยาน</t>
    </r>
    <r>
      <rPr>
        <b/>
        <sz val="14"/>
        <color rgb="FFFF0000"/>
        <rFont val="TH SarabunPSK"/>
        <family val="2"/>
      </rPr>
      <t xml:space="preserve">  อาคารบริการลานจอด (OM)</t>
    </r>
  </si>
  <si>
    <r>
      <rPr>
        <b/>
        <strike/>
        <sz val="14"/>
        <color rgb="FFFF0000"/>
        <rFont val="TH SarabunPSK"/>
        <family val="2"/>
      </rPr>
      <t>อาคารบริการภาคพื้นและลานจอด</t>
    </r>
    <r>
      <rPr>
        <b/>
        <sz val="14"/>
        <color rgb="FFFF0000"/>
        <rFont val="TH SarabunPSK"/>
        <family val="2"/>
      </rPr>
      <t xml:space="preserve">  อาคารบริการอุปกรณ์ภาคพื้น (GSE)
</t>
    </r>
  </si>
  <si>
    <r>
      <rPr>
        <b/>
        <strike/>
        <sz val="14"/>
        <color rgb="FFFF0000"/>
        <rFont val="TH SarabunPSK"/>
        <family val="2"/>
      </rPr>
      <t>อาคารดับเพลิงเก่า</t>
    </r>
    <r>
      <rPr>
        <b/>
        <sz val="14"/>
        <color rgb="FFFF0000"/>
        <rFont val="TH SarabunPSK"/>
        <family val="2"/>
      </rPr>
      <t xml:space="preserve">  อาคาร Bird Control Unit</t>
    </r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</si>
  <si>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3</t>
    </r>
  </si>
  <si>
    <r>
      <rPr>
        <b/>
        <strike/>
        <sz val="14"/>
        <color rgb="FFFF0000"/>
        <rFont val="TH SarabunPSK"/>
        <family val="2"/>
      </rPr>
      <t>อาคารซ่อมบำรุง ทภก.</t>
    </r>
    <r>
      <rPr>
        <b/>
        <sz val="14"/>
        <color rgb="FF000000"/>
        <rFont val="TH SarabunPSK"/>
        <family val="2"/>
      </rPr>
      <t xml:space="preserve"> </t>
    </r>
    <r>
      <rPr>
        <b/>
        <sz val="14"/>
        <color rgb="FFFF0000"/>
        <rFont val="TH SarabunPSK"/>
        <family val="2"/>
      </rPr>
      <t>อาคารสำนักงานบำรุงรักษาและคลัง (MO)</t>
    </r>
  </si>
  <si>
    <r>
      <rPr>
        <b/>
        <sz val="14"/>
        <color rgb="FF000000"/>
        <rFont val="TH SarabunPSK"/>
        <family val="2"/>
      </rPr>
      <t xml:space="preserve">ชั้น 1 ฝั่งทิศใต้ </t>
    </r>
    <r>
      <rPr>
        <b/>
        <sz val="14"/>
        <color rgb="FFFF0000"/>
        <rFont val="TH SarabunPSK"/>
        <family val="2"/>
      </rPr>
      <t xml:space="preserve"> </t>
    </r>
  </si>
  <si>
    <t>เลขห้อง</t>
  </si>
  <si>
    <t>Migration Plan
(Start Date)</t>
  </si>
  <si>
    <t>Migration Plan
(End Date)</t>
  </si>
  <si>
    <t>อาคาร สมอ.</t>
  </si>
  <si>
    <t>ห้องมาตรฐานท่าอากาศยาน</t>
  </si>
  <si>
    <t>8A102</t>
  </si>
  <si>
    <t>C9300L-24T-4X</t>
  </si>
  <si>
    <t>ออฟฟิศ ชั้น 3</t>
  </si>
  <si>
    <t>ส่วนกฎหมายและทรัพยากร</t>
  </si>
  <si>
    <t>อาคารดับเพลิง</t>
  </si>
  <si>
    <t>12A100</t>
  </si>
  <si>
    <t>อาคารฝ่ายปฏิบัติการท่าอากาศยาน ชั้น 1</t>
  </si>
  <si>
    <t>ห้องปฏิบัติการท่าอากาศยาน</t>
  </si>
  <si>
    <t>C9300L-24UXG-4X</t>
  </si>
  <si>
    <t>อาคารส่วนพัสดุ</t>
  </si>
  <si>
    <t>ห้องส่วนพัสดุ</t>
  </si>
  <si>
    <t>อาคารสำนักงาน ชั้น 1</t>
  </si>
  <si>
    <t>2C100/6</t>
  </si>
  <si>
    <t>อาคารฝ่ายบำรุงรักษา ชั้น 2</t>
  </si>
  <si>
    <t>ห้องบำรุงรักษา ชั้น 2</t>
  </si>
  <si>
    <t>ผู้โดยสาร ทชม. ชั้น 1</t>
  </si>
  <si>
    <t>ห้องสะพานเทียบ</t>
  </si>
  <si>
    <t>ห้องรักษาความปลอดภัย</t>
  </si>
  <si>
    <t>ผู้โดยสาร ทชม. ชั้น 2</t>
  </si>
  <si>
    <t>ห้องศูนย์ปฏิบัติการฉุกเฉิน</t>
  </si>
  <si>
    <t>ส่วนมาตรฐาน ทชม. ชั้น 1</t>
  </si>
  <si>
    <t>เอนกประสงค์ ทชม. ชั้น 1</t>
  </si>
  <si>
    <t>ห้องเอนกประสงค์</t>
  </si>
  <si>
    <t>ดับเพลิง ทชม. ชั้น 1</t>
  </si>
  <si>
    <t>หอบังคับการบิน ทชม. ชั้น 1</t>
  </si>
  <si>
    <t>ช่องทางเข้า1 ทชม. ชั้น 1</t>
  </si>
  <si>
    <t>Gate 1</t>
  </si>
  <si>
    <t>อาคารฝ่ายบำรุงรักษา ชั้น 1</t>
  </si>
  <si>
    <t>ห้องบำรุงรักษา</t>
  </si>
  <si>
    <t>ชั้น 2 D201</t>
  </si>
  <si>
    <t>D201</t>
  </si>
  <si>
    <t>C9500-48Y4C</t>
  </si>
  <si>
    <t>C9800-L-F</t>
  </si>
  <si>
    <t>PA-3410</t>
  </si>
  <si>
    <t>SNS-3715</t>
  </si>
  <si>
    <t>C9500-24Y4C</t>
  </si>
  <si>
    <t>C9407R</t>
  </si>
  <si>
    <t>ชั้น 1 ห้องประชาสัมพันธ์</t>
  </si>
  <si>
    <t>ชั้น 1 AHU3</t>
  </si>
  <si>
    <t>3</t>
  </si>
  <si>
    <t>ชั้น 1 AHU5</t>
  </si>
  <si>
    <t>5</t>
  </si>
  <si>
    <t>ชั้น 2 AHU23</t>
  </si>
  <si>
    <t>23</t>
  </si>
  <si>
    <t>ชั้น 2 AHU26</t>
  </si>
  <si>
    <t>26</t>
  </si>
  <si>
    <t>ชั้น 1 1F130</t>
  </si>
  <si>
    <t>1F130</t>
  </si>
  <si>
    <t>ชั้น 2 1F223</t>
  </si>
  <si>
    <t>1F223</t>
  </si>
  <si>
    <t>ชั้น 2 AHU27</t>
  </si>
  <si>
    <t>27</t>
  </si>
  <si>
    <t>ชั้น 2 AHU24</t>
  </si>
  <si>
    <t>24</t>
  </si>
  <si>
    <t>ชั้น 3 AHU34</t>
  </si>
  <si>
    <t>34</t>
  </si>
  <si>
    <t>ชั้น 1 ห้องบำรุงรักษา</t>
  </si>
  <si>
    <t>สำนักงาน ทชม.</t>
  </si>
  <si>
    <t>ชั้น 1 2C100/6</t>
  </si>
  <si>
    <t>ชั้น 2 2A200</t>
  </si>
  <si>
    <t>2A200</t>
  </si>
  <si>
    <t>ชั้น 2 1F201</t>
  </si>
  <si>
    <t>1F201</t>
  </si>
  <si>
    <t>คลังสินค้า ทชม.</t>
  </si>
  <si>
    <t>ชั้น 2 11A208</t>
  </si>
  <si>
    <t>11A208</t>
  </si>
  <si>
    <t xml:space="preserve">% Progress : </t>
  </si>
  <si>
    <t>LAN</t>
  </si>
  <si>
    <t>ควบคุมคุณภาพ ปภ. ทชม.</t>
  </si>
  <si>
    <t>มาตรฐานความปลอดภัยท่าอากาศยาน</t>
  </si>
  <si>
    <t>ผอ. สมอ. ทชม.</t>
  </si>
  <si>
    <t>ส่วนงาน สมอ. ทชม.</t>
  </si>
  <si>
    <t>ซ่อมบำรุง</t>
  </si>
  <si>
    <t>อาคารโรงอาหาร</t>
  </si>
  <si>
    <t>หน้าโรงอาหาร</t>
  </si>
  <si>
    <t>อาคารกองยานพาหนะ</t>
  </si>
  <si>
    <t>พักเวรกองยานพาหนะ</t>
  </si>
  <si>
    <t>ห้องพักและทำงานกองยานพาหนะ</t>
  </si>
  <si>
    <t>เตรียมความพร้อม</t>
  </si>
  <si>
    <t>ประชุม</t>
  </si>
  <si>
    <t>หน้าห้องรอง ผอ.</t>
  </si>
  <si>
    <t>เวรข่าว</t>
  </si>
  <si>
    <t>ศูนย์ร่วมรักษาความปลอดภัย</t>
  </si>
  <si>
    <t>ประชาสัมพันธ์</t>
  </si>
  <si>
    <t>คลินิกแพทย์</t>
  </si>
  <si>
    <t>CCTV</t>
  </si>
  <si>
    <t>โถงทางเดินห้องรับรอง VIP</t>
  </si>
  <si>
    <t>ห้องรับรอง VIP อ่างขาง</t>
  </si>
  <si>
    <t>ส่วนปฏิบัติการความปลอดภัยกิจการการบิน</t>
  </si>
  <si>
    <t>ฝ่ายปฏิบัติการเขตการบิน</t>
  </si>
  <si>
    <t>หน้าห้องประชาสัมพันธ์</t>
  </si>
  <si>
    <t>อาคารฝ่ายบำรุงรักษา</t>
  </si>
  <si>
    <t>ด้านข้างชายคาอาคาร ด้านสนามหญ้า</t>
  </si>
  <si>
    <t>ด้านข้างอาคารเครื่องกำเนิดไฟฟ้า</t>
  </si>
  <si>
    <t>ส่วนสนามบินและอาคาร</t>
  </si>
  <si>
    <t>ส่วนระบบและเทคนิค</t>
  </si>
  <si>
    <t>พักเวรรับข่าว</t>
  </si>
  <si>
    <t>เวรรับข่าว</t>
  </si>
  <si>
    <t>ธุรการ</t>
  </si>
  <si>
    <t>ผชก.8</t>
  </si>
  <si>
    <t>อาคารพัสดุ</t>
  </si>
  <si>
    <t>ส่วนพัสดุ</t>
  </si>
  <si>
    <t>ฝ่ายรักษาความปลอดภัย</t>
  </si>
  <si>
    <t>ฝ่ายแผนงาน การพานิชย์และการเงิน</t>
  </si>
  <si>
    <t>รับรอง</t>
  </si>
  <si>
    <t>ผอ. ทชม.</t>
  </si>
  <si>
    <t>ส่วนกฎหมายและทรัพยากรบุคคล</t>
  </si>
  <si>
    <t>ประชุมเล็ก (AOC)</t>
  </si>
  <si>
    <t>ประชุมใหญ่ (AOC)</t>
  </si>
  <si>
    <t>AHU5</t>
  </si>
  <si>
    <t>ห้องประชาสัมพันธ์</t>
  </si>
  <si>
    <t>ส่วนมาตรฐาน</t>
  </si>
  <si>
    <t>ยี่ห้อ/รุ่น</t>
  </si>
  <si>
    <t>Migration Plan
(เริ่ม)</t>
  </si>
  <si>
    <t>ห้องไฟฟ้าสื่อสาร 2409</t>
  </si>
  <si>
    <t xml:space="preserve">ชื่ออาคารเดิมตาม TOR คือ ห้องสื่อสาร </t>
  </si>
  <si>
    <t>ห้องCCTV</t>
  </si>
  <si>
    <t>หน้าห้องการเงิน</t>
  </si>
  <si>
    <t xml:space="preserve">ชื่อห้องเดิมตาม TOR คือห้องน้ำห้องโถง </t>
  </si>
  <si>
    <t xml:space="preserve">  ห้องประมูลราคา</t>
  </si>
  <si>
    <t>ชื่อห้องเดิมตาม TOR คือห้องเปิดซองประมูล</t>
  </si>
  <si>
    <t>ห้องไฟฟ้าด้านทิศเหนือ</t>
  </si>
  <si>
    <t xml:space="preserve"> ห้องผู้อำนวยการส่วนรักษาความปลอดภัย</t>
  </si>
  <si>
    <t>ชื่อห้องเดิมตาม TOR คือห้องหัวหน้าส่วนรักษาความปลอดภัย</t>
  </si>
  <si>
    <t>สำนักงานส่วนบำรุงรักษา</t>
  </si>
  <si>
    <t>สำนักงานส่วนบำรุงรักษา ชั้น1</t>
  </si>
  <si>
    <t>อาคารคลังพัสดุ ทชร.</t>
  </si>
  <si>
    <t>ห้องหัวหน้าส่วนบำรุงรักษา</t>
  </si>
  <si>
    <t xml:space="preserve">ชื่ออาคารเดิมตาม TOR คืออาคาร สำนักงานส่วนบำรุงรักษา  </t>
  </si>
  <si>
    <t xml:space="preserve">อาคารเอนกประสงค์ </t>
  </si>
  <si>
    <t>หอบังคับการบินเก่า</t>
  </si>
  <si>
    <t>หอบังคับการบินเก่า ทชร. ชั้น2</t>
  </si>
  <si>
    <t xml:space="preserve"> สถานีดับเพลิงท่าอากาศยานแม่ฟ้าหลวง</t>
  </si>
  <si>
    <t>ชื่ออาคารเดิมตาม TOR คืออาคารส่วนดับเพลิง</t>
  </si>
  <si>
    <t>คลังสินค้า ชั้น2</t>
  </si>
  <si>
    <t>หอบังคับการบินใหม่</t>
  </si>
  <si>
    <t>ห้องโทรคมนาคมการบิน</t>
  </si>
  <si>
    <t xml:space="preserve"> อาคารโรงเครื่องยนต์จ่ายไฟฟ้าสนามบิน AFL</t>
  </si>
  <si>
    <t xml:space="preserve">ชื่ออาคารเดิมตาม TOR คืออาคารไฟฟ้า  </t>
  </si>
  <si>
    <t xml:space="preserve">ช่องทางเข้า1 </t>
  </si>
  <si>
    <t>จุดตรวจใต้ท้องรถ</t>
  </si>
  <si>
    <t>ห้องเจ้าหน้าที่ EOD</t>
  </si>
  <si>
    <t>ห้องหัวหน้าส่วนดับเพลิง</t>
  </si>
  <si>
    <t>ชื่อห้องเดิมตาม TOR คือห้องหัวหน้าส่วนดับเพลิง</t>
  </si>
  <si>
    <t>ท่าอากาศยานแม่ฟ้าหลวง เชียงราย</t>
  </si>
  <si>
    <t>อุปกรณ์กระจายสัญญาณเครือข่ายไร้สาย (Access Point)</t>
  </si>
  <si>
    <t>Cisco/CW9164I</t>
  </si>
  <si>
    <t>ด่านกักกันสัตว์ป่า</t>
  </si>
  <si>
    <t>ประชาสัมพันธ์ท่าอากาศยานเชียงราย</t>
  </si>
  <si>
    <t>โถงทางเดินห้อง VIP</t>
  </si>
  <si>
    <t>โถงห้องสำนักงาน</t>
  </si>
  <si>
    <t>ห้องผู้อำนวยการท่าอากาศยานเชียงราย</t>
  </si>
  <si>
    <t>ห้องสำนักงาน</t>
  </si>
  <si>
    <t>ห้องประชุม 3</t>
  </si>
  <si>
    <t>โถงทางเดินหน้าห้องสำนักงาน ชั้น 2</t>
  </si>
  <si>
    <t>โถงทางเดินห้องสำนักงาน ชั้น 2</t>
  </si>
  <si>
    <t>ห้องอุปกรณ์เครือข่าย</t>
  </si>
  <si>
    <t>อาคารสำนักงานส่วนบำรุงรักษา</t>
  </si>
  <si>
    <t>หัวหน้าส่วนบำรุงรักษา</t>
  </si>
  <si>
    <r>
      <t>สำนักงาน</t>
    </r>
    <r>
      <rPr>
        <sz val="14"/>
        <color rgb="FF000000"/>
        <rFont val="TH SarabunPSK"/>
        <family val="2"/>
      </rPr>
      <t>ส่วนบำรุงรักษา</t>
    </r>
  </si>
  <si>
    <t>อาคารส่วนคลังพัสดุ</t>
  </si>
  <si>
    <t>อาคารส่วนดับเพลิง</t>
  </si>
  <si>
    <r>
      <t>สำนักงาน</t>
    </r>
    <r>
      <rPr>
        <sz val="14"/>
        <color rgb="FF000000"/>
        <rFont val="TH SarabunPSK"/>
        <family val="2"/>
      </rPr>
      <t>ส่วนดับเพลิง</t>
    </r>
  </si>
  <si>
    <t>ห้องพักเจ้าหน้าที่ดับเพลิง</t>
  </si>
  <si>
    <r>
      <rPr>
        <b/>
        <strike/>
        <sz val="14"/>
        <color rgb="FFFF0000"/>
        <rFont val="TH SarabunPSK"/>
        <family val="2"/>
      </rPr>
      <t>ห้องสื่อสาร</t>
    </r>
    <r>
      <rPr>
        <b/>
        <sz val="14"/>
        <color rgb="FF000000"/>
        <rFont val="TH SarabunPSK"/>
        <family val="2"/>
      </rPr>
      <t xml:space="preserve"> ห้องไฟฟ้าสื่อสาร 2409</t>
    </r>
  </si>
  <si>
    <t>ห้องCCTV 2405</t>
  </si>
  <si>
    <t>AB2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</si>
  <si>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FF0000"/>
        <rFont val="TH SarabunPSK"/>
        <family val="2"/>
      </rPr>
      <t xml:space="preserve">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</si>
  <si>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FF0000"/>
        <rFont val="TH SarabunPSK"/>
        <family val="2"/>
      </rPr>
      <t xml:space="preserve"> ห้องประมูลราคา</t>
    </r>
  </si>
  <si>
    <t>O2</t>
  </si>
  <si>
    <t>ห้องไฟฟ้าด้านทิศเหนือ 2309</t>
  </si>
  <si>
    <t>O3 , AB3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</si>
  <si>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FF0000"/>
        <rFont val="TH SarabunPSK"/>
        <family val="2"/>
      </rPr>
      <t xml:space="preserve"> ห้องผู้อำนวยการส่วนรักษาความปลอดภัย</t>
    </r>
  </si>
  <si>
    <t>O6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</si>
  <si>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</t>
    </r>
    <r>
      <rPr>
        <b/>
        <sz val="14"/>
        <color rgb="FFFF0000"/>
        <rFont val="TH SarabunPSK"/>
        <family val="2"/>
      </rPr>
      <t>อาคารคลังพัสดุ ทชร.</t>
    </r>
  </si>
  <si>
    <t>EA1</t>
  </si>
  <si>
    <t>O7</t>
  </si>
  <si>
    <t>O8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</si>
  <si>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FF0000"/>
        <rFont val="TH SarabunPSK"/>
        <family val="2"/>
      </rPr>
      <t xml:space="preserve"> สถานีดับเพลิงท่าอากาศยานแม่ฟ้าหลวง</t>
    </r>
  </si>
  <si>
    <t>DA1 , 09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</si>
  <si>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FF0000"/>
        <rFont val="TH SarabunPSK"/>
        <family val="2"/>
      </rPr>
      <t>อาคารโรงเครื่องยนต์จ่ายไฟฟ้าสนามบิน AFL</t>
    </r>
  </si>
  <si>
    <t>Migration Plan 
(ถึง)</t>
  </si>
  <si>
    <t>อาคารส่วนบำรุงรักษา</t>
  </si>
  <si>
    <t xml:space="preserve">ชื่ออาคารเดิมตาม TOR คือ บำรุงรักษา </t>
  </si>
  <si>
    <t>ชื่ออาคารเดิมตาม TOR คือ ดับเพลิง</t>
  </si>
  <si>
    <t xml:space="preserve">อาคารรักษาการณ์ </t>
  </si>
  <si>
    <t>ช่องทาง 1</t>
  </si>
  <si>
    <t xml:space="preserve">ชื่ออาคารเดิมตาม TOR คือ อาคารผู้โดยสาร ทหญ. </t>
  </si>
  <si>
    <t>อาคารรับรองพิเศษ</t>
  </si>
  <si>
    <t>ชื่ออาคารเดิมตาม TOR คือ อาคารผู้โดยสาร ทหญ.
ชื่อห้องเดิมตาม TOR คือ รับรองพิเศษ</t>
  </si>
  <si>
    <t>หน่วยโยธา สบร.ทหญ.</t>
  </si>
  <si>
    <t>ห้องเจ้าหน้าที่โยธา</t>
  </si>
  <si>
    <t xml:space="preserve">ชื่ออาคารเดิมตาม TOR คือ อาคารผู้โดยสาร ทหญ.
ชื่อห้องเดิมตาม TOR คือ ห้องโยธา </t>
  </si>
  <si>
    <t>ห้องศุลกากร</t>
  </si>
  <si>
    <t>อาคารงานเครื่องกล สบร.ทหญ.</t>
  </si>
  <si>
    <t>ชื่ออาคารเดิมตาม TOR คือ อาคารผู้โดยสาร ทหญ.
ชื่อห้องเดิมตาม TOR คือ ห้องงานเครื่องกล</t>
  </si>
  <si>
    <t>อาคารผู้โดยสาร ทหญ.</t>
  </si>
  <si>
    <t>ห้อง AHU1-1</t>
  </si>
  <si>
    <t>ชั้น 2 ห้องสื่อสาร</t>
  </si>
  <si>
    <t>ชั้น 2 AHU2-2</t>
  </si>
  <si>
    <t>ศูนย์ร่วมรักษาความปลอดภัยท่าอากาศยาน</t>
  </si>
  <si>
    <t xml:space="preserve">ชื่อห้องเดิมตาม TOR คือ ชั้น 1 รักษาความปลอดภัย </t>
  </si>
  <si>
    <t xml:space="preserve">ชื่อห้องเดิมตาม TOR คือ ชั้น 1 AHU1-1 </t>
  </si>
  <si>
    <t>ห้องโยธา</t>
  </si>
  <si>
    <t xml:space="preserve">ชื่อห้องเดิมตาม TOR คือ ชั้น 1 AHU2-1 </t>
  </si>
  <si>
    <t>ชั้น 1 ห้องพิธีการบิน</t>
  </si>
  <si>
    <t>ชั้น 1 ห้องบริการท่าอากาศยาน</t>
  </si>
  <si>
    <t>ชั้น 1 AHU1-2</t>
  </si>
  <si>
    <t>ชั้น 1 ห้องเครื่องกล</t>
  </si>
  <si>
    <t>ชั้น 2 AHU2-1</t>
  </si>
  <si>
    <t>อาคารช่องทาง 3</t>
  </si>
  <si>
    <t>ห้องเจ้าหน้าที่ X-Ray</t>
  </si>
  <si>
    <t xml:space="preserve">ชื่ออาคารเดิมตาม TOR คือ อาคารผู้โดยสาร ทหญ.
ชื่อห้องเดิมตาม TOR คือ ช่องทาง 3 </t>
  </si>
  <si>
    <t>ชั้น 1 AHU1-7</t>
  </si>
  <si>
    <t xml:space="preserve">ชื่อห้องเดิมตาม TOR คือ ชั้น 1 AHU1  </t>
  </si>
  <si>
    <t xml:space="preserve">ชื่อห้องเดิมตาม TOR คือ ชั้น 2 AHU1 </t>
  </si>
  <si>
    <t>อาคารสำนักงานฝ่ายสื่อสาร สบร.</t>
  </si>
  <si>
    <t>ชื่ออาคารเดิมตาม TOR คือ อาคารประปา
ชื่อห้องเดิมตาม TOR คือ ห้องประปา</t>
  </si>
  <si>
    <t>อาคารอเนกประสงค์</t>
  </si>
  <si>
    <t>อาคารสำนักงาน ปตท</t>
  </si>
  <si>
    <t>อาคารบำรุงรักษา</t>
  </si>
  <si>
    <t xml:space="preserve">Technician </t>
  </si>
  <si>
    <t>อาคารสำนักงานใหม่ท่าอากาศยานหาดใหญ่</t>
  </si>
  <si>
    <t>ชั้น 1 ห้องสื่อสาร  (เพิ่ม)</t>
  </si>
  <si>
    <t>เพิ่มเติมจาก TOR</t>
  </si>
  <si>
    <t xml:space="preserve">ชั้น 2  Datacenter </t>
  </si>
  <si>
    <t xml:space="preserve">ชื่อห้องเดิมตาม TOR คือ ชั้น 1 Datacenter </t>
  </si>
  <si>
    <t>อุปกรณ์กระจายสัญญาณเครือข่ายรองแบบที่ 4 (Distribute Switch Type 4)</t>
  </si>
  <si>
    <t>ชั้น 3 ห้องสื่อสาร</t>
  </si>
  <si>
    <t>ชั้น 4 ห้องสื่อสาร</t>
  </si>
  <si>
    <t>ชั้น 5 ห้องสื่อสาร</t>
  </si>
  <si>
    <t>ท่าอากาศยานหาดใหญ่</t>
  </si>
  <si>
    <t>อาคารสำนักงานใหม่</t>
  </si>
  <si>
    <t>โถงต้อนรับ</t>
  </si>
  <si>
    <t>ห้องประชุมเล็ก 1, 2</t>
  </si>
  <si>
    <t>ห้องประชุมกลาง</t>
  </si>
  <si>
    <t>สำนักงานพัสดุ</t>
  </si>
  <si>
    <t>ส่วนปฏิบัติการเขตการบิน</t>
  </si>
  <si>
    <t>ส่วนพาณิชย์และการเงิน 1</t>
  </si>
  <si>
    <t>ส่วนพาณิชย์และการเงิน 2</t>
  </si>
  <si>
    <t>ส่วนมาตรฐานและอนามัย</t>
  </si>
  <si>
    <t>ส่วนบริการท่าอากาศยาน</t>
  </si>
  <si>
    <t>งานบริการคุณภาพบริการ</t>
  </si>
  <si>
    <t>ผู้อำนวยการท่าอากาศยาน</t>
  </si>
  <si>
    <t>รองผู้อำนวยการท่าอากาศยาน</t>
  </si>
  <si>
    <t>ห้องควบคุมกล้อง CCTV</t>
  </si>
  <si>
    <t>พิธีการบิน</t>
  </si>
  <si>
    <t>พนักงานรักษาความปลอดภัย</t>
  </si>
  <si>
    <t>เจ้าหน้าที่ EOD</t>
  </si>
  <si>
    <t>ห้องอุปกรณ์สื่อสารเครือข่าย</t>
  </si>
  <si>
    <t>ห้องอุปกรณ์สื่อสารเครือข่าย (สบร.)</t>
  </si>
  <si>
    <t>ประชุม 1</t>
  </si>
  <si>
    <t>สำนักงาน AOCC</t>
  </si>
  <si>
    <t>รับรอง VIP 1</t>
  </si>
  <si>
    <t>รับรอง VIP 2</t>
  </si>
  <si>
    <t>รับรอง VIP 3</t>
  </si>
  <si>
    <t>อาคารบำรุงรักษา (สำนักงาน)</t>
  </si>
  <si>
    <t>พนักงานวิศวกรรม</t>
  </si>
  <si>
    <t>พนักงานเอกสาร</t>
  </si>
  <si>
    <t>อาคารบำรุงรักษา (ยานพาหนะ)</t>
  </si>
  <si>
    <t>ห้องพักพนักงาน</t>
  </si>
  <si>
    <t>สำนักงานยานพาหนะ</t>
  </si>
  <si>
    <t>อาคารบำรุงรักษา (โยธา)</t>
  </si>
  <si>
    <t>สำนักงานโยธา</t>
  </si>
  <si>
    <t>อาคารบำรุงรักษา (เครื่องกล)</t>
  </si>
  <si>
    <t>สำนักงานเครื่องกล</t>
  </si>
  <si>
    <t>อาคารบำรุงรักษา (สื่อสาร)</t>
  </si>
  <si>
    <t>สำนักงานสื่อสาร</t>
  </si>
  <si>
    <t>ผู้อำนวยการส่วนดับเพลิง</t>
  </si>
  <si>
    <t>นอนพักเวร</t>
  </si>
  <si>
    <t>สำนักงานดับเพลิง</t>
  </si>
  <si>
    <t>O5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</si>
  <si>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FF0000"/>
        <rFont val="TH SarabunPSK"/>
        <family val="2"/>
      </rPr>
      <t xml:space="preserve"> อาคารรักษาการณ์ 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</si>
  <si>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หน่วยโยธา สบร.ทหญ.</t>
    </r>
  </si>
  <si>
    <r>
      <rPr>
        <b/>
        <strike/>
        <sz val="14"/>
        <color rgb="FFFF0000"/>
        <rFont val="TH SarabunPSK"/>
        <family val="2"/>
      </rPr>
      <t xml:space="preserve">ห้องโยธา </t>
    </r>
    <r>
      <rPr>
        <b/>
        <sz val="14"/>
        <color rgb="FFFF0000"/>
        <rFont val="TH SarabunPSK"/>
        <family val="2"/>
      </rPr>
      <t xml:space="preserve">  ห้องเจ้าหน้าที่โยธา</t>
    </r>
  </si>
  <si>
    <t>Rack 15U ,Wallrack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</si>
  <si>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อาคารคลังสินค้า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</si>
  <si>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อาคารงานเครื่องกล สบร.ทหญ.</t>
    </r>
  </si>
  <si>
    <r>
      <rPr>
        <b/>
        <strike/>
        <sz val="14"/>
        <color rgb="FFFF0000"/>
        <rFont val="TH SarabunPSK"/>
        <family val="2"/>
      </rPr>
      <t>ห้องงานเครื่องกล</t>
    </r>
    <r>
      <rPr>
        <b/>
        <sz val="14"/>
        <color rgb="FFFF0000"/>
        <rFont val="TH SarabunPSK"/>
        <family val="2"/>
      </rPr>
      <t xml:space="preserve">  ห้องเจ้าหน้าที่</t>
    </r>
  </si>
  <si>
    <t>ชั้น 2 ห้องสื่อสาร 2010</t>
  </si>
  <si>
    <t>SERVER02-R03</t>
  </si>
  <si>
    <t>ชั้น 2 AHU2-2 2016</t>
  </si>
  <si>
    <t>AB2 ,  FIDS_AHU 2-2</t>
  </si>
  <si>
    <t>O1</t>
  </si>
  <si>
    <t>18 , 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</si>
  <si>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อาคารช่องทาง 3</t>
    </r>
  </si>
  <si>
    <r>
      <rPr>
        <b/>
        <strike/>
        <sz val="14"/>
        <color rgb="FFFF0000"/>
        <rFont val="TH SarabunPSK"/>
        <family val="2"/>
      </rPr>
      <t>ช่องทาง 3</t>
    </r>
    <r>
      <rPr>
        <b/>
        <sz val="14"/>
        <color rgb="FFFF0000"/>
        <rFont val="TH SarabunPSK"/>
        <family val="2"/>
      </rPr>
      <t xml:space="preserve">  ห้องเจ้าหน้าที่ X-Ray</t>
    </r>
  </si>
  <si>
    <t>AHU1-7</t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</si>
  <si>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FF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</si>
  <si>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ห้องเจ้าหน้าที่</t>
    </r>
  </si>
  <si>
    <t xml:space="preserve">ชั้น 2 ห้องสื่อสาร </t>
  </si>
  <si>
    <r>
      <rPr>
        <b/>
        <strike/>
        <sz val="14"/>
        <color rgb="FFFF0000"/>
        <rFont val="TH SarabunPSK"/>
        <family val="2"/>
      </rPr>
      <t xml:space="preserve">ชั้น 1 </t>
    </r>
    <r>
      <rPr>
        <b/>
        <sz val="14"/>
        <color rgb="FFFF0000"/>
        <rFont val="TH SarabunPSK"/>
        <family val="2"/>
      </rPr>
      <t xml:space="preserve">  ชั้น 2  Datacenter </t>
    </r>
  </si>
  <si>
    <t>DR3</t>
  </si>
  <si>
    <t>DR4</t>
  </si>
  <si>
    <t>DR5</t>
  </si>
  <si>
    <t>งานติดตั้งสายสัญญาณ UTP บริเวณห้องพักคอยผู้โดยสารขาออกระหว่างประเทศ จำนวน 234 จุด (เดินสายไปยังบริเวณเคาน์เตอร์ให้บริการภายในห้องพักคอยผู้โดยสารระหว่างประเทศ จำนวน 39 จุด)</t>
  </si>
  <si>
    <t>Task</t>
  </si>
  <si>
    <t>Task Details</t>
  </si>
  <si>
    <t>Result Details</t>
  </si>
  <si>
    <t>Checkpoint No.</t>
  </si>
  <si>
    <t>Service Impact</t>
  </si>
  <si>
    <t>Action Owner</t>
  </si>
  <si>
    <t>Backup Person</t>
  </si>
  <si>
    <t>Date</t>
  </si>
  <si>
    <t>Plan</t>
  </si>
  <si>
    <t>Actual</t>
  </si>
  <si>
    <t>Result</t>
  </si>
  <si>
    <t>Start Time</t>
  </si>
  <si>
    <t>Finish Time</t>
  </si>
  <si>
    <t>Duration (hh:mm)</t>
  </si>
  <si>
    <t>Pass</t>
  </si>
  <si>
    <t>Not Pass</t>
  </si>
  <si>
    <t>SD-Access ISE Integration</t>
  </si>
  <si>
    <t>Pre-Integration Activity</t>
  </si>
  <si>
    <t>Backup and collect status of ISE</t>
  </si>
  <si>
    <t>Result: ISE status is collected</t>
  </si>
  <si>
    <t>No</t>
  </si>
  <si>
    <t>ธนศักดิ์ (Cisco)</t>
  </si>
  <si>
    <t>Check status of Production AD servers from monitoring tool (CA)</t>
  </si>
  <si>
    <t>Result: AD server’s status is collected</t>
  </si>
  <si>
    <t>สุทธิพงษ์ (AIT)</t>
  </si>
  <si>
    <t>วชิรศักดิ์ (AIT)</t>
  </si>
  <si>
    <t>Pre-Integration Activity Summary</t>
  </si>
  <si>
    <t>Total Duration Time (Plan) :</t>
  </si>
  <si>
    <t>(Actual) :</t>
  </si>
  <si>
    <t xml:space="preserve">ซอฟต์แวร์ควบคุมการเข้าถึงระบบเครือข่าย (Access Control) </t>
  </si>
  <si>
    <t>อุปกรณ์ช่วยกู้คืนระบบควบคุมเครือข่ายด้วยซอฟต์แวร์ (SDN Witness)</t>
  </si>
  <si>
    <t>ห้องลูกค้า Server</t>
  </si>
  <si>
    <t>AMF-02-04</t>
  </si>
  <si>
    <t>อุปกรณ์กระจายสัญญาณเครือข่ายรองแบบที่ 1 (Distribute Switch Type 1)</t>
  </si>
  <si>
    <t>AMF-02-03</t>
  </si>
  <si>
    <t>งานฝ่ายอาคารทั่วไป ฝสอ. Room</t>
  </si>
  <si>
    <t>สคพ. ฝพอ Room</t>
  </si>
  <si>
    <t>งานซ่อมบำรุงยานยนต์</t>
  </si>
  <si>
    <t>ส่วนบำรุงพื้นที่และสนับสนุนเครื่องทุนแรง Room</t>
  </si>
  <si>
    <t>CPW1-09 ห้องงานไฟฟ้า</t>
  </si>
  <si>
    <t>อุปกรณ์กระจายสัญญาณเครือข่ายหลักแบบที่ 1 (Core Switch Type 1)</t>
  </si>
  <si>
    <t>MET(อาคารอุตุนิยม)</t>
  </si>
  <si>
    <t>222</t>
  </si>
  <si>
    <t>ส่วนบริหารรถเช่าและรถรับจ้าง</t>
  </si>
  <si>
    <t>ห้องสอบสวนที่ 2</t>
  </si>
  <si>
    <t>1</t>
  </si>
  <si>
    <t>สำนักงานบริหารการก่อสร้าง อาคาร 1</t>
  </si>
  <si>
    <t>สำนักงานบริหารการก่อสร้าง อาคาร 2</t>
  </si>
  <si>
    <t>สำนักงานบริหารการก่อสร้าง อาคาร 3</t>
  </si>
  <si>
    <t>สำนักงานบริหารการก่อสร้าง อาคาร 4</t>
  </si>
  <si>
    <t>สำนักงานบริหารการก่อสร้าง อาคาร SBIA-NEWBULDING</t>
  </si>
  <si>
    <t>อาคาร Access Control</t>
  </si>
  <si>
    <t>อาคาร AO-1</t>
  </si>
  <si>
    <t>อาคาร AO-2</t>
  </si>
  <si>
    <t>อาคาร AO-3</t>
  </si>
  <si>
    <t>อาคาร AO-4</t>
  </si>
  <si>
    <t>อาคาร BC-1</t>
  </si>
  <si>
    <t>4136</t>
  </si>
  <si>
    <t>422</t>
  </si>
  <si>
    <t>ส่่วนบริการกลาง</t>
  </si>
  <si>
    <t>อาคาร BC-2</t>
  </si>
  <si>
    <t>อาคาร BFS Cargo Terminal</t>
  </si>
  <si>
    <t>6809</t>
  </si>
  <si>
    <t>6209</t>
  </si>
  <si>
    <t>6609</t>
  </si>
  <si>
    <t>อุปกรณ์ค้นหาเส้นทาง (Router)</t>
  </si>
  <si>
    <t>อาคาร Carpark-1</t>
  </si>
  <si>
    <t>อาคาร CE-1</t>
  </si>
  <si>
    <t>1114</t>
  </si>
  <si>
    <t>1210</t>
  </si>
  <si>
    <t>1226</t>
  </si>
  <si>
    <t>1114(EC-1) EE.</t>
  </si>
  <si>
    <t>1123</t>
  </si>
  <si>
    <t>อาคาร CI-1</t>
  </si>
  <si>
    <t>อาคาร CP-1</t>
  </si>
  <si>
    <t>ฝปป.สคศ.สสภ.</t>
  </si>
  <si>
    <t>อาคาร CT-1</t>
  </si>
  <si>
    <t>1062</t>
  </si>
  <si>
    <t>1057/2</t>
  </si>
  <si>
    <t>อาคาร Gatehouse 1</t>
  </si>
  <si>
    <t>อาคาร Gatehouse 2</t>
  </si>
  <si>
    <t>อาคาร GH-6</t>
  </si>
  <si>
    <t xml:space="preserve"> Core Node 7</t>
  </si>
  <si>
    <t>อาคาร Scanning Export</t>
  </si>
  <si>
    <t>อาคาร Scanning Import</t>
  </si>
  <si>
    <t>อาคาร WH-1</t>
  </si>
  <si>
    <t>อาคาร WH-2</t>
  </si>
  <si>
    <t>อาคาร WH-3</t>
  </si>
  <si>
    <t>อาคาร WH-4</t>
  </si>
  <si>
    <t>ตู้ rack ลอย</t>
  </si>
  <si>
    <t>ELE405</t>
  </si>
  <si>
    <t>ริมบันได FL.2</t>
  </si>
  <si>
    <t>อุปกรณ์กระจายสัญญาณเครือข่ายรวมแบบที่ 1 (Aggregation Switch Type 1)</t>
  </si>
  <si>
    <t>สปค.ฝพช.</t>
  </si>
  <si>
    <t>ท่าอากาศยานสุวรรณภูมิ</t>
  </si>
  <si>
    <t>Wireless</t>
  </si>
  <si>
    <t>A12</t>
  </si>
  <si>
    <t>A14</t>
  </si>
  <si>
    <t>A13</t>
  </si>
  <si>
    <t>A21</t>
  </si>
  <si>
    <t>A24</t>
  </si>
  <si>
    <t>A25</t>
  </si>
  <si>
    <t>A32</t>
  </si>
  <si>
    <t>A33</t>
  </si>
  <si>
    <t>A10</t>
  </si>
  <si>
    <t>A22</t>
  </si>
  <si>
    <t>A23</t>
  </si>
  <si>
    <t>A31</t>
  </si>
  <si>
    <t>A41</t>
  </si>
  <si>
    <t>A42</t>
  </si>
  <si>
    <r>
      <rPr>
        <b/>
        <strike/>
        <sz val="14"/>
        <color rgb="FFFF0000"/>
        <rFont val="TH SarabunPSK"/>
        <family val="2"/>
      </rPr>
      <t>บริเวณเคาท์เตอร์ Check-In</t>
    </r>
    <r>
      <rPr>
        <b/>
        <sz val="14"/>
        <color rgb="FF000000"/>
        <rFont val="TH SarabunPSK"/>
        <family val="2"/>
      </rPr>
      <t xml:space="preserve">    ยุบไป (Check in Island 1-4 ) อย่างละ 1 ตัว</t>
    </r>
  </si>
  <si>
    <t xml:space="preserve">ห้องสื่อสาร B23 (เพิ่ม)  เอา Switch ตัวที่ 13 มาจากห้องคอมพิวเตอร์ ชั้น 4 อาคารสำนักงาน </t>
  </si>
  <si>
    <r>
      <rPr>
        <b/>
        <strike/>
        <sz val="14"/>
        <color rgb="FFFF0000"/>
        <rFont val="TH SarabunPSK"/>
        <family val="2"/>
      </rPr>
      <t>ห้องประชุมใหญ่ ชั้น 5</t>
    </r>
    <r>
      <rPr>
        <b/>
        <sz val="14"/>
        <color rgb="FF000000"/>
        <rFont val="TH SarabunPSK"/>
        <family val="2"/>
      </rPr>
      <t xml:space="preserve">   ห้องประชุม ทภก. 2 </t>
    </r>
  </si>
  <si>
    <r>
      <rPr>
        <b/>
        <strike/>
        <sz val="14"/>
        <color rgb="FFFF0000"/>
        <rFont val="TH SarabunPSK"/>
        <family val="2"/>
      </rPr>
      <t>ห้องสื่อสาร ชั้น 4</t>
    </r>
    <r>
      <rPr>
        <b/>
        <sz val="14"/>
        <color rgb="FFFF0000"/>
        <rFont val="TH SarabunPSK"/>
        <family val="2"/>
      </rPr>
      <t xml:space="preserve">  ห้องคอมพิวเตอร์ ชั้น 4</t>
    </r>
  </si>
  <si>
    <t>อาคารสถานีกู้ภัยทางทะเล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</si>
  <si>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Comm Room</t>
    </r>
  </si>
  <si>
    <t>B11</t>
  </si>
  <si>
    <t>B12</t>
  </si>
  <si>
    <t>B13</t>
  </si>
  <si>
    <t>B21</t>
  </si>
  <si>
    <t>B24</t>
  </si>
  <si>
    <t>B22</t>
  </si>
  <si>
    <t>B31</t>
  </si>
  <si>
    <t>B32</t>
  </si>
  <si>
    <r>
      <rPr>
        <b/>
        <strike/>
        <sz val="14"/>
        <color rgb="FFFF0000"/>
        <rFont val="TH SarabunPSK"/>
        <family val="2"/>
      </rPr>
      <t xml:space="preserve">อาคารบริการภาคพื้นและลานจอด  </t>
    </r>
    <r>
      <rPr>
        <b/>
        <sz val="14"/>
        <color rgb="FFFF0000"/>
        <rFont val="TH SarabunPSK"/>
        <family val="2"/>
      </rPr>
      <t xml:space="preserve"> อาคารบริการอุปกรณ์ภาคพื้น (GSE)</t>
    </r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</si>
  <si>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1</t>
    </r>
  </si>
  <si>
    <r>
      <rPr>
        <b/>
        <strike/>
        <sz val="14"/>
        <color rgb="FFFF0000"/>
        <rFont val="TH SarabunPSK"/>
        <family val="2"/>
      </rPr>
      <t xml:space="preserve">อาคารซ่อมบำรุง ทภก. </t>
    </r>
    <r>
      <rPr>
        <b/>
        <sz val="14"/>
        <color rgb="FF000000"/>
        <rFont val="TH SarabunPSK"/>
        <family val="2"/>
      </rPr>
      <t>อาคารสำนักงานบำรุงรักษาและคลัง (MO)</t>
    </r>
  </si>
  <si>
    <r>
      <rPr>
        <b/>
        <strike/>
        <sz val="14"/>
        <color rgb="FFFF0000"/>
        <rFont val="TH SarabunPSK"/>
        <family val="2"/>
      </rPr>
      <t>สำนักงาน ทภก</t>
    </r>
    <r>
      <rPr>
        <b/>
        <sz val="14"/>
        <color rgb="FF000000"/>
        <rFont val="TH SarabunPSK"/>
        <family val="2"/>
      </rPr>
      <t>. อาคารสำนักงาน</t>
    </r>
  </si>
  <si>
    <r>
      <rPr>
        <b/>
        <strike/>
        <sz val="14"/>
        <color rgb="FFFF0000"/>
        <rFont val="TH SarabunPSK"/>
        <family val="2"/>
      </rPr>
      <t xml:space="preserve">ห้องสื่อสาร ชั้น 2  </t>
    </r>
    <r>
      <rPr>
        <b/>
        <sz val="14"/>
        <color rgb="FF000000"/>
        <rFont val="TH SarabunPSK"/>
        <family val="2"/>
      </rPr>
      <t xml:space="preserve">        ยุบไปรวม 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</si>
  <si>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000000"/>
        <rFont val="TH SarabunPSK"/>
        <family val="2"/>
      </rPr>
      <t xml:space="preserve">       ยุบไปรวม 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</si>
  <si>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000000"/>
        <rFont val="TH SarabunPSK"/>
        <family val="2"/>
      </rPr>
      <t xml:space="preserve">      ยุบไปรวม  ห้องคอมพิวเตอร์ ชั้น 3</t>
    </r>
  </si>
  <si>
    <t>ท่าอากาศยานภูเก็ต</t>
  </si>
  <si>
    <r>
      <rPr>
        <b/>
        <strike/>
        <sz val="14"/>
        <color rgb="FFFF0000"/>
        <rFont val="TH SarabunPSK"/>
        <family val="2"/>
      </rPr>
      <t>บำรุงรักษา</t>
    </r>
    <r>
      <rPr>
        <b/>
        <sz val="14"/>
        <color rgb="FFFF0000"/>
        <rFont val="TH SarabunPSK"/>
        <family val="2"/>
      </rPr>
      <t xml:space="preserve">  อาคารส่วนบำรุงรักษา</t>
    </r>
  </si>
  <si>
    <r>
      <rPr>
        <b/>
        <strike/>
        <sz val="14"/>
        <color rgb="FFFF0000"/>
        <rFont val="TH SarabunPSK"/>
        <family val="2"/>
      </rPr>
      <t>ดับเพลิง</t>
    </r>
    <r>
      <rPr>
        <b/>
        <sz val="14"/>
        <color rgb="FF000000"/>
        <rFont val="TH SarabunPSK"/>
        <family val="2"/>
      </rPr>
      <t xml:space="preserve"> อาคารดับเพลิง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</si>
  <si>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อาคารรักษาการณ์ 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</si>
  <si>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</t>
    </r>
    <r>
      <rPr>
        <b/>
        <strike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อาคารรับรองพิเศษ</t>
    </r>
  </si>
  <si>
    <r>
      <rPr>
        <b/>
        <strike/>
        <sz val="14"/>
        <color rgb="FFFF0000"/>
        <rFont val="TH SarabunPSK"/>
        <family val="2"/>
      </rPr>
      <t>รับรองพิเศษ</t>
    </r>
    <r>
      <rPr>
        <b/>
        <sz val="14"/>
        <color rgb="FFFF0000"/>
        <rFont val="TH SarabunPSK"/>
        <family val="2"/>
      </rPr>
      <t xml:space="preserve">  ห้อง AHU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</si>
  <si>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หน่วยโยธา สบร.ทหญ.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</si>
  <si>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อาคารคลังสินค้า</t>
    </r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</si>
  <si>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000000"/>
        <rFont val="TH SarabunPSK"/>
        <family val="2"/>
      </rPr>
      <t xml:space="preserve"> อาคารงานเครื่องกล สบร.ทหญ.</t>
    </r>
  </si>
  <si>
    <t>2016</t>
  </si>
  <si>
    <r>
      <rPr>
        <b/>
        <strike/>
        <sz val="14"/>
        <color rgb="FFFF0000"/>
        <rFont val="TH SarabunPSK"/>
        <family val="2"/>
      </rPr>
      <t>ชั้น 1 รักษาความปลอดภัย</t>
    </r>
    <r>
      <rPr>
        <b/>
        <sz val="14"/>
        <color rgb="FF000000"/>
        <rFont val="TH SarabunPSK"/>
        <family val="2"/>
      </rPr>
      <t xml:space="preserve">  ศูนย์ร่วมรักษาความปลอดภัยท่าอากาศยาน</t>
    </r>
  </si>
  <si>
    <r>
      <rPr>
        <b/>
        <strike/>
        <sz val="14"/>
        <color rgb="FFFF0000"/>
        <rFont val="TH SarabunPSK"/>
        <family val="2"/>
      </rPr>
      <t>ชั้น 1 AHU1-1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</si>
  <si>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ชั้น 1 AHU2-1</t>
    </r>
    <r>
      <rPr>
        <b/>
        <sz val="14"/>
        <color rgb="FF000000"/>
        <rFont val="TH SarabunPSK"/>
        <family val="2"/>
      </rPr>
      <t xml:space="preserve">   ไม่มี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</si>
  <si>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อาคารช่องทาง 3</t>
    </r>
  </si>
  <si>
    <r>
      <rPr>
        <b/>
        <strike/>
        <sz val="14"/>
        <color rgb="FFFF0000"/>
        <rFont val="TH SarabunPSK"/>
        <family val="2"/>
      </rPr>
      <t xml:space="preserve">ชั้น 1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</si>
  <si>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 xml:space="preserve">ชั้น 2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</si>
  <si>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00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</si>
  <si>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000000"/>
        <rFont val="TH SarabunPSK"/>
        <family val="2"/>
      </rPr>
      <t xml:space="preserve">  ห้องเจ้าหน้าที่</t>
    </r>
  </si>
  <si>
    <r>
      <rPr>
        <b/>
        <strike/>
        <sz val="14"/>
        <color rgb="FFFF0000"/>
        <rFont val="TH SarabunPSK"/>
        <family val="2"/>
      </rPr>
      <t xml:space="preserve">ชั้น 1 Datacenter </t>
    </r>
    <r>
      <rPr>
        <b/>
        <sz val="14"/>
        <color rgb="FF000000"/>
        <rFont val="TH SarabunPSK"/>
        <family val="2"/>
      </rPr>
      <t xml:space="preserve">   ชั้น 2  Datacenter </t>
    </r>
  </si>
  <si>
    <t>2409</t>
  </si>
  <si>
    <t>ติดตั้งทดสอบที่ AIMS</t>
  </si>
  <si>
    <t>2405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</si>
  <si>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000000"/>
        <rFont val="TH SarabunPSK"/>
        <family val="2"/>
      </rPr>
      <t xml:space="preserve"> 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</si>
  <si>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000000"/>
        <rFont val="TH SarabunPSK"/>
        <family val="2"/>
      </rPr>
      <t xml:space="preserve">  ห้องประมูลราคา</t>
    </r>
  </si>
  <si>
    <t>2309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</si>
  <si>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000000"/>
        <rFont val="TH SarabunPSK"/>
        <family val="2"/>
      </rPr>
      <t xml:space="preserve"> ห้องผู้อำนวยการส่วนรักษาความปลอดภัย</t>
    </r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</si>
  <si>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 </t>
    </r>
    <r>
      <rPr>
        <b/>
        <sz val="14"/>
        <color rgb="FF000000"/>
        <rFont val="TH SarabunPSK"/>
        <family val="2"/>
      </rPr>
      <t>อาคารคลังพัสดุ ทชร.</t>
    </r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</si>
  <si>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</si>
  <si>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000000"/>
        <rFont val="TH SarabunPSK"/>
        <family val="2"/>
      </rPr>
      <t xml:space="preserve">  อาคารโรงเครื่องยนต์จ่ายไฟฟ้าสนามบิน AFL</t>
    </r>
  </si>
  <si>
    <r>
      <rPr>
        <b/>
        <strike/>
        <sz val="14"/>
        <color rgb="FFFF0000"/>
        <rFont val="TH SarabunPSK"/>
        <family val="2"/>
      </rPr>
      <t>ห้องหัวหน้าส่วนดับเพลิง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</si>
  <si>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 xml:space="preserve"> ห้องAHU ชั้น 1 (ในห้องน้ำชาย)</t>
  </si>
  <si>
    <t>ห้อง 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</si>
</sst>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[$-1070000]d/m/yy;@"/>
    <numFmt numFmtId="166" formatCode="hh:mm"/>
    <numFmt numFmtId="167" formatCode="[$-107041E]d\ mmmm\ yyyy;@"/>
    <numFmt numFmtId="168" formatCode="_-* #,##0_-;\-* #,##0_-;_-* &quot;-&quot;??_-;_-@_-"/>
    <numFmt numFmtId="169" formatCode="d/m/yy"/>
    <numFmt numFmtId="170" formatCode="dd/mm/yyyy"/>
    <numFmt numFmtId="171" formatCode="[$-101041E]d\ mmmm\ yyyy;@"/>
  </numFmts>
  <fonts count="10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u/>
      <sz val="14"/>
      <color theme="1"/>
      <name val="TH SarabunPSK"/>
      <family val="2"/>
    </font>
    <font>
      <b/>
      <sz val="16"/>
      <color theme="1"/>
      <name val="TH SarabunPSK"/>
      <family val="2"/>
      <charset val="222"/>
    </font>
    <font>
      <sz val="16"/>
      <color theme="1"/>
      <name val="Tahoma"/>
      <family val="2"/>
      <charset val="222"/>
    </font>
    <font>
      <b/>
      <sz val="16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name val="TH SarabunPSK"/>
      <family val="2"/>
    </font>
    <font>
      <sz val="10"/>
      <color rgb="FF000000"/>
      <name val="Arial"/>
      <family val="2"/>
    </font>
    <font>
      <b/>
      <u/>
      <sz val="20"/>
      <color theme="1"/>
      <name val="TH SarabunPSK"/>
      <family val="2"/>
    </font>
    <font>
      <b/>
      <u/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rgb="FF000000"/>
      <name val="TH SarabunPSK"/>
      <family val="2"/>
    </font>
    <font>
      <b/>
      <u/>
      <sz val="16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rgb="FF000000"/>
      <name val="TH SarabunPSK"/>
      <family val="2"/>
    </font>
    <font>
      <b/>
      <sz val="18"/>
      <color theme="1"/>
      <name val="TH SarabunPSK"/>
      <family val="2"/>
    </font>
    <font>
      <sz val="14"/>
      <color rgb="FFFF0000"/>
      <name val="TH SarabunPSK"/>
      <family val="2"/>
    </font>
    <font>
      <sz val="14"/>
      <color rgb="FF00B050"/>
      <name val="TH SarabunPSK"/>
      <family val="2"/>
    </font>
    <font>
      <sz val="14"/>
      <color rgb="FF0070C0"/>
      <name val="TH SarabunPSK"/>
      <family val="2"/>
    </font>
    <font>
      <b/>
      <sz val="20"/>
      <color theme="0"/>
      <name val="TH SarabunPSK"/>
      <family val="2"/>
    </font>
    <font>
      <sz val="20"/>
      <color theme="0"/>
      <name val="TH SarabunPSK"/>
      <family val="2"/>
    </font>
    <font>
      <sz val="18"/>
      <color theme="1"/>
      <name val="TH SarabunPSK"/>
      <family val="2"/>
    </font>
    <font>
      <b/>
      <strike/>
      <sz val="14"/>
      <color rgb="FFFF0000"/>
      <name val="TH SarabunPSK"/>
      <family val="2"/>
    </font>
    <font>
      <b/>
      <sz val="14"/>
      <color rgb="FFFF0000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b/>
      <sz val="18"/>
      <color theme="0"/>
      <name val="TH SarabunPSK"/>
      <family val="2"/>
    </font>
    <font>
      <b/>
      <sz val="18"/>
      <color rgb="FF414244"/>
      <name val="TH SarabunPSK"/>
      <family val="2"/>
    </font>
    <font>
      <sz val="16"/>
      <color rgb="FF414244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1"/>
      <color rgb="FFFFFFFF"/>
      <name val="Calibri"/>
      <family val="2"/>
      <scheme val="minor"/>
    </font>
    <font>
      <sz val="14"/>
      <color theme="1"/>
      <name val="TH SarabunPSK"/>
      <family val="2"/>
      <charset val="1"/>
    </font>
    <font>
      <b/>
      <sz val="12"/>
      <color theme="1"/>
      <name val="TH SarabunPSK"/>
      <family val="2"/>
      <charset val="222"/>
    </font>
    <font>
      <sz val="12"/>
      <color rgb="FF000000"/>
      <name val="TH SarabunPSK"/>
      <family val="2"/>
    </font>
    <font>
      <sz val="11"/>
      <color theme="1"/>
      <name val="Calibri"/>
      <family val="2"/>
      <charset val="1"/>
    </font>
    <font>
      <b/>
      <sz val="16"/>
      <color rgb="FFFFFFFF"/>
      <name val="TH SarabunPSK"/>
      <family val="2"/>
    </font>
    <font>
      <sz val="12"/>
      <color rgb="FF1F4E79"/>
      <name val="TH SarabunPSK"/>
      <family val="2"/>
    </font>
    <font>
      <b/>
      <sz val="14"/>
      <color rgb="FFFFFFFF"/>
      <name val="TH SarabunPSK"/>
      <family val="2"/>
    </font>
    <font>
      <b/>
      <sz val="11"/>
      <color rgb="FFFFFFFF"/>
      <name val="TH SarabunPSK"/>
      <family val="2"/>
    </font>
    <font>
      <sz val="11"/>
      <color rgb="FF595959"/>
      <name val="TH SarabunPSK"/>
      <family val="2"/>
    </font>
    <font>
      <sz val="11"/>
      <color rgb="FF000000"/>
      <name val="TH SarabunPSK"/>
      <family val="2"/>
    </font>
    <font>
      <b/>
      <sz val="12"/>
      <color rgb="FFFFFFFF"/>
      <name val="TH SarabunPSK"/>
      <family val="2"/>
    </font>
    <font>
      <sz val="11"/>
      <color rgb="FF1F4E79"/>
      <name val="TH SarabunPSK"/>
      <family val="2"/>
    </font>
    <font>
      <b/>
      <sz val="10"/>
      <color rgb="FFFFFFFF"/>
      <name val="TH SarabunPSK"/>
      <family val="2"/>
    </font>
    <font>
      <b/>
      <sz val="16"/>
      <color theme="0"/>
      <name val="TH SarabunPSK"/>
      <family val="2"/>
      <charset val="222"/>
    </font>
    <font>
      <b/>
      <sz val="12"/>
      <color rgb="FF000000"/>
      <name val="TH SarabunPSK"/>
      <family val="2"/>
    </font>
    <font>
      <b/>
      <sz val="11"/>
      <color rgb="FF000000"/>
      <name val="TH SarabunPSK"/>
      <family val="2"/>
    </font>
    <font>
      <b/>
      <sz val="13"/>
      <color rgb="FF000000"/>
      <name val="TH SarabunPSK"/>
      <family val="2"/>
    </font>
    <font>
      <sz val="13"/>
      <color rgb="FF000000"/>
      <name val="TH SarabunPSK"/>
      <family val="2"/>
    </font>
    <font>
      <sz val="11"/>
      <color theme="1"/>
      <name val="FreeSans"/>
      <family val="2"/>
      <charset val="1"/>
    </font>
    <font>
      <b/>
      <sz val="12"/>
      <color rgb="FF000000"/>
      <name val="TH SarabunPSK"/>
      <family val="2"/>
      <charset val="222"/>
    </font>
    <font>
      <b/>
      <sz val="12"/>
      <color rgb="FFFFFFFF"/>
      <name val="TH SarabunPSK"/>
      <family val="2"/>
      <charset val="222"/>
    </font>
    <font>
      <sz val="12"/>
      <color theme="1"/>
      <name val="Calibri"/>
      <family val="2"/>
      <charset val="222"/>
    </font>
    <font>
      <sz val="12"/>
      <color rgb="FF000000"/>
      <name val="TH SarabunPSK"/>
      <family val="2"/>
      <charset val="222"/>
    </font>
    <font>
      <sz val="14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DejaVu Sans"/>
      <family val="2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0"/>
      <color rgb="FF0A0A0A"/>
      <name val="Arial"/>
      <family val="2"/>
    </font>
    <font>
      <sz val="8"/>
      <name val="Calibri"/>
      <family val="2"/>
      <scheme val="minor"/>
    </font>
    <font>
      <b/>
      <sz val="9"/>
      <color rgb="FFFFFFFF"/>
      <name val="TH SarabunPSK"/>
      <family val="2"/>
    </font>
    <font>
      <b/>
      <sz val="13"/>
      <color rgb="FFFFFFFF"/>
      <name val="TH SarabunPSK"/>
      <family val="2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sz val="10"/>
      <color rgb="FF595959"/>
      <name val="TH SarabunPSK"/>
      <family val="2"/>
    </font>
    <font>
      <sz val="9"/>
      <color rgb="FF000000"/>
      <name val="TH SarabunPSK"/>
      <family val="2"/>
    </font>
    <font>
      <sz val="11"/>
      <color rgb="FFFFFFFF"/>
      <name val="TH SarabunPSK"/>
      <family val="2"/>
    </font>
    <font>
      <sz val="9"/>
      <color rgb="FFFFFFFF"/>
      <name val="TH SarabunPSK"/>
      <family val="2"/>
    </font>
    <font>
      <sz val="11"/>
      <color rgb="FF000000"/>
      <name val="DejaVu Sans"/>
      <family val="2"/>
    </font>
    <font>
      <sz val="11"/>
      <color rgb="FF000000"/>
      <name val="Calibri"/>
      <family val="2"/>
      <charset val="1"/>
    </font>
    <font>
      <sz val="11"/>
      <color rgb="FFFF0000"/>
      <name val="DejaVu Sans"/>
      <family val="2"/>
    </font>
    <font>
      <b/>
      <sz val="11"/>
      <color theme="1"/>
      <name val="TH SarabunPSK"/>
      <family val="2"/>
    </font>
    <font>
      <sz val="16"/>
      <color rgb="FF000000"/>
      <name val="TH SarabunPSK"/>
      <family val="2"/>
      <charset val="222"/>
    </font>
    <font>
      <b/>
      <sz val="18"/>
      <color theme="1"/>
      <name val="TH SarabunPSK"/>
      <family val="2"/>
      <charset val="222"/>
    </font>
    <font>
      <b/>
      <sz val="18"/>
      <color rgb="FFFFFFFF"/>
      <name val="TH SarabunPSK"/>
      <family val="2"/>
    </font>
    <font>
      <b/>
      <sz val="18"/>
      <color theme="0"/>
      <name val="TH SarabunPSK"/>
      <family val="2"/>
      <charset val="222"/>
    </font>
    <font>
      <sz val="16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u/>
      <sz val="14"/>
      <color theme="1"/>
      <name val="TH SarabunPSK"/>
      <family val="2"/>
      <charset val="222"/>
    </font>
    <font>
      <sz val="11"/>
      <color theme="1"/>
      <name val="Tahoma"/>
      <family val="2"/>
      <charset val="222"/>
    </font>
    <font>
      <sz val="16"/>
      <color rgb="FFFF0000"/>
      <name val="TH SarabunPSK"/>
      <family val="2"/>
      <charset val="222"/>
    </font>
    <font>
      <sz val="14"/>
      <color rgb="FFFF0000"/>
      <name val="TH SarabunPSK"/>
      <family val="2"/>
      <charset val="222"/>
    </font>
    <font>
      <b/>
      <sz val="16"/>
      <color rgb="FFFFFFFF"/>
      <name val="TH SarabunPSK"/>
    </font>
    <font>
      <b/>
      <sz val="14"/>
      <name val="TH SarabunPSK"/>
      <family val="2"/>
    </font>
    <font>
      <b/>
      <u/>
      <sz val="14"/>
      <color rgb="FF000000"/>
      <name val="TH SarabunPSK"/>
      <family val="2"/>
    </font>
    <font>
      <b/>
      <sz val="14"/>
      <color rgb="FF000000"/>
      <name val="TH SarabunPSK"/>
    </font>
    <font>
      <sz val="14"/>
      <color rgb="FF000000"/>
      <name val="TH SarabunPSK"/>
    </font>
  </fonts>
  <fills count="9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FF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rgb="FF993366"/>
      </patternFill>
    </fill>
    <fill>
      <patternFill patternType="solid">
        <fgColor rgb="FF1F4E79"/>
        <bgColor rgb="FF264478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156082"/>
      </patternFill>
    </fill>
    <fill>
      <patternFill patternType="solid">
        <fgColor rgb="FF264478"/>
        <bgColor rgb="FF1F4E79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EEAF1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7F3F00"/>
        <bgColor rgb="FF993366"/>
      </patternFill>
    </fill>
    <fill>
      <patternFill patternType="solid">
        <fgColor rgb="FF4A235A"/>
        <bgColor rgb="FF660066"/>
      </patternFill>
    </fill>
    <fill>
      <patternFill patternType="solid">
        <fgColor rgb="FFFBE5D6"/>
        <bgColor rgb="FFFCE4D6"/>
      </patternFill>
    </fill>
    <fill>
      <patternFill patternType="solid">
        <fgColor rgb="FFDEEAF1"/>
        <bgColor rgb="FFD6E4F0"/>
      </patternFill>
    </fill>
    <fill>
      <patternFill patternType="solid">
        <fgColor rgb="FF156082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indexed="64"/>
      </patternFill>
    </fill>
    <fill>
      <patternFill patternType="solid">
        <fgColor theme="5" tint="0.79989013336588644"/>
        <bgColor rgb="FFFCE4D6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BDD7EE"/>
        <bgColor rgb="FFB4C7E7"/>
      </patternFill>
    </fill>
    <fill>
      <patternFill patternType="solid">
        <fgColor rgb="FF2E75B6"/>
        <bgColor rgb="FF4472C4"/>
      </patternFill>
    </fill>
    <fill>
      <patternFill patternType="solid">
        <fgColor rgb="FF9DC3E6"/>
        <bgColor rgb="FFB4C7E7"/>
      </patternFill>
    </fill>
    <fill>
      <patternFill patternType="solid">
        <fgColor rgb="FFD9D9D9"/>
        <bgColor rgb="FFD0CECE"/>
      </patternFill>
    </fill>
    <fill>
      <patternFill patternType="solid">
        <fgColor rgb="FFA9D08E"/>
        <bgColor rgb="FFA9D18E"/>
      </patternFill>
    </fill>
    <fill>
      <patternFill patternType="solid">
        <fgColor rgb="FFFFD966"/>
        <bgColor rgb="FFF8CBAD"/>
      </patternFill>
    </fill>
    <fill>
      <patternFill patternType="solid">
        <fgColor rgb="FFF4B084"/>
        <bgColor rgb="FFF4B183"/>
      </patternFill>
    </fill>
    <fill>
      <patternFill patternType="solid">
        <fgColor rgb="FFC5E0B4"/>
        <bgColor rgb="FFC6EFCE"/>
      </patternFill>
    </fill>
    <fill>
      <patternFill patternType="solid">
        <fgColor rgb="FFB4C7E7"/>
        <bgColor rgb="FF9DC3E6"/>
      </patternFill>
    </fill>
    <fill>
      <patternFill patternType="solid">
        <fgColor rgb="FFF8CBAD"/>
        <bgColor rgb="FFFCE4D6"/>
      </patternFill>
    </fill>
    <fill>
      <patternFill patternType="solid">
        <fgColor rgb="FFD0CECE"/>
        <bgColor rgb="FFD9D9D9"/>
      </patternFill>
    </fill>
    <fill>
      <patternFill patternType="solid">
        <fgColor rgb="FFFFFFE0"/>
        <bgColor rgb="FFFFFFFF"/>
      </patternFill>
    </fill>
    <fill>
      <patternFill patternType="solid">
        <fgColor rgb="FFFFFFFF"/>
        <bgColor rgb="FFFFFFE0"/>
      </patternFill>
    </fill>
    <fill>
      <patternFill patternType="solid">
        <fgColor rgb="FFFFC000"/>
        <bgColor rgb="FFFFD966"/>
      </patternFill>
    </fill>
    <fill>
      <patternFill patternType="solid">
        <fgColor theme="8" tint="0.79998168889431442"/>
        <bgColor rgb="FFFBE5D6"/>
      </patternFill>
    </fill>
    <fill>
      <patternFill patternType="solid">
        <fgColor theme="5" tint="0.79998168889431442"/>
        <bgColor rgb="FFD6E4F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DEEAF1"/>
      </patternFill>
    </fill>
    <fill>
      <patternFill patternType="solid">
        <fgColor theme="4" tint="0.79998168889431442"/>
        <bgColor rgb="FFDEEAF1"/>
      </patternFill>
    </fill>
    <fill>
      <patternFill patternType="solid">
        <fgColor theme="8" tint="0.79998168889431442"/>
        <bgColor rgb="FFDEEAF1"/>
      </patternFill>
    </fill>
    <fill>
      <patternFill patternType="solid">
        <fgColor theme="8" tint="0.79998168889431442"/>
        <bgColor rgb="FFD6E4F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EEAF1"/>
      </patternFill>
    </fill>
    <fill>
      <patternFill patternType="solid">
        <fgColor rgb="FF156082"/>
      </patternFill>
    </fill>
    <fill>
      <patternFill patternType="solid">
        <fgColor rgb="FF4A235A"/>
      </patternFill>
    </fill>
    <fill>
      <patternFill patternType="solid">
        <fgColor rgb="FFFBE5D6"/>
      </patternFill>
    </fill>
    <fill>
      <patternFill patternType="solid">
        <fgColor rgb="FFD6DCE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156082"/>
      </patternFill>
    </fill>
    <fill>
      <patternFill patternType="solid">
        <fgColor rgb="FFE8F3E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2F5597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FFFF"/>
        <bgColor rgb="FFC0E6F5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thin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9">
    <xf numFmtId="0" fontId="0" fillId="0" borderId="0"/>
    <xf numFmtId="0" fontId="3" fillId="0" borderId="0"/>
    <xf numFmtId="0" fontId="4" fillId="0" borderId="0"/>
    <xf numFmtId="9" fontId="5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2" fillId="0" borderId="0"/>
    <xf numFmtId="0" fontId="46" fillId="0" borderId="0"/>
    <xf numFmtId="0" fontId="1" fillId="0" borderId="0"/>
  </cellStyleXfs>
  <cellXfs count="128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10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9" fontId="9" fillId="0" borderId="0" xfId="3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wrapText="1"/>
    </xf>
    <xf numFmtId="0" fontId="9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8" fillId="0" borderId="0" xfId="0" applyFont="1"/>
    <xf numFmtId="0" fontId="7" fillId="6" borderId="2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top" wrapText="1"/>
    </xf>
    <xf numFmtId="0" fontId="9" fillId="5" borderId="7" xfId="0" applyFont="1" applyFill="1" applyBorder="1" applyAlignment="1">
      <alignment horizontal="left" vertical="top"/>
    </xf>
    <xf numFmtId="0" fontId="15" fillId="7" borderId="7" xfId="0" applyFont="1" applyFill="1" applyBorder="1" applyAlignment="1">
      <alignment vertical="top" wrapText="1"/>
    </xf>
    <xf numFmtId="0" fontId="15" fillId="7" borderId="10" xfId="0" applyFont="1" applyFill="1" applyBorder="1" applyAlignment="1">
      <alignment vertical="top" wrapText="1"/>
    </xf>
    <xf numFmtId="0" fontId="18" fillId="9" borderId="0" xfId="4" applyFont="1" applyFill="1"/>
    <xf numFmtId="0" fontId="7" fillId="9" borderId="0" xfId="4" applyFont="1" applyFill="1"/>
    <xf numFmtId="0" fontId="19" fillId="9" borderId="0" xfId="4" applyFont="1" applyFill="1"/>
    <xf numFmtId="0" fontId="7" fillId="8" borderId="1" xfId="4" applyFont="1" applyFill="1" applyBorder="1" applyAlignment="1">
      <alignment horizontal="center"/>
    </xf>
    <xf numFmtId="0" fontId="7" fillId="9" borderId="0" xfId="4" applyFont="1" applyFill="1" applyAlignment="1">
      <alignment horizontal="center"/>
    </xf>
    <xf numFmtId="0" fontId="8" fillId="9" borderId="1" xfId="4" applyFont="1" applyFill="1" applyBorder="1" applyAlignment="1">
      <alignment horizontal="center" vertical="center"/>
    </xf>
    <xf numFmtId="0" fontId="8" fillId="9" borderId="1" xfId="4" applyFont="1" applyFill="1" applyBorder="1" applyAlignment="1">
      <alignment vertical="top"/>
    </xf>
    <xf numFmtId="164" fontId="8" fillId="9" borderId="1" xfId="5" applyNumberFormat="1" applyFont="1" applyFill="1" applyBorder="1" applyAlignment="1">
      <alignment horizontal="center"/>
    </xf>
    <xf numFmtId="0" fontId="8" fillId="9" borderId="1" xfId="5" applyNumberFormat="1" applyFont="1" applyFill="1" applyBorder="1" applyAlignment="1">
      <alignment horizontal="center"/>
    </xf>
    <xf numFmtId="0" fontId="8" fillId="9" borderId="0" xfId="4" applyFont="1" applyFill="1"/>
    <xf numFmtId="0" fontId="8" fillId="9" borderId="0" xfId="4" applyFont="1" applyFill="1" applyAlignment="1">
      <alignment horizontal="center" vertical="center"/>
    </xf>
    <xf numFmtId="0" fontId="8" fillId="9" borderId="0" xfId="4" applyFont="1" applyFill="1" applyAlignment="1">
      <alignment vertical="top"/>
    </xf>
    <xf numFmtId="164" fontId="8" fillId="9" borderId="0" xfId="4" applyNumberFormat="1" applyFont="1" applyFill="1"/>
    <xf numFmtId="9" fontId="8" fillId="9" borderId="0" xfId="5" applyFont="1" applyFill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9" fontId="7" fillId="0" borderId="0" xfId="3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22" fillId="0" borderId="1" xfId="0" applyFont="1" applyBorder="1" applyAlignment="1">
      <alignment vertical="center" wrapText="1"/>
    </xf>
    <xf numFmtId="0" fontId="10" fillId="0" borderId="0" xfId="6" applyFont="1" applyAlignment="1">
      <alignment horizontal="center" vertical="top"/>
    </xf>
    <xf numFmtId="0" fontId="24" fillId="10" borderId="5" xfId="6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top" wrapText="1"/>
    </xf>
    <xf numFmtId="0" fontId="14" fillId="11" borderId="20" xfId="6" applyFont="1" applyFill="1" applyBorder="1" applyAlignment="1">
      <alignment horizontal="center" vertical="top" wrapText="1"/>
    </xf>
    <xf numFmtId="0" fontId="8" fillId="0" borderId="0" xfId="6" applyFont="1" applyAlignment="1">
      <alignment horizontal="center" vertical="top" wrapText="1"/>
    </xf>
    <xf numFmtId="0" fontId="8" fillId="0" borderId="5" xfId="6" applyFont="1" applyBorder="1" applyAlignment="1">
      <alignment horizontal="center" vertical="top" wrapText="1"/>
    </xf>
    <xf numFmtId="0" fontId="25" fillId="0" borderId="1" xfId="6" applyFont="1" applyBorder="1" applyAlignment="1">
      <alignment horizontal="left" vertical="top" wrapText="1"/>
    </xf>
    <xf numFmtId="0" fontId="25" fillId="0" borderId="1" xfId="6" applyFont="1" applyBorder="1" applyAlignment="1">
      <alignment horizontal="center" vertical="top" wrapText="1"/>
    </xf>
    <xf numFmtId="0" fontId="8" fillId="0" borderId="1" xfId="6" applyFont="1" applyBorder="1" applyAlignment="1">
      <alignment horizontal="center" vertical="top" wrapText="1"/>
    </xf>
    <xf numFmtId="0" fontId="25" fillId="0" borderId="20" xfId="6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6" applyFont="1" applyAlignment="1">
      <alignment horizontal="center" vertical="top"/>
    </xf>
    <xf numFmtId="0" fontId="14" fillId="12" borderId="0" xfId="6" applyFont="1" applyFill="1" applyAlignment="1">
      <alignment horizontal="right" vertical="top" wrapText="1"/>
    </xf>
    <xf numFmtId="0" fontId="23" fillId="12" borderId="0" xfId="6" applyFont="1" applyFill="1" applyAlignment="1">
      <alignment horizontal="center" vertical="top"/>
    </xf>
    <xf numFmtId="0" fontId="14" fillId="0" borderId="0" xfId="6" applyFont="1" applyAlignment="1">
      <alignment horizontal="right" vertical="top" wrapText="1"/>
    </xf>
    <xf numFmtId="0" fontId="23" fillId="0" borderId="0" xfId="6" applyFont="1" applyAlignment="1">
      <alignment horizontal="center" vertical="top"/>
    </xf>
    <xf numFmtId="0" fontId="26" fillId="0" borderId="0" xfId="6" applyFont="1" applyAlignment="1">
      <alignment horizontal="left" vertical="top"/>
    </xf>
    <xf numFmtId="0" fontId="27" fillId="0" borderId="0" xfId="6" applyFont="1" applyAlignment="1">
      <alignment horizontal="center" vertical="top"/>
    </xf>
    <xf numFmtId="0" fontId="28" fillId="0" borderId="0" xfId="6" applyFont="1" applyAlignment="1">
      <alignment horizontal="center" vertical="top"/>
    </xf>
    <xf numFmtId="0" fontId="24" fillId="13" borderId="2" xfId="6" applyFont="1" applyFill="1" applyBorder="1" applyAlignment="1">
      <alignment horizontal="center" vertical="top" wrapText="1"/>
    </xf>
    <xf numFmtId="0" fontId="14" fillId="11" borderId="21" xfId="6" applyFont="1" applyFill="1" applyBorder="1" applyAlignment="1">
      <alignment horizontal="center" vertical="top" wrapText="1"/>
    </xf>
    <xf numFmtId="0" fontId="10" fillId="0" borderId="0" xfId="6" applyFont="1" applyAlignment="1">
      <alignment horizontal="center" vertical="top" wrapText="1"/>
    </xf>
    <xf numFmtId="0" fontId="27" fillId="0" borderId="1" xfId="6" applyFont="1" applyBorder="1" applyAlignment="1">
      <alignment horizontal="center" vertical="top" wrapText="1"/>
    </xf>
    <xf numFmtId="0" fontId="28" fillId="0" borderId="1" xfId="6" applyFont="1" applyBorder="1" applyAlignment="1">
      <alignment horizontal="center" vertical="top" wrapText="1"/>
    </xf>
    <xf numFmtId="0" fontId="25" fillId="0" borderId="21" xfId="6" applyFont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top" wrapText="1"/>
    </xf>
    <xf numFmtId="0" fontId="27" fillId="14" borderId="1" xfId="6" applyFont="1" applyFill="1" applyBorder="1" applyAlignment="1">
      <alignment horizontal="center" vertical="top" wrapText="1"/>
    </xf>
    <xf numFmtId="0" fontId="7" fillId="12" borderId="0" xfId="6" applyFont="1" applyFill="1" applyAlignment="1">
      <alignment horizontal="right" vertical="top"/>
    </xf>
    <xf numFmtId="0" fontId="14" fillId="15" borderId="22" xfId="0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30" fillId="10" borderId="1" xfId="6" applyFont="1" applyFill="1" applyBorder="1" applyAlignment="1">
      <alignment horizontal="center" vertical="center" wrapText="1"/>
    </xf>
    <xf numFmtId="0" fontId="15" fillId="0" borderId="23" xfId="0" applyFont="1" applyBorder="1"/>
    <xf numFmtId="0" fontId="8" fillId="0" borderId="6" xfId="6" applyFont="1" applyBorder="1" applyAlignment="1">
      <alignment horizontal="center" vertical="top" wrapText="1"/>
    </xf>
    <xf numFmtId="0" fontId="30" fillId="10" borderId="2" xfId="6" applyFont="1" applyFill="1" applyBorder="1" applyAlignment="1">
      <alignment horizontal="center" vertical="center" wrapText="1"/>
    </xf>
    <xf numFmtId="0" fontId="31" fillId="10" borderId="5" xfId="6" applyFont="1" applyFill="1" applyBorder="1" applyAlignment="1">
      <alignment horizontal="center" vertical="center" wrapText="1"/>
    </xf>
    <xf numFmtId="0" fontId="32" fillId="0" borderId="0" xfId="6" applyFont="1" applyAlignment="1">
      <alignment horizontal="left" vertical="top"/>
    </xf>
    <xf numFmtId="0" fontId="25" fillId="0" borderId="20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wrapText="1"/>
    </xf>
    <xf numFmtId="0" fontId="15" fillId="0" borderId="5" xfId="0" applyFont="1" applyBorder="1"/>
    <xf numFmtId="0" fontId="15" fillId="18" borderId="4" xfId="0" applyFont="1" applyFill="1" applyBorder="1" applyAlignment="1">
      <alignment wrapText="1"/>
    </xf>
    <xf numFmtId="0" fontId="15" fillId="0" borderId="19" xfId="0" applyFont="1" applyBorder="1"/>
    <xf numFmtId="0" fontId="24" fillId="10" borderId="5" xfId="6" applyFont="1" applyFill="1" applyBorder="1" applyAlignment="1">
      <alignment horizontal="center" vertical="center" wrapText="1"/>
    </xf>
    <xf numFmtId="0" fontId="8" fillId="0" borderId="5" xfId="6" applyFont="1" applyBorder="1" applyAlignment="1">
      <alignment horizontal="center" vertical="center" wrapText="1"/>
    </xf>
    <xf numFmtId="0" fontId="26" fillId="0" borderId="0" xfId="6" applyFont="1" applyAlignment="1">
      <alignment horizontal="left" vertical="center"/>
    </xf>
    <xf numFmtId="0" fontId="14" fillId="11" borderId="20" xfId="6" applyFont="1" applyFill="1" applyBorder="1" applyAlignment="1">
      <alignment horizontal="center" vertical="center" wrapText="1"/>
    </xf>
    <xf numFmtId="0" fontId="14" fillId="15" borderId="22" xfId="0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15" fillId="0" borderId="19" xfId="0" applyFont="1" applyBorder="1" applyAlignment="1">
      <alignment wrapText="1"/>
    </xf>
    <xf numFmtId="0" fontId="15" fillId="18" borderId="4" xfId="0" applyFont="1" applyFill="1" applyBorder="1"/>
    <xf numFmtId="0" fontId="24" fillId="10" borderId="1" xfId="6" applyFont="1" applyFill="1" applyBorder="1" applyAlignment="1">
      <alignment horizontal="center" vertical="top"/>
    </xf>
    <xf numFmtId="0" fontId="15" fillId="17" borderId="1" xfId="0" applyFont="1" applyFill="1" applyBorder="1" applyAlignment="1">
      <alignment vertical="top"/>
    </xf>
    <xf numFmtId="0" fontId="24" fillId="10" borderId="1" xfId="6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vertical="center"/>
    </xf>
    <xf numFmtId="0" fontId="34" fillId="18" borderId="4" xfId="0" applyFont="1" applyFill="1" applyBorder="1" applyAlignment="1">
      <alignment wrapText="1"/>
    </xf>
    <xf numFmtId="0" fontId="34" fillId="0" borderId="19" xfId="0" applyFont="1" applyBorder="1"/>
    <xf numFmtId="0" fontId="30" fillId="10" borderId="2" xfId="6" applyFont="1" applyFill="1" applyBorder="1" applyAlignment="1">
      <alignment horizontal="center" vertical="top" wrapText="1"/>
    </xf>
    <xf numFmtId="0" fontId="15" fillId="18" borderId="23" xfId="0" applyFont="1" applyFill="1" applyBorder="1" applyAlignment="1">
      <alignment vertical="top" wrapText="1"/>
    </xf>
    <xf numFmtId="0" fontId="15" fillId="18" borderId="23" xfId="0" applyFont="1" applyFill="1" applyBorder="1" applyAlignment="1">
      <alignment vertical="top"/>
    </xf>
    <xf numFmtId="0" fontId="34" fillId="18" borderId="23" xfId="0" applyFont="1" applyFill="1" applyBorder="1" applyAlignment="1">
      <alignment vertical="top"/>
    </xf>
    <xf numFmtId="0" fontId="34" fillId="0" borderId="23" xfId="0" applyFont="1" applyBorder="1" applyAlignment="1">
      <alignment vertical="top" wrapText="1"/>
    </xf>
    <xf numFmtId="0" fontId="34" fillId="0" borderId="23" xfId="0" applyFont="1" applyBorder="1"/>
    <xf numFmtId="0" fontId="25" fillId="18" borderId="23" xfId="0" applyFont="1" applyFill="1" applyBorder="1" applyAlignment="1">
      <alignment horizontal="center" vertical="top" wrapText="1"/>
    </xf>
    <xf numFmtId="0" fontId="35" fillId="18" borderId="23" xfId="0" applyFont="1" applyFill="1" applyBorder="1" applyAlignment="1">
      <alignment horizontal="center" vertical="top" wrapText="1"/>
    </xf>
    <xf numFmtId="0" fontId="34" fillId="0" borderId="1" xfId="0" applyFont="1" applyBorder="1" applyAlignment="1">
      <alignment vertical="top"/>
    </xf>
    <xf numFmtId="0" fontId="34" fillId="17" borderId="1" xfId="0" applyFont="1" applyFill="1" applyBorder="1" applyAlignment="1">
      <alignment vertical="top"/>
    </xf>
    <xf numFmtId="0" fontId="34" fillId="17" borderId="1" xfId="0" applyFont="1" applyFill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0" fontId="15" fillId="0" borderId="5" xfId="0" applyFont="1" applyBorder="1" applyAlignment="1">
      <alignment horizontal="center" vertical="center"/>
    </xf>
    <xf numFmtId="164" fontId="8" fillId="9" borderId="1" xfId="5" applyNumberFormat="1" applyFont="1" applyFill="1" applyBorder="1" applyAlignment="1">
      <alignment horizontal="center" wrapText="1"/>
    </xf>
    <xf numFmtId="0" fontId="34" fillId="18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4" xfId="0" applyFont="1" applyBorder="1" applyAlignment="1">
      <alignment horizontal="left"/>
    </xf>
    <xf numFmtId="0" fontId="10" fillId="0" borderId="18" xfId="0" applyFont="1" applyBorder="1" applyAlignment="1">
      <alignment horizontal="center" vertical="center"/>
    </xf>
    <xf numFmtId="0" fontId="34" fillId="18" borderId="23" xfId="0" applyFont="1" applyFill="1" applyBorder="1" applyAlignment="1">
      <alignment vertical="top" wrapText="1"/>
    </xf>
    <xf numFmtId="0" fontId="34" fillId="5" borderId="7" xfId="0" applyFont="1" applyFill="1" applyBorder="1" applyAlignment="1">
      <alignment horizontal="left" vertical="top" wrapText="1"/>
    </xf>
    <xf numFmtId="0" fontId="9" fillId="5" borderId="30" xfId="0" applyFont="1" applyFill="1" applyBorder="1" applyAlignment="1">
      <alignment vertical="top" wrapText="1"/>
    </xf>
    <xf numFmtId="0" fontId="9" fillId="0" borderId="31" xfId="0" applyFont="1" applyBorder="1" applyAlignment="1">
      <alignment horizontal="left"/>
    </xf>
    <xf numFmtId="0" fontId="34" fillId="5" borderId="27" xfId="0" applyFont="1" applyFill="1" applyBorder="1" applyAlignment="1">
      <alignment vertical="top" wrapText="1"/>
    </xf>
    <xf numFmtId="0" fontId="34" fillId="5" borderId="10" xfId="0" applyFont="1" applyFill="1" applyBorder="1" applyAlignment="1">
      <alignment vertical="top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 wrapText="1"/>
    </xf>
    <xf numFmtId="0" fontId="15" fillId="18" borderId="23" xfId="0" applyFont="1" applyFill="1" applyBorder="1" applyAlignment="1">
      <alignment horizontal="center" wrapText="1"/>
    </xf>
    <xf numFmtId="0" fontId="15" fillId="18" borderId="23" xfId="0" applyFont="1" applyFill="1" applyBorder="1" applyAlignment="1">
      <alignment horizontal="center"/>
    </xf>
    <xf numFmtId="0" fontId="15" fillId="18" borderId="5" xfId="0" applyFont="1" applyFill="1" applyBorder="1" applyAlignment="1">
      <alignment horizontal="center" wrapText="1"/>
    </xf>
    <xf numFmtId="0" fontId="15" fillId="18" borderId="19" xfId="0" applyFont="1" applyFill="1" applyBorder="1" applyAlignment="1">
      <alignment horizontal="center" wrapText="1"/>
    </xf>
    <xf numFmtId="0" fontId="8" fillId="0" borderId="1" xfId="6" quotePrefix="1" applyFont="1" applyBorder="1" applyAlignment="1">
      <alignment horizontal="center" vertical="top" wrapText="1"/>
    </xf>
    <xf numFmtId="0" fontId="14" fillId="12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 wrapText="1"/>
    </xf>
    <xf numFmtId="0" fontId="15" fillId="18" borderId="19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/>
    </xf>
    <xf numFmtId="0" fontId="14" fillId="6" borderId="15" xfId="0" applyFont="1" applyFill="1" applyBorder="1" applyAlignment="1">
      <alignment horizontal="center" vertical="top" wrapText="1"/>
    </xf>
    <xf numFmtId="0" fontId="14" fillId="6" borderId="16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0" borderId="0" xfId="0" applyFont="1" applyAlignment="1">
      <alignment vertical="top"/>
    </xf>
    <xf numFmtId="0" fontId="15" fillId="0" borderId="11" xfId="0" applyFont="1" applyBorder="1" applyAlignment="1">
      <alignment vertical="top" wrapText="1"/>
    </xf>
    <xf numFmtId="0" fontId="10" fillId="0" borderId="11" xfId="0" applyFont="1" applyBorder="1" applyAlignment="1">
      <alignment horizontal="center" vertical="top"/>
    </xf>
    <xf numFmtId="0" fontId="10" fillId="0" borderId="17" xfId="0" applyFont="1" applyBorder="1" applyAlignment="1">
      <alignment vertical="top"/>
    </xf>
    <xf numFmtId="0" fontId="10" fillId="0" borderId="2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9" fontId="10" fillId="0" borderId="1" xfId="3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0" borderId="18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0" fontId="10" fillId="0" borderId="18" xfId="0" applyFont="1" applyBorder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/>
    </xf>
    <xf numFmtId="0" fontId="10" fillId="0" borderId="5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0" fillId="0" borderId="19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4" xfId="0" applyFont="1" applyBorder="1" applyAlignment="1">
      <alignment horizontal="center" vertical="top"/>
    </xf>
    <xf numFmtId="0" fontId="10" fillId="0" borderId="19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0" borderId="6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center" vertical="top"/>
    </xf>
    <xf numFmtId="9" fontId="9" fillId="0" borderId="0" xfId="3" applyFont="1" applyAlignment="1">
      <alignment horizontal="center" vertical="top"/>
    </xf>
    <xf numFmtId="9" fontId="11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" xfId="6" applyFont="1" applyBorder="1" applyAlignment="1">
      <alignment horizontal="center" vertical="center" wrapText="1"/>
    </xf>
    <xf numFmtId="0" fontId="15" fillId="18" borderId="19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left" vertical="top" wrapText="1"/>
    </xf>
    <xf numFmtId="0" fontId="10" fillId="0" borderId="27" xfId="0" applyFont="1" applyBorder="1" applyAlignment="1">
      <alignment horizontal="center"/>
    </xf>
    <xf numFmtId="0" fontId="10" fillId="0" borderId="38" xfId="0" applyFont="1" applyBorder="1" applyAlignment="1">
      <alignment horizontal="left"/>
    </xf>
    <xf numFmtId="0" fontId="10" fillId="0" borderId="33" xfId="0" applyFont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27" xfId="0" applyFont="1" applyBorder="1" applyAlignment="1">
      <alignment horizontal="center" vertical="center"/>
    </xf>
    <xf numFmtId="9" fontId="10" fillId="0" borderId="17" xfId="3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left"/>
    </xf>
    <xf numFmtId="0" fontId="10" fillId="0" borderId="4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9" fontId="10" fillId="0" borderId="35" xfId="3" applyFont="1" applyBorder="1" applyAlignment="1">
      <alignment horizontal="center" vertical="center"/>
    </xf>
    <xf numFmtId="9" fontId="10" fillId="0" borderId="36" xfId="3" applyFont="1" applyBorder="1" applyAlignment="1">
      <alignment horizontal="center" vertical="center"/>
    </xf>
    <xf numFmtId="0" fontId="10" fillId="0" borderId="31" xfId="0" applyFont="1" applyBorder="1" applyAlignment="1">
      <alignment horizontal="left"/>
    </xf>
    <xf numFmtId="0" fontId="10" fillId="0" borderId="4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9" fontId="10" fillId="0" borderId="37" xfId="3" applyFont="1" applyBorder="1" applyAlignment="1">
      <alignment horizontal="center" vertical="center"/>
    </xf>
    <xf numFmtId="9" fontId="10" fillId="0" borderId="2" xfId="3" applyFont="1" applyBorder="1" applyAlignment="1">
      <alignment horizontal="center" vertical="center"/>
    </xf>
    <xf numFmtId="9" fontId="10" fillId="0" borderId="4" xfId="3" applyFont="1" applyBorder="1" applyAlignment="1">
      <alignment horizontal="center" vertical="center"/>
    </xf>
    <xf numFmtId="0" fontId="10" fillId="0" borderId="39" xfId="0" applyFont="1" applyBorder="1" applyAlignment="1">
      <alignment horizontal="left"/>
    </xf>
    <xf numFmtId="0" fontId="10" fillId="0" borderId="40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3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4" fillId="19" borderId="24" xfId="0" applyFont="1" applyFill="1" applyBorder="1"/>
    <xf numFmtId="0" fontId="34" fillId="0" borderId="27" xfId="0" applyFont="1" applyBorder="1"/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34" fillId="0" borderId="33" xfId="0" applyFont="1" applyBorder="1"/>
    <xf numFmtId="0" fontId="34" fillId="19" borderId="33" xfId="0" applyFont="1" applyFill="1" applyBorder="1"/>
    <xf numFmtId="0" fontId="9" fillId="5" borderId="24" xfId="0" applyFont="1" applyFill="1" applyBorder="1" applyAlignment="1">
      <alignment horizontal="left" vertical="top" wrapText="1"/>
    </xf>
    <xf numFmtId="0" fontId="34" fillId="19" borderId="30" xfId="0" applyFont="1" applyFill="1" applyBorder="1" applyAlignment="1">
      <alignment vertical="top" wrapText="1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34" fillId="0" borderId="19" xfId="0" applyFont="1" applyBorder="1" applyAlignment="1">
      <alignment wrapText="1"/>
    </xf>
    <xf numFmtId="0" fontId="33" fillId="18" borderId="4" xfId="0" applyFont="1" applyFill="1" applyBorder="1" applyAlignment="1">
      <alignment wrapText="1"/>
    </xf>
    <xf numFmtId="0" fontId="15" fillId="0" borderId="23" xfId="0" applyFont="1" applyBorder="1" applyAlignment="1">
      <alignment vertical="center"/>
    </xf>
    <xf numFmtId="0" fontId="15" fillId="18" borderId="23" xfId="0" applyFont="1" applyFill="1" applyBorder="1" applyAlignment="1">
      <alignment horizontal="center" vertical="center" wrapText="1"/>
    </xf>
    <xf numFmtId="0" fontId="9" fillId="9" borderId="19" xfId="0" applyFont="1" applyFill="1" applyBorder="1"/>
    <xf numFmtId="0" fontId="15" fillId="9" borderId="19" xfId="0" applyFont="1" applyFill="1" applyBorder="1"/>
    <xf numFmtId="0" fontId="15" fillId="18" borderId="4" xfId="0" applyFont="1" applyFill="1" applyBorder="1" applyAlignment="1">
      <alignment vertical="center" wrapText="1"/>
    </xf>
    <xf numFmtId="0" fontId="34" fillId="18" borderId="4" xfId="0" applyFont="1" applyFill="1" applyBorder="1" applyAlignment="1">
      <alignment vertical="center" wrapText="1"/>
    </xf>
    <xf numFmtId="0" fontId="34" fillId="18" borderId="19" xfId="0" applyFont="1" applyFill="1" applyBorder="1" applyAlignment="1">
      <alignment horizontal="center" wrapText="1"/>
    </xf>
    <xf numFmtId="0" fontId="15" fillId="0" borderId="19" xfId="0" applyFont="1" applyBorder="1" applyAlignment="1">
      <alignment vertical="center" wrapText="1"/>
    </xf>
    <xf numFmtId="0" fontId="15" fillId="18" borderId="19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34" fillId="0" borderId="11" xfId="0" applyFont="1" applyBorder="1" applyAlignment="1">
      <alignment horizontal="left"/>
    </xf>
    <xf numFmtId="0" fontId="34" fillId="0" borderId="28" xfId="0" applyFont="1" applyBorder="1" applyAlignment="1">
      <alignment horizontal="left"/>
    </xf>
    <xf numFmtId="0" fontId="10" fillId="0" borderId="28" xfId="0" applyFont="1" applyBorder="1" applyAlignment="1">
      <alignment horizontal="center"/>
    </xf>
    <xf numFmtId="0" fontId="9" fillId="0" borderId="33" xfId="0" applyFont="1" applyBorder="1"/>
    <xf numFmtId="0" fontId="10" fillId="0" borderId="34" xfId="0" applyFont="1" applyBorder="1"/>
    <xf numFmtId="0" fontId="10" fillId="0" borderId="31" xfId="0" applyFont="1" applyBorder="1" applyAlignment="1">
      <alignment horizontal="center"/>
    </xf>
    <xf numFmtId="0" fontId="10" fillId="0" borderId="32" xfId="0" applyFont="1" applyBorder="1"/>
    <xf numFmtId="0" fontId="34" fillId="19" borderId="33" xfId="0" applyFont="1" applyFill="1" applyBorder="1" applyAlignment="1">
      <alignment horizontal="left"/>
    </xf>
    <xf numFmtId="0" fontId="34" fillId="0" borderId="33" xfId="0" applyFont="1" applyBorder="1" applyAlignment="1">
      <alignment horizontal="left"/>
    </xf>
    <xf numFmtId="0" fontId="33" fillId="0" borderId="33" xfId="0" applyFont="1" applyBorder="1"/>
    <xf numFmtId="0" fontId="33" fillId="0" borderId="30" xfId="0" applyFont="1" applyBorder="1"/>
    <xf numFmtId="0" fontId="9" fillId="5" borderId="49" xfId="0" applyFont="1" applyFill="1" applyBorder="1" applyAlignment="1">
      <alignment horizontal="left" vertical="top" wrapText="1"/>
    </xf>
    <xf numFmtId="0" fontId="9" fillId="5" borderId="50" xfId="0" applyFont="1" applyFill="1" applyBorder="1" applyAlignment="1">
      <alignment horizontal="left" vertical="top" wrapText="1"/>
    </xf>
    <xf numFmtId="0" fontId="9" fillId="0" borderId="24" xfId="0" applyFont="1" applyBorder="1" applyAlignment="1">
      <alignment horizontal="left" wrapText="1"/>
    </xf>
    <xf numFmtId="0" fontId="10" fillId="0" borderId="25" xfId="0" applyFont="1" applyBorder="1" applyAlignment="1">
      <alignment horizont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9" fontId="10" fillId="0" borderId="44" xfId="3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9" fontId="10" fillId="0" borderId="25" xfId="3" applyFont="1" applyBorder="1" applyAlignment="1">
      <alignment horizontal="center" vertical="center"/>
    </xf>
    <xf numFmtId="0" fontId="20" fillId="0" borderId="0" xfId="0" applyFont="1" applyAlignment="1">
      <alignment vertical="top"/>
    </xf>
    <xf numFmtId="0" fontId="15" fillId="0" borderId="1" xfId="0" applyFont="1" applyBorder="1" applyAlignment="1">
      <alignment horizontal="center" vertical="center"/>
    </xf>
    <xf numFmtId="9" fontId="8" fillId="9" borderId="1" xfId="3" applyFont="1" applyFill="1" applyBorder="1" applyAlignment="1">
      <alignment horizontal="center"/>
    </xf>
    <xf numFmtId="0" fontId="34" fillId="18" borderId="24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left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33" fillId="0" borderId="0" xfId="0" applyFont="1"/>
    <xf numFmtId="0" fontId="34" fillId="0" borderId="19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56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59" xfId="0" applyFont="1" applyBorder="1" applyAlignment="1">
      <alignment horizontal="left"/>
    </xf>
    <xf numFmtId="0" fontId="10" fillId="0" borderId="60" xfId="0" applyFont="1" applyBorder="1" applyAlignment="1">
      <alignment horizontal="left"/>
    </xf>
    <xf numFmtId="0" fontId="10" fillId="0" borderId="61" xfId="0" applyFont="1" applyBorder="1" applyAlignment="1">
      <alignment horizontal="left"/>
    </xf>
    <xf numFmtId="0" fontId="34" fillId="0" borderId="24" xfId="0" applyFont="1" applyBorder="1"/>
    <xf numFmtId="0" fontId="10" fillId="0" borderId="30" xfId="0" applyFont="1" applyBorder="1" applyAlignment="1">
      <alignment horizontal="center"/>
    </xf>
    <xf numFmtId="0" fontId="22" fillId="0" borderId="62" xfId="0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top" wrapText="1"/>
    </xf>
    <xf numFmtId="0" fontId="9" fillId="5" borderId="9" xfId="0" applyFont="1" applyFill="1" applyBorder="1" applyAlignment="1">
      <alignment vertical="top" wrapText="1"/>
    </xf>
    <xf numFmtId="0" fontId="36" fillId="0" borderId="0" xfId="0" applyFont="1"/>
    <xf numFmtId="0" fontId="7" fillId="0" borderId="0" xfId="0" applyFont="1" applyAlignment="1">
      <alignment horizontal="center"/>
    </xf>
    <xf numFmtId="0" fontId="7" fillId="21" borderId="1" xfId="0" applyFont="1" applyFill="1" applyBorder="1" applyAlignment="1">
      <alignment horizontal="center" textRotation="90"/>
    </xf>
    <xf numFmtId="0" fontId="7" fillId="21" borderId="1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 vertical="top" wrapText="1"/>
    </xf>
    <xf numFmtId="0" fontId="7" fillId="0" borderId="0" xfId="0" applyFont="1"/>
    <xf numFmtId="0" fontId="37" fillId="22" borderId="6" xfId="0" applyFont="1" applyFill="1" applyBorder="1" applyAlignment="1">
      <alignment vertical="top"/>
    </xf>
    <xf numFmtId="0" fontId="37" fillId="22" borderId="5" xfId="0" applyFont="1" applyFill="1" applyBorder="1" applyAlignment="1">
      <alignment vertical="top"/>
    </xf>
    <xf numFmtId="0" fontId="36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39" fillId="0" borderId="5" xfId="0" applyFont="1" applyBorder="1" applyAlignment="1">
      <alignment vertical="top" shrinkToFit="1" readingOrder="1"/>
    </xf>
    <xf numFmtId="0" fontId="8" fillId="0" borderId="1" xfId="0" applyFont="1" applyBorder="1"/>
    <xf numFmtId="0" fontId="39" fillId="0" borderId="1" xfId="0" applyFont="1" applyBorder="1" applyAlignment="1">
      <alignment vertical="top" shrinkToFit="1" readingOrder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165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0" borderId="5" xfId="0" applyFont="1" applyBorder="1" applyAlignment="1">
      <alignment vertical="top" wrapText="1" shrinkToFit="1" readingOrder="1"/>
    </xf>
    <xf numFmtId="20" fontId="8" fillId="0" borderId="1" xfId="0" applyNumberFormat="1" applyFont="1" applyBorder="1" applyAlignment="1">
      <alignment vertical="top"/>
    </xf>
    <xf numFmtId="166" fontId="26" fillId="12" borderId="1" xfId="0" applyNumberFormat="1" applyFont="1" applyFill="1" applyBorder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26" fillId="0" borderId="0" xfId="0" applyFont="1"/>
    <xf numFmtId="0" fontId="8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/>
    </xf>
    <xf numFmtId="0" fontId="8" fillId="9" borderId="12" xfId="0" applyFont="1" applyFill="1" applyBorder="1" applyAlignment="1">
      <alignment horizontal="left" vertical="top" wrapText="1"/>
    </xf>
    <xf numFmtId="0" fontId="8" fillId="9" borderId="0" xfId="0" applyFont="1" applyFill="1" applyAlignment="1">
      <alignment horizontal="left" vertical="top" wrapText="1"/>
    </xf>
    <xf numFmtId="0" fontId="7" fillId="5" borderId="7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7" fillId="6" borderId="7" xfId="0" applyFont="1" applyFill="1" applyBorder="1" applyAlignment="1">
      <alignment vertical="top" wrapText="1"/>
    </xf>
    <xf numFmtId="0" fontId="7" fillId="6" borderId="6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10" fillId="14" borderId="18" xfId="0" applyFont="1" applyFill="1" applyBorder="1" applyAlignment="1">
      <alignment vertical="top"/>
    </xf>
    <xf numFmtId="0" fontId="42" fillId="0" borderId="66" xfId="0" applyFont="1" applyBorder="1" applyAlignment="1">
      <alignment horizontal="center"/>
    </xf>
    <xf numFmtId="0" fontId="42" fillId="0" borderId="67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0" fillId="0" borderId="68" xfId="0" applyBorder="1"/>
    <xf numFmtId="0" fontId="0" fillId="0" borderId="69" xfId="0" applyBorder="1"/>
    <xf numFmtId="169" fontId="0" fillId="0" borderId="69" xfId="0" applyNumberFormat="1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vertical="top" wrapText="1"/>
    </xf>
    <xf numFmtId="0" fontId="22" fillId="0" borderId="5" xfId="0" applyFont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center" wrapText="1"/>
    </xf>
    <xf numFmtId="0" fontId="7" fillId="6" borderId="2" xfId="0" applyFont="1" applyFill="1" applyBorder="1" applyAlignment="1">
      <alignment vertical="top" wrapText="1"/>
    </xf>
    <xf numFmtId="0" fontId="7" fillId="20" borderId="1" xfId="0" applyFont="1" applyFill="1" applyBorder="1" applyAlignment="1">
      <alignment horizontal="center" vertical="top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62" xfId="0" applyFont="1" applyBorder="1" applyAlignment="1">
      <alignment vertical="center"/>
    </xf>
    <xf numFmtId="0" fontId="22" fillId="0" borderId="63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9" fontId="10" fillId="0" borderId="62" xfId="3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2" fillId="0" borderId="5" xfId="6" applyFont="1" applyBorder="1" applyAlignment="1">
      <alignment horizontal="center" vertical="top" wrapText="1"/>
    </xf>
    <xf numFmtId="0" fontId="22" fillId="0" borderId="1" xfId="6" applyFont="1" applyBorder="1" applyAlignment="1">
      <alignment horizontal="center" vertical="top" wrapText="1"/>
    </xf>
    <xf numFmtId="0" fontId="22" fillId="14" borderId="1" xfId="6" applyFont="1" applyFill="1" applyBorder="1" applyAlignment="1">
      <alignment horizontal="center" vertical="top" wrapText="1"/>
    </xf>
    <xf numFmtId="0" fontId="34" fillId="0" borderId="28" xfId="0" applyFont="1" applyBorder="1" applyAlignment="1">
      <alignment horizontal="left" wrapText="1"/>
    </xf>
    <xf numFmtId="0" fontId="34" fillId="18" borderId="33" xfId="0" applyFont="1" applyFill="1" applyBorder="1" applyAlignment="1">
      <alignment vertical="top" wrapText="1"/>
    </xf>
    <xf numFmtId="0" fontId="34" fillId="5" borderId="27" xfId="0" applyFont="1" applyFill="1" applyBorder="1" applyAlignment="1">
      <alignment horizontal="left" vertical="top" wrapText="1"/>
    </xf>
    <xf numFmtId="0" fontId="9" fillId="0" borderId="33" xfId="0" applyFont="1" applyBorder="1" applyAlignment="1">
      <alignment wrapText="1"/>
    </xf>
    <xf numFmtId="0" fontId="15" fillId="0" borderId="0" xfId="0" applyFont="1"/>
    <xf numFmtId="0" fontId="9" fillId="5" borderId="46" xfId="0" applyFont="1" applyFill="1" applyBorder="1" applyAlignment="1">
      <alignment horizontal="left" vertical="top" wrapText="1"/>
    </xf>
    <xf numFmtId="0" fontId="34" fillId="0" borderId="27" xfId="0" applyFont="1" applyBorder="1" applyAlignment="1">
      <alignment horizontal="left"/>
    </xf>
    <xf numFmtId="0" fontId="10" fillId="0" borderId="1" xfId="0" applyFont="1" applyBorder="1" applyAlignment="1">
      <alignment vertical="center" wrapText="1"/>
    </xf>
    <xf numFmtId="0" fontId="15" fillId="0" borderId="19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wrapText="1"/>
    </xf>
    <xf numFmtId="0" fontId="43" fillId="0" borderId="1" xfId="0" applyFont="1" applyBorder="1" applyAlignment="1">
      <alignment horizontal="center" vertical="top"/>
    </xf>
    <xf numFmtId="0" fontId="44" fillId="23" borderId="1" xfId="0" applyFont="1" applyFill="1" applyBorder="1" applyAlignment="1">
      <alignment horizontal="center" vertical="top" wrapText="1"/>
    </xf>
    <xf numFmtId="170" fontId="45" fillId="0" borderId="1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vertical="top"/>
    </xf>
    <xf numFmtId="0" fontId="46" fillId="0" borderId="0" xfId="7"/>
    <xf numFmtId="0" fontId="50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left" vertical="center" wrapText="1"/>
    </xf>
    <xf numFmtId="0" fontId="46" fillId="28" borderId="1" xfId="7" applyFill="1" applyBorder="1" applyAlignment="1">
      <alignment horizontal="center" vertical="center" wrapText="1"/>
    </xf>
    <xf numFmtId="0" fontId="46" fillId="29" borderId="1" xfId="7" applyFill="1" applyBorder="1" applyAlignment="1">
      <alignment horizontal="center" vertical="center" wrapText="1"/>
    </xf>
    <xf numFmtId="0" fontId="22" fillId="30" borderId="1" xfId="7" applyFont="1" applyFill="1" applyBorder="1" applyAlignment="1">
      <alignment horizontal="left" vertical="center" wrapText="1"/>
    </xf>
    <xf numFmtId="164" fontId="22" fillId="30" borderId="1" xfId="7" applyNumberFormat="1" applyFont="1" applyFill="1" applyBorder="1" applyAlignment="1">
      <alignment horizontal="center" vertical="center" wrapText="1"/>
    </xf>
    <xf numFmtId="164" fontId="15" fillId="29" borderId="1" xfId="7" applyNumberFormat="1" applyFont="1" applyFill="1" applyBorder="1" applyAlignment="1">
      <alignment horizontal="center" vertical="center" wrapText="1"/>
    </xf>
    <xf numFmtId="0" fontId="22" fillId="28" borderId="1" xfId="7" applyFont="1" applyFill="1" applyBorder="1" applyAlignment="1">
      <alignment horizontal="left" vertical="center" wrapText="1"/>
    </xf>
    <xf numFmtId="0" fontId="22" fillId="28" borderId="1" xfId="7" applyFont="1" applyFill="1" applyBorder="1" applyAlignment="1">
      <alignment horizontal="center" vertical="center" wrapText="1"/>
    </xf>
    <xf numFmtId="0" fontId="15" fillId="29" borderId="1" xfId="7" applyFont="1" applyFill="1" applyBorder="1" applyAlignment="1">
      <alignment horizontal="center" vertical="center" wrapText="1"/>
    </xf>
    <xf numFmtId="0" fontId="22" fillId="32" borderId="1" xfId="7" applyFont="1" applyFill="1" applyBorder="1" applyAlignment="1">
      <alignment horizontal="left" vertical="center" wrapText="1"/>
    </xf>
    <xf numFmtId="0" fontId="22" fillId="32" borderId="1" xfId="7" applyFont="1" applyFill="1" applyBorder="1" applyAlignment="1">
      <alignment horizontal="center" vertical="center" wrapText="1"/>
    </xf>
    <xf numFmtId="0" fontId="15" fillId="33" borderId="1" xfId="7" applyFont="1" applyFill="1" applyBorder="1" applyAlignment="1">
      <alignment horizontal="left" vertical="center" wrapText="1"/>
    </xf>
    <xf numFmtId="164" fontId="15" fillId="33" borderId="1" xfId="7" applyNumberFormat="1" applyFont="1" applyFill="1" applyBorder="1" applyAlignment="1">
      <alignment horizontal="center" vertical="center" wrapText="1"/>
    </xf>
    <xf numFmtId="0" fontId="15" fillId="36" borderId="1" xfId="7" applyFont="1" applyFill="1" applyBorder="1" applyAlignment="1">
      <alignment horizontal="left" vertical="center" wrapText="1"/>
    </xf>
    <xf numFmtId="164" fontId="15" fillId="36" borderId="1" xfId="7" applyNumberFormat="1" applyFont="1" applyFill="1" applyBorder="1" applyAlignment="1">
      <alignment horizontal="center" vertical="center" wrapText="1"/>
    </xf>
    <xf numFmtId="0" fontId="22" fillId="37" borderId="1" xfId="7" applyFont="1" applyFill="1" applyBorder="1" applyAlignment="1">
      <alignment horizontal="left" vertical="center" wrapText="1"/>
    </xf>
    <xf numFmtId="0" fontId="22" fillId="37" borderId="1" xfId="7" applyFont="1" applyFill="1" applyBorder="1" applyAlignment="1">
      <alignment horizontal="center" vertical="center" wrapText="1"/>
    </xf>
    <xf numFmtId="0" fontId="15" fillId="38" borderId="1" xfId="7" applyFont="1" applyFill="1" applyBorder="1" applyAlignment="1">
      <alignment horizontal="left" vertical="center" wrapText="1"/>
    </xf>
    <xf numFmtId="164" fontId="49" fillId="38" borderId="1" xfId="7" applyNumberFormat="1" applyFont="1" applyFill="1" applyBorder="1" applyAlignment="1">
      <alignment horizontal="center" vertical="center" wrapText="1"/>
    </xf>
    <xf numFmtId="0" fontId="15" fillId="37" borderId="1" xfId="7" applyFont="1" applyFill="1" applyBorder="1" applyAlignment="1">
      <alignment horizontal="left" vertical="center" wrapText="1"/>
    </xf>
    <xf numFmtId="164" fontId="15" fillId="37" borderId="1" xfId="7" applyNumberFormat="1" applyFont="1" applyFill="1" applyBorder="1" applyAlignment="1">
      <alignment horizontal="center" vertical="center" wrapText="1"/>
    </xf>
    <xf numFmtId="170" fontId="46" fillId="0" borderId="0" xfId="7" applyNumberFormat="1"/>
    <xf numFmtId="0" fontId="45" fillId="28" borderId="1" xfId="7" applyFont="1" applyFill="1" applyBorder="1" applyAlignment="1">
      <alignment horizontal="left" vertical="center" wrapText="1"/>
    </xf>
    <xf numFmtId="0" fontId="52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left" vertical="center" wrapText="1"/>
    </xf>
    <xf numFmtId="0" fontId="52" fillId="32" borderId="1" xfId="7" applyFont="1" applyFill="1" applyBorder="1" applyAlignment="1">
      <alignment horizontal="center" vertical="center" wrapText="1"/>
    </xf>
    <xf numFmtId="0" fontId="45" fillId="33" borderId="1" xfId="7" applyFont="1" applyFill="1" applyBorder="1" applyAlignment="1">
      <alignment horizontal="left" vertical="center" wrapText="1"/>
    </xf>
    <xf numFmtId="164" fontId="52" fillId="33" borderId="1" xfId="7" applyNumberFormat="1" applyFont="1" applyFill="1" applyBorder="1" applyAlignment="1">
      <alignment horizontal="center" vertical="center" wrapText="1"/>
    </xf>
    <xf numFmtId="0" fontId="45" fillId="37" borderId="1" xfId="7" applyFont="1" applyFill="1" applyBorder="1" applyAlignment="1">
      <alignment horizontal="left" vertical="center" wrapText="1"/>
    </xf>
    <xf numFmtId="164" fontId="52" fillId="37" borderId="1" xfId="7" applyNumberFormat="1" applyFont="1" applyFill="1" applyBorder="1" applyAlignment="1">
      <alignment horizontal="center" vertical="center" wrapText="1"/>
    </xf>
    <xf numFmtId="0" fontId="45" fillId="39" borderId="1" xfId="7" applyFont="1" applyFill="1" applyBorder="1" applyAlignment="1">
      <alignment horizontal="left" vertical="center" wrapText="1"/>
    </xf>
    <xf numFmtId="164" fontId="52" fillId="39" borderId="1" xfId="7" applyNumberFormat="1" applyFont="1" applyFill="1" applyBorder="1" applyAlignment="1">
      <alignment horizontal="center" vertical="center" wrapText="1"/>
    </xf>
    <xf numFmtId="0" fontId="10" fillId="0" borderId="23" xfId="0" quotePrefix="1" applyFont="1" applyBorder="1" applyAlignment="1">
      <alignment horizontal="center" vertical="top"/>
    </xf>
    <xf numFmtId="9" fontId="10" fillId="0" borderId="17" xfId="3" applyFont="1" applyBorder="1" applyAlignment="1">
      <alignment horizontal="center" vertical="top"/>
    </xf>
    <xf numFmtId="0" fontId="25" fillId="0" borderId="2" xfId="0" applyFont="1" applyBorder="1" applyAlignment="1">
      <alignment horizontal="left" vertical="top"/>
    </xf>
    <xf numFmtId="0" fontId="8" fillId="0" borderId="26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10" fillId="0" borderId="36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38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8" fillId="0" borderId="40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center" vertical="top"/>
    </xf>
    <xf numFmtId="0" fontId="25" fillId="9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top"/>
    </xf>
    <xf numFmtId="0" fontId="7" fillId="6" borderId="6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top"/>
    </xf>
    <xf numFmtId="9" fontId="10" fillId="6" borderId="1" xfId="3" applyFont="1" applyFill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25" fillId="0" borderId="33" xfId="0" applyFont="1" applyBorder="1" applyAlignment="1">
      <alignment horizontal="left" vertical="top"/>
    </xf>
    <xf numFmtId="0" fontId="8" fillId="0" borderId="24" xfId="0" applyFont="1" applyBorder="1" applyAlignment="1">
      <alignment horizontal="center" vertical="top"/>
    </xf>
    <xf numFmtId="0" fontId="8" fillId="0" borderId="0" xfId="0" applyFont="1" applyAlignment="1">
      <alignment horizontal="right" vertical="top"/>
    </xf>
    <xf numFmtId="1" fontId="9" fillId="0" borderId="0" xfId="3" applyNumberFormat="1" applyFont="1" applyAlignment="1">
      <alignment horizontal="center" vertical="top"/>
    </xf>
    <xf numFmtId="167" fontId="25" fillId="0" borderId="3" xfId="0" applyNumberFormat="1" applyFont="1" applyBorder="1" applyAlignment="1">
      <alignment horizontal="center" vertical="top"/>
    </xf>
    <xf numFmtId="1" fontId="9" fillId="12" borderId="23" xfId="3" applyNumberFormat="1" applyFont="1" applyFill="1" applyBorder="1" applyAlignment="1">
      <alignment horizontal="center" vertical="center"/>
    </xf>
    <xf numFmtId="10" fontId="7" fillId="12" borderId="23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top"/>
    </xf>
    <xf numFmtId="0" fontId="10" fillId="0" borderId="4" xfId="0" applyFont="1" applyBorder="1" applyAlignment="1">
      <alignment vertical="center"/>
    </xf>
    <xf numFmtId="0" fontId="7" fillId="6" borderId="2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5" fillId="9" borderId="19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170" fontId="25" fillId="0" borderId="19" xfId="0" applyNumberFormat="1" applyFont="1" applyBorder="1" applyAlignment="1">
      <alignment horizontal="center" vertical="center"/>
    </xf>
    <xf numFmtId="170" fontId="25" fillId="0" borderId="5" xfId="0" applyNumberFormat="1" applyFont="1" applyBorder="1" applyAlignment="1">
      <alignment horizontal="center" vertical="center"/>
    </xf>
    <xf numFmtId="170" fontId="7" fillId="6" borderId="6" xfId="0" applyNumberFormat="1" applyFont="1" applyFill="1" applyBorder="1" applyAlignment="1">
      <alignment horizontal="center" vertical="center" wrapText="1"/>
    </xf>
    <xf numFmtId="170" fontId="25" fillId="0" borderId="44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top"/>
    </xf>
    <xf numFmtId="0" fontId="10" fillId="40" borderId="1" xfId="0" applyFont="1" applyFill="1" applyBorder="1" applyAlignment="1">
      <alignment vertical="top"/>
    </xf>
    <xf numFmtId="0" fontId="16" fillId="0" borderId="0" xfId="7" applyFont="1"/>
    <xf numFmtId="0" fontId="53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center" vertical="center" wrapText="1"/>
    </xf>
    <xf numFmtId="0" fontId="15" fillId="41" borderId="1" xfId="7" applyFont="1" applyFill="1" applyBorder="1" applyAlignment="1">
      <alignment horizontal="left" vertical="center" wrapText="1"/>
    </xf>
    <xf numFmtId="164" fontId="15" fillId="41" borderId="1" xfId="7" applyNumberFormat="1" applyFont="1" applyFill="1" applyBorder="1" applyAlignment="1">
      <alignment horizontal="center" vertical="center" wrapText="1"/>
    </xf>
    <xf numFmtId="0" fontId="49" fillId="38" borderId="1" xfId="7" applyFont="1" applyFill="1" applyBorder="1" applyAlignment="1">
      <alignment horizontal="left" vertical="center" wrapText="1"/>
    </xf>
    <xf numFmtId="0" fontId="45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center" vertical="center" wrapText="1"/>
    </xf>
    <xf numFmtId="164" fontId="45" fillId="33" borderId="1" xfId="7" applyNumberFormat="1" applyFont="1" applyFill="1" applyBorder="1" applyAlignment="1">
      <alignment horizontal="center" vertical="center" wrapText="1"/>
    </xf>
    <xf numFmtId="164" fontId="45" fillId="37" borderId="1" xfId="7" applyNumberFormat="1" applyFont="1" applyFill="1" applyBorder="1" applyAlignment="1">
      <alignment horizontal="center" vertical="center" wrapText="1"/>
    </xf>
    <xf numFmtId="0" fontId="45" fillId="42" borderId="1" xfId="7" applyFont="1" applyFill="1" applyBorder="1" applyAlignment="1">
      <alignment horizontal="left" vertical="center" wrapText="1"/>
    </xf>
    <xf numFmtId="164" fontId="45" fillId="42" borderId="1" xfId="7" applyNumberFormat="1" applyFont="1" applyFill="1" applyBorder="1" applyAlignment="1">
      <alignment horizontal="center" vertical="center" wrapText="1"/>
    </xf>
    <xf numFmtId="0" fontId="55" fillId="26" borderId="1" xfId="7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left" vertical="top"/>
    </xf>
    <xf numFmtId="0" fontId="8" fillId="9" borderId="2" xfId="0" applyFont="1" applyFill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9" fontId="10" fillId="0" borderId="23" xfId="3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0" fillId="0" borderId="40" xfId="0" applyFont="1" applyBorder="1" applyAlignment="1">
      <alignment horizontal="center" vertical="center"/>
    </xf>
    <xf numFmtId="9" fontId="10" fillId="0" borderId="18" xfId="3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0" fillId="0" borderId="69" xfId="0" applyNumberFormat="1" applyBorder="1"/>
    <xf numFmtId="0" fontId="47" fillId="23" borderId="1" xfId="0" applyFont="1" applyFill="1" applyBorder="1" applyAlignment="1">
      <alignment horizontal="center" vertical="top" wrapText="1"/>
    </xf>
    <xf numFmtId="0" fontId="56" fillId="23" borderId="1" xfId="0" applyFont="1" applyFill="1" applyBorder="1" applyAlignment="1">
      <alignment horizontal="center" vertical="top" wrapText="1"/>
    </xf>
    <xf numFmtId="0" fontId="57" fillId="28" borderId="1" xfId="7" applyFont="1" applyFill="1" applyBorder="1" applyAlignment="1">
      <alignment horizontal="left" vertical="center" wrapText="1"/>
    </xf>
    <xf numFmtId="0" fontId="58" fillId="28" borderId="1" xfId="7" applyFont="1" applyFill="1" applyBorder="1" applyAlignment="1">
      <alignment horizontal="center" vertical="center" wrapText="1"/>
    </xf>
    <xf numFmtId="0" fontId="58" fillId="46" borderId="1" xfId="7" applyFont="1" applyFill="1" applyBorder="1" applyAlignment="1">
      <alignment horizontal="center" vertical="center" wrapText="1"/>
    </xf>
    <xf numFmtId="164" fontId="58" fillId="46" borderId="1" xfId="7" applyNumberFormat="1" applyFont="1" applyFill="1" applyBorder="1" applyAlignment="1">
      <alignment horizontal="center" vertical="center" wrapText="1"/>
    </xf>
    <xf numFmtId="0" fontId="59" fillId="53" borderId="1" xfId="7" applyFont="1" applyFill="1" applyBorder="1" applyAlignment="1">
      <alignment horizontal="right" vertical="center" wrapText="1"/>
    </xf>
    <xf numFmtId="0" fontId="60" fillId="54" borderId="1" xfId="7" applyFont="1" applyFill="1" applyBorder="1" applyAlignment="1">
      <alignment horizontal="center" vertical="center" wrapText="1"/>
    </xf>
    <xf numFmtId="0" fontId="57" fillId="28" borderId="1" xfId="7" applyFont="1" applyFill="1" applyBorder="1" applyAlignment="1">
      <alignment horizontal="center" vertical="center" wrapText="1"/>
    </xf>
    <xf numFmtId="164" fontId="57" fillId="28" borderId="1" xfId="7" applyNumberFormat="1" applyFont="1" applyFill="1" applyBorder="1" applyAlignment="1">
      <alignment horizontal="center" vertical="center" wrapText="1"/>
    </xf>
    <xf numFmtId="0" fontId="59" fillId="53" borderId="1" xfId="7" applyFont="1" applyFill="1" applyBorder="1" applyAlignment="1">
      <alignment horizontal="left" vertical="center" wrapText="1"/>
    </xf>
    <xf numFmtId="0" fontId="57" fillId="56" borderId="1" xfId="7" applyFont="1" applyFill="1" applyBorder="1" applyAlignment="1">
      <alignment horizontal="center" vertical="center" wrapText="1"/>
    </xf>
    <xf numFmtId="0" fontId="57" fillId="32" borderId="1" xfId="7" applyFont="1" applyFill="1" applyBorder="1" applyAlignment="1">
      <alignment horizontal="left" vertical="center" wrapText="1"/>
    </xf>
    <xf numFmtId="0" fontId="57" fillId="32" borderId="1" xfId="7" applyFont="1" applyFill="1" applyBorder="1" applyAlignment="1">
      <alignment horizontal="center" vertical="center" wrapText="1"/>
    </xf>
    <xf numFmtId="164" fontId="57" fillId="32" borderId="1" xfId="7" applyNumberFormat="1" applyFont="1" applyFill="1" applyBorder="1" applyAlignment="1">
      <alignment horizontal="center" vertical="center" wrapText="1"/>
    </xf>
    <xf numFmtId="0" fontId="61" fillId="0" borderId="0" xfId="7" applyFont="1"/>
    <xf numFmtId="0" fontId="57" fillId="57" borderId="1" xfId="7" applyFont="1" applyFill="1" applyBorder="1" applyAlignment="1">
      <alignment horizontal="left" vertical="center" wrapText="1"/>
    </xf>
    <xf numFmtId="164" fontId="58" fillId="57" borderId="1" xfId="7" applyNumberFormat="1" applyFont="1" applyFill="1" applyBorder="1" applyAlignment="1">
      <alignment horizontal="center" vertical="center" wrapText="1"/>
    </xf>
    <xf numFmtId="0" fontId="46" fillId="9" borderId="0" xfId="7" applyFill="1"/>
    <xf numFmtId="0" fontId="62" fillId="38" borderId="1" xfId="7" applyFont="1" applyFill="1" applyBorder="1" applyAlignment="1">
      <alignment horizontal="left" vertical="center" wrapText="1"/>
    </xf>
    <xf numFmtId="164" fontId="63" fillId="38" borderId="1" xfId="7" applyNumberFormat="1" applyFont="1" applyFill="1" applyBorder="1" applyAlignment="1">
      <alignment horizontal="center" vertical="center" wrapText="1"/>
    </xf>
    <xf numFmtId="164" fontId="62" fillId="29" borderId="1" xfId="7" applyNumberFormat="1" applyFont="1" applyFill="1" applyBorder="1" applyAlignment="1">
      <alignment horizontal="center" vertical="center" wrapText="1"/>
    </xf>
    <xf numFmtId="0" fontId="64" fillId="0" borderId="0" xfId="7" applyFont="1"/>
    <xf numFmtId="0" fontId="62" fillId="37" borderId="1" xfId="7" applyFont="1" applyFill="1" applyBorder="1" applyAlignment="1">
      <alignment horizontal="left" vertical="center" wrapText="1"/>
    </xf>
    <xf numFmtId="164" fontId="62" fillId="37" borderId="1" xfId="7" applyNumberFormat="1" applyFont="1" applyFill="1" applyBorder="1" applyAlignment="1">
      <alignment horizontal="center" vertical="center" wrapText="1"/>
    </xf>
    <xf numFmtId="0" fontId="65" fillId="37" borderId="1" xfId="7" applyFont="1" applyFill="1" applyBorder="1" applyAlignment="1">
      <alignment horizontal="left" vertical="center" wrapText="1"/>
    </xf>
    <xf numFmtId="0" fontId="65" fillId="37" borderId="1" xfId="7" applyFont="1" applyFill="1" applyBorder="1" applyAlignment="1">
      <alignment horizontal="center" vertical="center" wrapText="1"/>
    </xf>
    <xf numFmtId="0" fontId="62" fillId="29" borderId="1" xfId="7" applyFont="1" applyFill="1" applyBorder="1" applyAlignment="1">
      <alignment horizontal="center" vertical="center" wrapText="1"/>
    </xf>
    <xf numFmtId="14" fontId="25" fillId="9" borderId="19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41" fillId="12" borderId="7" xfId="0" applyFont="1" applyFill="1" applyBorder="1" applyAlignment="1">
      <alignment horizontal="left" vertical="top" wrapText="1"/>
    </xf>
    <xf numFmtId="0" fontId="41" fillId="12" borderId="1" xfId="0" applyFont="1" applyFill="1" applyBorder="1" applyAlignment="1">
      <alignment horizontal="center" vertical="top"/>
    </xf>
    <xf numFmtId="0" fontId="8" fillId="12" borderId="12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center" vertical="top" wrapText="1"/>
    </xf>
    <xf numFmtId="0" fontId="8" fillId="12" borderId="31" xfId="0" applyFont="1" applyFill="1" applyBorder="1" applyAlignment="1">
      <alignment horizontal="left" vertical="top" wrapText="1"/>
    </xf>
    <xf numFmtId="0" fontId="25" fillId="0" borderId="44" xfId="0" applyFont="1" applyBorder="1" applyAlignment="1">
      <alignment horizontal="left" vertical="top"/>
    </xf>
    <xf numFmtId="0" fontId="8" fillId="0" borderId="42" xfId="0" applyFont="1" applyBorder="1" applyAlignment="1">
      <alignment horizontal="center" vertical="top"/>
    </xf>
    <xf numFmtId="0" fontId="8" fillId="0" borderId="44" xfId="0" applyFont="1" applyBorder="1" applyAlignment="1">
      <alignment horizontal="center" vertical="top"/>
    </xf>
    <xf numFmtId="0" fontId="66" fillId="0" borderId="0" xfId="7" applyFont="1"/>
    <xf numFmtId="0" fontId="8" fillId="59" borderId="6" xfId="0" applyFont="1" applyFill="1" applyBorder="1" applyAlignment="1">
      <alignment horizontal="left" vertical="top" wrapText="1"/>
    </xf>
    <xf numFmtId="0" fontId="8" fillId="59" borderId="0" xfId="0" applyFont="1" applyFill="1" applyAlignment="1">
      <alignment horizontal="left" vertical="top" wrapText="1"/>
    </xf>
    <xf numFmtId="0" fontId="41" fillId="59" borderId="1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/>
    </xf>
    <xf numFmtId="0" fontId="8" fillId="59" borderId="25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 wrapText="1"/>
    </xf>
    <xf numFmtId="0" fontId="8" fillId="59" borderId="28" xfId="0" applyFont="1" applyFill="1" applyBorder="1" applyAlignment="1">
      <alignment horizontal="left" vertical="top" wrapText="1"/>
    </xf>
    <xf numFmtId="0" fontId="8" fillId="60" borderId="6" xfId="0" applyFont="1" applyFill="1" applyBorder="1" applyAlignment="1">
      <alignment horizontal="left" vertical="top" wrapText="1"/>
    </xf>
    <xf numFmtId="0" fontId="8" fillId="60" borderId="0" xfId="0" applyFont="1" applyFill="1" applyAlignment="1">
      <alignment horizontal="left" vertical="top" wrapText="1"/>
    </xf>
    <xf numFmtId="0" fontId="41" fillId="60" borderId="7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/>
    </xf>
    <xf numFmtId="0" fontId="41" fillId="60" borderId="1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 wrapText="1"/>
    </xf>
    <xf numFmtId="0" fontId="8" fillId="60" borderId="7" xfId="0" applyFont="1" applyFill="1" applyBorder="1" applyAlignment="1">
      <alignment horizontal="left" vertical="top" wrapText="1"/>
    </xf>
    <xf numFmtId="0" fontId="8" fillId="61" borderId="6" xfId="0" applyFont="1" applyFill="1" applyBorder="1" applyAlignment="1">
      <alignment horizontal="left" vertical="top" wrapText="1"/>
    </xf>
    <xf numFmtId="0" fontId="8" fillId="61" borderId="0" xfId="0" applyFont="1" applyFill="1" applyAlignment="1">
      <alignment horizontal="left" vertical="top" wrapText="1"/>
    </xf>
    <xf numFmtId="0" fontId="41" fillId="61" borderId="1" xfId="0" applyFont="1" applyFill="1" applyBorder="1" applyAlignment="1">
      <alignment horizontal="left" vertical="top" wrapText="1"/>
    </xf>
    <xf numFmtId="0" fontId="41" fillId="61" borderId="1" xfId="0" applyFont="1" applyFill="1" applyBorder="1" applyAlignment="1">
      <alignment horizontal="center" vertical="top" wrapText="1"/>
    </xf>
    <xf numFmtId="0" fontId="8" fillId="61" borderId="28" xfId="0" applyFont="1" applyFill="1" applyBorder="1" applyAlignment="1">
      <alignment horizontal="left" vertical="top" wrapText="1"/>
    </xf>
    <xf numFmtId="14" fontId="25" fillId="9" borderId="65" xfId="0" applyNumberFormat="1" applyFont="1" applyFill="1" applyBorder="1" applyAlignment="1">
      <alignment horizontal="center" vertical="center"/>
    </xf>
    <xf numFmtId="0" fontId="8" fillId="62" borderId="6" xfId="0" applyFont="1" applyFill="1" applyBorder="1" applyAlignment="1">
      <alignment horizontal="left" vertical="top" wrapText="1"/>
    </xf>
    <xf numFmtId="0" fontId="8" fillId="62" borderId="0" xfId="0" applyFont="1" applyFill="1" applyAlignment="1">
      <alignment horizontal="left" vertical="top" wrapText="1"/>
    </xf>
    <xf numFmtId="0" fontId="41" fillId="62" borderId="1" xfId="0" applyFont="1" applyFill="1" applyBorder="1" applyAlignment="1">
      <alignment horizontal="left" vertical="top" wrapText="1"/>
    </xf>
    <xf numFmtId="0" fontId="41" fillId="62" borderId="1" xfId="0" applyFont="1" applyFill="1" applyBorder="1" applyAlignment="1">
      <alignment horizontal="center" vertical="top" wrapText="1"/>
    </xf>
    <xf numFmtId="0" fontId="8" fillId="62" borderId="28" xfId="0" applyFont="1" applyFill="1" applyBorder="1" applyAlignment="1">
      <alignment horizontal="left" vertical="top" wrapText="1"/>
    </xf>
    <xf numFmtId="0" fontId="8" fillId="62" borderId="12" xfId="0" applyFont="1" applyFill="1" applyBorder="1" applyAlignment="1">
      <alignment horizontal="left" vertical="top" wrapText="1"/>
    </xf>
    <xf numFmtId="0" fontId="8" fillId="62" borderId="56" xfId="0" applyFont="1" applyFill="1" applyBorder="1" applyAlignment="1">
      <alignment horizontal="left" vertical="top" wrapText="1"/>
    </xf>
    <xf numFmtId="0" fontId="41" fillId="62" borderId="7" xfId="0" applyFont="1" applyFill="1" applyBorder="1" applyAlignment="1">
      <alignment horizontal="left" vertical="top" wrapText="1"/>
    </xf>
    <xf numFmtId="0" fontId="8" fillId="62" borderId="6" xfId="0" applyFont="1" applyFill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/>
    </xf>
    <xf numFmtId="0" fontId="55" fillId="44" borderId="1" xfId="7" applyFont="1" applyFill="1" applyBorder="1" applyAlignment="1">
      <alignment horizontal="center" vertical="center" wrapText="1"/>
    </xf>
    <xf numFmtId="0" fontId="45" fillId="58" borderId="1" xfId="7" applyFont="1" applyFill="1" applyBorder="1" applyAlignment="1">
      <alignment horizontal="left" vertical="center" wrapText="1"/>
    </xf>
    <xf numFmtId="0" fontId="52" fillId="58" borderId="1" xfId="7" applyFont="1" applyFill="1" applyBorder="1" applyAlignment="1">
      <alignment horizontal="center" vertical="center" wrapText="1"/>
    </xf>
    <xf numFmtId="0" fontId="57" fillId="33" borderId="1" xfId="7" applyFont="1" applyFill="1" applyBorder="1" applyAlignment="1">
      <alignment horizontal="left" vertical="center" wrapText="1"/>
    </xf>
    <xf numFmtId="164" fontId="57" fillId="33" borderId="1" xfId="7" applyNumberFormat="1" applyFont="1" applyFill="1" applyBorder="1" applyAlignment="1">
      <alignment horizontal="center" vertical="center" wrapText="1"/>
    </xf>
    <xf numFmtId="164" fontId="57" fillId="46" borderId="1" xfId="3" applyNumberFormat="1" applyFont="1" applyFill="1" applyBorder="1" applyAlignment="1">
      <alignment horizontal="center" vertical="center" wrapText="1"/>
    </xf>
    <xf numFmtId="0" fontId="53" fillId="44" borderId="1" xfId="7" applyFont="1" applyFill="1" applyBorder="1" applyAlignment="1">
      <alignment horizontal="center" vertical="center" wrapText="1"/>
    </xf>
    <xf numFmtId="0" fontId="45" fillId="55" borderId="1" xfId="7" applyFont="1" applyFill="1" applyBorder="1" applyAlignment="1">
      <alignment horizontal="left" vertical="center" wrapText="1"/>
    </xf>
    <xf numFmtId="0" fontId="45" fillId="55" borderId="1" xfId="7" applyFont="1" applyFill="1" applyBorder="1" applyAlignment="1">
      <alignment horizontal="center" vertical="center" wrapText="1"/>
    </xf>
    <xf numFmtId="164" fontId="45" fillId="55" borderId="1" xfId="7" applyNumberFormat="1" applyFont="1" applyFill="1" applyBorder="1" applyAlignment="1">
      <alignment horizontal="center" vertical="center" wrapText="1"/>
    </xf>
    <xf numFmtId="0" fontId="50" fillId="44" borderId="1" xfId="7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top"/>
    </xf>
    <xf numFmtId="0" fontId="7" fillId="8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8" fillId="9" borderId="1" xfId="0" quotePrefix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top"/>
    </xf>
    <xf numFmtId="0" fontId="41" fillId="2" borderId="1" xfId="0" applyFont="1" applyFill="1" applyBorder="1" applyAlignment="1">
      <alignment horizontal="left" vertical="top" wrapText="1"/>
    </xf>
    <xf numFmtId="0" fontId="41" fillId="2" borderId="1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41" fillId="63" borderId="1" xfId="0" applyFont="1" applyFill="1" applyBorder="1" applyAlignment="1">
      <alignment horizontal="left" vertical="top" wrapText="1"/>
    </xf>
    <xf numFmtId="0" fontId="41" fillId="63" borderId="1" xfId="0" applyFont="1" applyFill="1" applyBorder="1" applyAlignment="1">
      <alignment horizontal="center" vertical="top"/>
    </xf>
    <xf numFmtId="0" fontId="8" fillId="63" borderId="28" xfId="0" applyFont="1" applyFill="1" applyBorder="1" applyAlignment="1">
      <alignment horizontal="left" vertical="top" wrapText="1"/>
    </xf>
    <xf numFmtId="0" fontId="8" fillId="63" borderId="6" xfId="0" applyFont="1" applyFill="1" applyBorder="1" applyAlignment="1">
      <alignment horizontal="left" vertical="top" wrapText="1"/>
    </xf>
    <xf numFmtId="0" fontId="8" fillId="63" borderId="0" xfId="0" applyFont="1" applyFill="1" applyAlignment="1">
      <alignment horizontal="left" vertical="top" wrapText="1"/>
    </xf>
    <xf numFmtId="0" fontId="8" fillId="0" borderId="70" xfId="0" applyFont="1" applyBorder="1" applyAlignment="1">
      <alignment horizontal="center" vertical="top"/>
    </xf>
    <xf numFmtId="0" fontId="0" fillId="0" borderId="71" xfId="0" applyBorder="1"/>
    <xf numFmtId="0" fontId="0" fillId="0" borderId="72" xfId="0" applyBorder="1"/>
    <xf numFmtId="169" fontId="0" fillId="0" borderId="72" xfId="0" applyNumberFormat="1" applyBorder="1"/>
    <xf numFmtId="0" fontId="69" fillId="0" borderId="0" xfId="0" applyFont="1"/>
    <xf numFmtId="0" fontId="67" fillId="0" borderId="0" xfId="0" applyFont="1"/>
    <xf numFmtId="0" fontId="45" fillId="57" borderId="1" xfId="7" applyFont="1" applyFill="1" applyBorder="1" applyAlignment="1">
      <alignment horizontal="center" vertical="center" wrapText="1"/>
    </xf>
    <xf numFmtId="0" fontId="52" fillId="57" borderId="1" xfId="7" applyFont="1" applyFill="1" applyBorder="1" applyAlignment="1">
      <alignment horizontal="center" vertical="center" wrapText="1"/>
    </xf>
    <xf numFmtId="9" fontId="10" fillId="0" borderId="42" xfId="3" applyFont="1" applyBorder="1" applyAlignment="1">
      <alignment horizontal="center" vertical="top"/>
    </xf>
    <xf numFmtId="9" fontId="10" fillId="0" borderId="18" xfId="3" applyFont="1" applyBorder="1" applyAlignment="1">
      <alignment horizontal="center" vertical="top"/>
    </xf>
    <xf numFmtId="170" fontId="8" fillId="9" borderId="7" xfId="3" applyNumberFormat="1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52" fillId="64" borderId="1" xfId="7" applyFont="1" applyFill="1" applyBorder="1" applyAlignment="1">
      <alignment horizontal="center" vertical="center" wrapText="1"/>
    </xf>
    <xf numFmtId="0" fontId="52" fillId="65" borderId="1" xfId="7" applyFont="1" applyFill="1" applyBorder="1" applyAlignment="1">
      <alignment horizontal="center" vertical="center" wrapText="1"/>
    </xf>
    <xf numFmtId="9" fontId="57" fillId="33" borderId="1" xfId="7" applyNumberFormat="1" applyFont="1" applyFill="1" applyBorder="1" applyAlignment="1">
      <alignment horizontal="center" vertical="center" wrapText="1"/>
    </xf>
    <xf numFmtId="170" fontId="25" fillId="0" borderId="26" xfId="0" applyNumberFormat="1" applyFont="1" applyBorder="1" applyAlignment="1">
      <alignment horizontal="center" vertical="center"/>
    </xf>
    <xf numFmtId="0" fontId="45" fillId="66" borderId="1" xfId="7" applyFont="1" applyFill="1" applyBorder="1" applyAlignment="1">
      <alignment horizontal="center" vertical="center" wrapText="1"/>
    </xf>
    <xf numFmtId="0" fontId="45" fillId="28" borderId="1" xfId="7" applyFont="1" applyFill="1" applyBorder="1" applyAlignment="1">
      <alignment horizontal="right" vertical="center" wrapText="1"/>
    </xf>
    <xf numFmtId="0" fontId="52" fillId="64" borderId="1" xfId="7" applyFont="1" applyFill="1" applyBorder="1" applyAlignment="1">
      <alignment horizontal="right" vertical="center" wrapText="1"/>
    </xf>
    <xf numFmtId="0" fontId="57" fillId="64" borderId="1" xfId="7" applyFont="1" applyFill="1" applyBorder="1" applyAlignment="1">
      <alignment horizontal="right" vertical="center" wrapText="1"/>
    </xf>
    <xf numFmtId="164" fontId="52" fillId="67" borderId="1" xfId="7" applyNumberFormat="1" applyFont="1" applyFill="1" applyBorder="1" applyAlignment="1">
      <alignment horizontal="center" vertical="center" wrapText="1"/>
    </xf>
    <xf numFmtId="0" fontId="71" fillId="0" borderId="0" xfId="0" applyFont="1"/>
    <xf numFmtId="169" fontId="70" fillId="0" borderId="72" xfId="0" applyNumberFormat="1" applyFont="1" applyBorder="1"/>
    <xf numFmtId="0" fontId="42" fillId="0" borderId="74" xfId="0" applyFont="1" applyBorder="1" applyAlignment="1">
      <alignment horizontal="center"/>
    </xf>
    <xf numFmtId="0" fontId="70" fillId="0" borderId="73" xfId="0" applyFont="1" applyBorder="1"/>
    <xf numFmtId="0" fontId="1" fillId="0" borderId="0" xfId="8"/>
    <xf numFmtId="0" fontId="73" fillId="71" borderId="1" xfId="8" applyFont="1" applyFill="1" applyBorder="1" applyAlignment="1">
      <alignment horizontal="center" vertical="center" wrapText="1"/>
    </xf>
    <xf numFmtId="0" fontId="58" fillId="73" borderId="1" xfId="8" applyFont="1" applyFill="1" applyBorder="1" applyAlignment="1">
      <alignment horizontal="left" vertical="center" wrapText="1"/>
    </xf>
    <xf numFmtId="0" fontId="75" fillId="73" borderId="1" xfId="8" applyFont="1" applyFill="1" applyBorder="1" applyAlignment="1">
      <alignment horizontal="center" vertical="center" wrapText="1"/>
    </xf>
    <xf numFmtId="0" fontId="75" fillId="74" borderId="1" xfId="8" applyFont="1" applyFill="1" applyBorder="1" applyAlignment="1">
      <alignment horizontal="center" vertical="center" wrapText="1"/>
    </xf>
    <xf numFmtId="0" fontId="52" fillId="75" borderId="1" xfId="8" applyFont="1" applyFill="1" applyBorder="1" applyAlignment="1">
      <alignment horizontal="left" vertical="center" wrapText="1"/>
    </xf>
    <xf numFmtId="0" fontId="76" fillId="75" borderId="1" xfId="8" applyFont="1" applyFill="1" applyBorder="1" applyAlignment="1">
      <alignment horizontal="center" vertical="center" wrapText="1"/>
    </xf>
    <xf numFmtId="0" fontId="58" fillId="76" borderId="1" xfId="8" applyFont="1" applyFill="1" applyBorder="1" applyAlignment="1">
      <alignment horizontal="left" vertical="center" wrapText="1"/>
    </xf>
    <xf numFmtId="164" fontId="75" fillId="76" borderId="1" xfId="8" applyNumberFormat="1" applyFont="1" applyFill="1" applyBorder="1" applyAlignment="1">
      <alignment horizontal="center" vertical="center" wrapText="1"/>
    </xf>
    <xf numFmtId="164" fontId="75" fillId="74" borderId="1" xfId="8" applyNumberFormat="1" applyFont="1" applyFill="1" applyBorder="1" applyAlignment="1">
      <alignment horizontal="center" vertical="center" wrapText="1"/>
    </xf>
    <xf numFmtId="0" fontId="52" fillId="77" borderId="1" xfId="8" applyFont="1" applyFill="1" applyBorder="1" applyAlignment="1">
      <alignment horizontal="left" vertical="center" wrapText="1"/>
    </xf>
    <xf numFmtId="0" fontId="76" fillId="77" borderId="1" xfId="8" applyFont="1" applyFill="1" applyBorder="1" applyAlignment="1">
      <alignment horizontal="center" vertical="center" wrapText="1"/>
    </xf>
    <xf numFmtId="0" fontId="58" fillId="78" borderId="1" xfId="8" applyFont="1" applyFill="1" applyBorder="1" applyAlignment="1">
      <alignment horizontal="left" vertical="center" wrapText="1"/>
    </xf>
    <xf numFmtId="164" fontId="55" fillId="78" borderId="1" xfId="8" applyNumberFormat="1" applyFont="1" applyFill="1" applyBorder="1" applyAlignment="1">
      <alignment horizontal="center" vertical="center" wrapText="1"/>
    </xf>
    <xf numFmtId="0" fontId="58" fillId="80" borderId="1" xfId="8" applyFont="1" applyFill="1" applyBorder="1" applyAlignment="1">
      <alignment horizontal="left" vertical="center" wrapText="1"/>
    </xf>
    <xf numFmtId="164" fontId="75" fillId="80" borderId="1" xfId="8" applyNumberFormat="1" applyFont="1" applyFill="1" applyBorder="1" applyAlignment="1">
      <alignment horizontal="center" vertical="center" wrapText="1"/>
    </xf>
    <xf numFmtId="0" fontId="52" fillId="81" borderId="1" xfId="8" applyFont="1" applyFill="1" applyBorder="1" applyAlignment="1">
      <alignment horizontal="left" vertical="center" wrapText="1"/>
    </xf>
    <xf numFmtId="164" fontId="76" fillId="81" borderId="1" xfId="8" applyNumberFormat="1" applyFont="1" applyFill="1" applyBorder="1" applyAlignment="1">
      <alignment horizontal="center" vertical="center" wrapText="1"/>
    </xf>
    <xf numFmtId="0" fontId="50" fillId="78" borderId="1" xfId="8" applyFont="1" applyFill="1" applyBorder="1" applyAlignment="1">
      <alignment horizontal="left" vertical="center" wrapText="1"/>
    </xf>
    <xf numFmtId="0" fontId="52" fillId="76" borderId="1" xfId="8" applyFont="1" applyFill="1" applyBorder="1" applyAlignment="1">
      <alignment horizontal="left" vertical="center" wrapText="1"/>
    </xf>
    <xf numFmtId="164" fontId="76" fillId="76" borderId="1" xfId="8" applyNumberFormat="1" applyFont="1" applyFill="1" applyBorder="1" applyAlignment="1">
      <alignment horizontal="center" vertical="center" wrapText="1"/>
    </xf>
    <xf numFmtId="164" fontId="76" fillId="74" borderId="1" xfId="8" applyNumberFormat="1" applyFont="1" applyFill="1" applyBorder="1" applyAlignment="1">
      <alignment horizontal="center" vertical="center" wrapText="1"/>
    </xf>
    <xf numFmtId="0" fontId="77" fillId="68" borderId="1" xfId="8" applyFont="1" applyFill="1" applyBorder="1" applyAlignment="1">
      <alignment horizontal="left" vertical="center" wrapText="1"/>
    </xf>
    <xf numFmtId="170" fontId="1" fillId="0" borderId="0" xfId="8" applyNumberFormat="1"/>
    <xf numFmtId="0" fontId="55" fillId="71" borderId="1" xfId="8" applyFont="1" applyFill="1" applyBorder="1" applyAlignment="1">
      <alignment horizontal="center" vertical="center" wrapText="1"/>
    </xf>
    <xf numFmtId="0" fontId="52" fillId="73" borderId="1" xfId="8" applyFont="1" applyFill="1" applyBorder="1" applyAlignment="1">
      <alignment horizontal="left" vertical="center" wrapText="1"/>
    </xf>
    <xf numFmtId="0" fontId="78" fillId="73" borderId="1" xfId="8" applyFont="1" applyFill="1" applyBorder="1" applyAlignment="1">
      <alignment horizontal="center" vertical="center" wrapText="1"/>
    </xf>
    <xf numFmtId="0" fontId="78" fillId="75" borderId="1" xfId="8" applyFont="1" applyFill="1" applyBorder="1" applyAlignment="1">
      <alignment horizontal="center" vertical="center" wrapText="1"/>
    </xf>
    <xf numFmtId="164" fontId="78" fillId="76" borderId="1" xfId="8" applyNumberFormat="1" applyFont="1" applyFill="1" applyBorder="1" applyAlignment="1">
      <alignment horizontal="center" vertical="center" wrapText="1"/>
    </xf>
    <xf numFmtId="164" fontId="78" fillId="77" borderId="1" xfId="8" applyNumberFormat="1" applyFont="1" applyFill="1" applyBorder="1" applyAlignment="1">
      <alignment horizontal="center" vertical="center" wrapText="1"/>
    </xf>
    <xf numFmtId="164" fontId="78" fillId="81" borderId="1" xfId="8" applyNumberFormat="1" applyFont="1" applyFill="1" applyBorder="1" applyAlignment="1">
      <alignment horizontal="center" vertical="center" wrapText="1"/>
    </xf>
    <xf numFmtId="0" fontId="79" fillId="78" borderId="1" xfId="8" applyFont="1" applyFill="1" applyBorder="1" applyAlignment="1">
      <alignment horizontal="left" vertical="center" wrapText="1"/>
    </xf>
    <xf numFmtId="164" fontId="80" fillId="78" borderId="1" xfId="8" applyNumberFormat="1" applyFont="1" applyFill="1" applyBorder="1" applyAlignment="1">
      <alignment horizontal="center" vertical="center" wrapText="1"/>
    </xf>
    <xf numFmtId="0" fontId="0" fillId="0" borderId="76" xfId="0" applyBorder="1"/>
    <xf numFmtId="0" fontId="67" fillId="0" borderId="77" xfId="0" applyFont="1" applyBorder="1"/>
    <xf numFmtId="0" fontId="0" fillId="0" borderId="77" xfId="0" applyBorder="1"/>
    <xf numFmtId="0" fontId="70" fillId="0" borderId="77" xfId="0" applyFont="1" applyBorder="1"/>
    <xf numFmtId="0" fontId="0" fillId="0" borderId="78" xfId="0" applyBorder="1"/>
    <xf numFmtId="0" fontId="0" fillId="0" borderId="79" xfId="0" applyBorder="1"/>
    <xf numFmtId="0" fontId="46" fillId="0" borderId="12" xfId="7" applyBorder="1"/>
    <xf numFmtId="0" fontId="51" fillId="39" borderId="0" xfId="7" applyFont="1" applyFill="1" applyAlignment="1">
      <alignment horizontal="left" vertical="center" wrapText="1"/>
    </xf>
    <xf numFmtId="165" fontId="0" fillId="0" borderId="77" xfId="0" applyNumberFormat="1" applyBorder="1"/>
    <xf numFmtId="165" fontId="0" fillId="0" borderId="79" xfId="0" applyNumberFormat="1" applyBorder="1"/>
    <xf numFmtId="1" fontId="8" fillId="0" borderId="0" xfId="0" applyNumberFormat="1" applyFont="1" applyAlignment="1">
      <alignment vertical="top"/>
    </xf>
    <xf numFmtId="0" fontId="8" fillId="20" borderId="6" xfId="0" applyFont="1" applyFill="1" applyBorder="1" applyAlignment="1">
      <alignment horizontal="left" vertical="top" wrapText="1"/>
    </xf>
    <xf numFmtId="0" fontId="8" fillId="20" borderId="0" xfId="0" applyFont="1" applyFill="1" applyAlignment="1">
      <alignment horizontal="left" vertical="top" wrapText="1"/>
    </xf>
    <xf numFmtId="0" fontId="8" fillId="20" borderId="1" xfId="0" applyFont="1" applyFill="1" applyBorder="1" applyAlignment="1">
      <alignment horizontal="left" vertical="top" wrapText="1"/>
    </xf>
    <xf numFmtId="0" fontId="8" fillId="20" borderId="1" xfId="0" applyFont="1" applyFill="1" applyBorder="1" applyAlignment="1">
      <alignment horizontal="center" vertical="top" wrapText="1"/>
    </xf>
    <xf numFmtId="0" fontId="7" fillId="82" borderId="2" xfId="0" applyFont="1" applyFill="1" applyBorder="1" applyAlignment="1">
      <alignment horizontal="center" vertical="top"/>
    </xf>
    <xf numFmtId="0" fontId="7" fillId="82" borderId="4" xfId="0" applyFont="1" applyFill="1" applyBorder="1" applyAlignment="1">
      <alignment horizontal="center" vertical="top"/>
    </xf>
    <xf numFmtId="45" fontId="54" fillId="30" borderId="1" xfId="7" applyNumberFormat="1" applyFont="1" applyFill="1" applyBorder="1" applyAlignment="1">
      <alignment horizontal="center" vertical="center" wrapText="1"/>
    </xf>
    <xf numFmtId="45" fontId="54" fillId="83" borderId="1" xfId="7" applyNumberFormat="1" applyFont="1" applyFill="1" applyBorder="1" applyAlignment="1">
      <alignment horizontal="center" vertical="center" wrapText="1"/>
    </xf>
    <xf numFmtId="0" fontId="84" fillId="84" borderId="1" xfId="7" applyFont="1" applyFill="1" applyBorder="1" applyAlignment="1">
      <alignment horizontal="center" vertical="center" wrapText="1"/>
    </xf>
    <xf numFmtId="0" fontId="8" fillId="85" borderId="6" xfId="0" applyFont="1" applyFill="1" applyBorder="1" applyAlignment="1">
      <alignment horizontal="left" vertical="top" wrapText="1"/>
    </xf>
    <xf numFmtId="0" fontId="8" fillId="85" borderId="0" xfId="0" applyFont="1" applyFill="1" applyAlignment="1">
      <alignment horizontal="left" vertical="top" wrapText="1"/>
    </xf>
    <xf numFmtId="0" fontId="8" fillId="85" borderId="5" xfId="0" applyFont="1" applyFill="1" applyBorder="1" applyAlignment="1">
      <alignment horizontal="left" vertical="top" wrapText="1"/>
    </xf>
    <xf numFmtId="0" fontId="41" fillId="85" borderId="1" xfId="0" applyFont="1" applyFill="1" applyBorder="1" applyAlignment="1">
      <alignment horizontal="left" vertical="top" wrapText="1"/>
    </xf>
    <xf numFmtId="0" fontId="8" fillId="85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86" fillId="6" borderId="2" xfId="0" applyFont="1" applyFill="1" applyBorder="1" applyAlignment="1">
      <alignment horizontal="center" vertical="center" wrapText="1"/>
    </xf>
    <xf numFmtId="0" fontId="26" fillId="82" borderId="2" xfId="0" applyFont="1" applyFill="1" applyBorder="1" applyAlignment="1">
      <alignment horizontal="center" vertical="center"/>
    </xf>
    <xf numFmtId="0" fontId="87" fillId="23" borderId="1" xfId="0" applyFont="1" applyFill="1" applyBorder="1" applyAlignment="1">
      <alignment horizontal="center" vertical="center" wrapText="1"/>
    </xf>
    <xf numFmtId="0" fontId="88" fillId="23" borderId="1" xfId="0" applyFont="1" applyFill="1" applyBorder="1" applyAlignment="1">
      <alignment horizontal="center" vertical="center" wrapText="1"/>
    </xf>
    <xf numFmtId="0" fontId="86" fillId="6" borderId="17" xfId="0" applyFont="1" applyFill="1" applyBorder="1" applyAlignment="1">
      <alignment horizontal="left" vertical="center" wrapText="1"/>
    </xf>
    <xf numFmtId="0" fontId="86" fillId="6" borderId="17" xfId="0" applyFont="1" applyFill="1" applyBorder="1" applyAlignment="1">
      <alignment horizontal="center" vertical="center"/>
    </xf>
    <xf numFmtId="0" fontId="86" fillId="6" borderId="17" xfId="0" applyFont="1" applyFill="1" applyBorder="1" applyAlignment="1">
      <alignment horizontal="center" vertical="center" wrapText="1"/>
    </xf>
    <xf numFmtId="0" fontId="26" fillId="82" borderId="3" xfId="0" applyFont="1" applyFill="1" applyBorder="1" applyAlignment="1">
      <alignment horizontal="center" vertical="center"/>
    </xf>
    <xf numFmtId="0" fontId="32" fillId="40" borderId="2" xfId="0" applyFont="1" applyFill="1" applyBorder="1" applyAlignment="1">
      <alignment vertical="center"/>
    </xf>
    <xf numFmtId="0" fontId="14" fillId="5" borderId="7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/>
    </xf>
    <xf numFmtId="0" fontId="7" fillId="5" borderId="8" xfId="0" applyFont="1" applyFill="1" applyBorder="1" applyAlignment="1">
      <alignment horizontal="left" vertical="top" wrapText="1"/>
    </xf>
    <xf numFmtId="0" fontId="7" fillId="5" borderId="8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41" fillId="0" borderId="1" xfId="0" applyFont="1" applyBorder="1" applyAlignment="1">
      <alignment vertical="top" wrapText="1"/>
    </xf>
    <xf numFmtId="0" fontId="89" fillId="0" borderId="26" xfId="0" applyFont="1" applyBorder="1" applyAlignment="1">
      <alignment horizontal="center" vertical="top" wrapText="1"/>
    </xf>
    <xf numFmtId="0" fontId="89" fillId="0" borderId="23" xfId="0" applyFont="1" applyBorder="1" applyAlignment="1">
      <alignment horizontal="center" vertical="top"/>
    </xf>
    <xf numFmtId="0" fontId="89" fillId="0" borderId="23" xfId="0" applyFont="1" applyBorder="1" applyAlignment="1">
      <alignment horizontal="center" vertical="top" wrapText="1"/>
    </xf>
    <xf numFmtId="170" fontId="85" fillId="0" borderId="23" xfId="0" applyNumberFormat="1" applyFont="1" applyBorder="1" applyAlignment="1">
      <alignment horizontal="center" vertical="top"/>
    </xf>
    <xf numFmtId="0" fontId="13" fillId="0" borderId="23" xfId="0" applyFont="1" applyBorder="1" applyAlignment="1">
      <alignment horizontal="center" vertical="top"/>
    </xf>
    <xf numFmtId="0" fontId="13" fillId="0" borderId="24" xfId="0" applyFont="1" applyBorder="1" applyAlignment="1">
      <alignment horizontal="center" vertical="top"/>
    </xf>
    <xf numFmtId="0" fontId="90" fillId="0" borderId="40" xfId="0" applyFont="1" applyBorder="1" applyAlignment="1">
      <alignment horizontal="center" vertical="top"/>
    </xf>
    <xf numFmtId="0" fontId="90" fillId="0" borderId="30" xfId="0" applyFont="1" applyBorder="1" applyAlignment="1">
      <alignment horizontal="center" vertical="top"/>
    </xf>
    <xf numFmtId="9" fontId="90" fillId="0" borderId="23" xfId="3" applyFont="1" applyBorder="1" applyAlignment="1">
      <alignment horizontal="center" vertical="top"/>
    </xf>
    <xf numFmtId="0" fontId="13" fillId="0" borderId="26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89" fillId="0" borderId="23" xfId="0" applyFont="1" applyBorder="1" applyAlignment="1">
      <alignment vertical="top"/>
    </xf>
    <xf numFmtId="0" fontId="91" fillId="0" borderId="23" xfId="0" applyFont="1" applyBorder="1" applyAlignment="1">
      <alignment horizontal="left" vertical="top"/>
    </xf>
    <xf numFmtId="9" fontId="92" fillId="0" borderId="24" xfId="0" applyNumberFormat="1" applyFont="1" applyBorder="1" applyAlignment="1">
      <alignment horizontal="center" vertical="top"/>
    </xf>
    <xf numFmtId="0" fontId="91" fillId="0" borderId="23" xfId="0" applyFont="1" applyBorder="1" applyAlignment="1">
      <alignment horizontal="center" vertical="top"/>
    </xf>
    <xf numFmtId="0" fontId="93" fillId="0" borderId="26" xfId="0" applyFont="1" applyBorder="1" applyAlignment="1">
      <alignment horizontal="center" vertical="top"/>
    </xf>
    <xf numFmtId="0" fontId="93" fillId="0" borderId="0" xfId="0" applyFont="1" applyAlignment="1">
      <alignment horizontal="center" vertical="top"/>
    </xf>
    <xf numFmtId="0" fontId="91" fillId="0" borderId="24" xfId="0" applyFont="1" applyBorder="1" applyAlignment="1">
      <alignment horizontal="center" vertical="top"/>
    </xf>
    <xf numFmtId="170" fontId="85" fillId="0" borderId="24" xfId="0" applyNumberFormat="1" applyFont="1" applyBorder="1" applyAlignment="1">
      <alignment horizontal="center" vertical="top"/>
    </xf>
    <xf numFmtId="0" fontId="89" fillId="0" borderId="31" xfId="0" applyFont="1" applyBorder="1" applyAlignment="1">
      <alignment horizontal="left" vertical="top" wrapText="1"/>
    </xf>
    <xf numFmtId="0" fontId="89" fillId="0" borderId="23" xfId="0" quotePrefix="1" applyFont="1" applyBorder="1" applyAlignment="1">
      <alignment horizontal="center" vertical="top" wrapText="1"/>
    </xf>
    <xf numFmtId="170" fontId="85" fillId="0" borderId="23" xfId="0" quotePrefix="1" applyNumberFormat="1" applyFont="1" applyBorder="1" applyAlignment="1">
      <alignment horizontal="center" vertical="top"/>
    </xf>
    <xf numFmtId="0" fontId="89" fillId="0" borderId="23" xfId="0" applyFont="1" applyBorder="1" applyAlignment="1">
      <alignment vertical="top" wrapText="1"/>
    </xf>
    <xf numFmtId="0" fontId="93" fillId="0" borderId="32" xfId="0" applyFont="1" applyBorder="1" applyAlignment="1">
      <alignment horizontal="center" vertical="top"/>
    </xf>
    <xf numFmtId="0" fontId="91" fillId="0" borderId="40" xfId="0" applyFont="1" applyBorder="1" applyAlignment="1">
      <alignment horizontal="center" vertical="top"/>
    </xf>
    <xf numFmtId="0" fontId="85" fillId="0" borderId="26" xfId="0" applyFont="1" applyBorder="1" applyAlignment="1">
      <alignment horizontal="center" vertical="top" wrapText="1"/>
    </xf>
    <xf numFmtId="0" fontId="85" fillId="0" borderId="23" xfId="0" applyFont="1" applyBorder="1" applyAlignment="1">
      <alignment horizontal="center" vertical="top"/>
    </xf>
    <xf numFmtId="0" fontId="85" fillId="0" borderId="23" xfId="0" applyFont="1" applyBorder="1" applyAlignment="1">
      <alignment horizontal="center" vertical="top" wrapText="1"/>
    </xf>
    <xf numFmtId="0" fontId="85" fillId="0" borderId="25" xfId="0" applyFont="1" applyBorder="1" applyAlignment="1">
      <alignment horizontal="left" vertical="top" wrapText="1"/>
    </xf>
    <xf numFmtId="0" fontId="85" fillId="0" borderId="23" xfId="0" quotePrefix="1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89" fillId="0" borderId="24" xfId="0" applyFont="1" applyBorder="1" applyAlignment="1">
      <alignment horizontal="left" vertical="top" wrapText="1"/>
    </xf>
    <xf numFmtId="0" fontId="89" fillId="0" borderId="23" xfId="0" applyFont="1" applyBorder="1" applyAlignment="1">
      <alignment horizontal="left" vertical="top" wrapText="1"/>
    </xf>
    <xf numFmtId="9" fontId="10" fillId="0" borderId="0" xfId="0" applyNumberFormat="1" applyFont="1" applyAlignment="1">
      <alignment vertical="top"/>
    </xf>
    <xf numFmtId="0" fontId="89" fillId="0" borderId="81" xfId="0" applyFont="1" applyBorder="1" applyAlignment="1">
      <alignment vertical="top" wrapText="1"/>
    </xf>
    <xf numFmtId="0" fontId="89" fillId="0" borderId="24" xfId="0" applyFont="1" applyBorder="1" applyAlignment="1">
      <alignment vertical="top"/>
    </xf>
    <xf numFmtId="0" fontId="89" fillId="0" borderId="81" xfId="0" applyFont="1" applyBorder="1" applyAlignment="1">
      <alignment vertical="top"/>
    </xf>
    <xf numFmtId="0" fontId="41" fillId="0" borderId="2" xfId="0" applyFont="1" applyBorder="1" applyAlignment="1">
      <alignment vertical="top" wrapText="1"/>
    </xf>
    <xf numFmtId="0" fontId="41" fillId="9" borderId="3" xfId="0" applyFont="1" applyFill="1" applyBorder="1" applyAlignment="1">
      <alignment vertical="top" wrapText="1"/>
    </xf>
    <xf numFmtId="0" fontId="41" fillId="20" borderId="2" xfId="0" applyFont="1" applyFill="1" applyBorder="1" applyAlignment="1">
      <alignment vertical="top" wrapText="1"/>
    </xf>
    <xf numFmtId="0" fontId="41" fillId="85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1" fillId="6" borderId="24" xfId="0" applyFont="1" applyFill="1" applyBorder="1" applyAlignment="1">
      <alignment horizontal="center" vertical="top"/>
    </xf>
    <xf numFmtId="0" fontId="91" fillId="6" borderId="23" xfId="0" applyFont="1" applyFill="1" applyBorder="1" applyAlignment="1">
      <alignment horizontal="center" vertical="top"/>
    </xf>
    <xf numFmtId="0" fontId="93" fillId="6" borderId="23" xfId="0" applyFont="1" applyFill="1" applyBorder="1" applyAlignment="1">
      <alignment horizontal="center" vertical="top"/>
    </xf>
    <xf numFmtId="0" fontId="93" fillId="6" borderId="24" xfId="0" applyFont="1" applyFill="1" applyBorder="1" applyAlignment="1">
      <alignment horizontal="center" vertical="top"/>
    </xf>
    <xf numFmtId="9" fontId="90" fillId="6" borderId="23" xfId="3" applyFont="1" applyFill="1" applyBorder="1" applyAlignment="1">
      <alignment horizontal="center" vertical="top"/>
    </xf>
    <xf numFmtId="0" fontId="93" fillId="6" borderId="26" xfId="0" applyFont="1" applyFill="1" applyBorder="1" applyAlignment="1">
      <alignment horizontal="center" vertical="top"/>
    </xf>
    <xf numFmtId="170" fontId="16" fillId="6" borderId="1" xfId="0" applyNumberFormat="1" applyFont="1" applyFill="1" applyBorder="1" applyAlignment="1">
      <alignment horizontal="center" vertical="top"/>
    </xf>
    <xf numFmtId="0" fontId="41" fillId="60" borderId="2" xfId="0" applyFont="1" applyFill="1" applyBorder="1" applyAlignment="1">
      <alignment vertical="top" wrapText="1"/>
    </xf>
    <xf numFmtId="0" fontId="41" fillId="12" borderId="2" xfId="0" applyFont="1" applyFill="1" applyBorder="1" applyAlignment="1">
      <alignment vertical="top" wrapText="1"/>
    </xf>
    <xf numFmtId="0" fontId="41" fillId="59" borderId="2" xfId="0" applyFont="1" applyFill="1" applyBorder="1" applyAlignment="1">
      <alignment vertical="top" wrapText="1"/>
    </xf>
    <xf numFmtId="0" fontId="41" fillId="62" borderId="2" xfId="0" applyFont="1" applyFill="1" applyBorder="1" applyAlignment="1">
      <alignment vertical="top" wrapText="1"/>
    </xf>
    <xf numFmtId="0" fontId="41" fillId="61" borderId="2" xfId="0" applyFont="1" applyFill="1" applyBorder="1" applyAlignment="1">
      <alignment vertical="top" wrapText="1"/>
    </xf>
    <xf numFmtId="0" fontId="41" fillId="2" borderId="2" xfId="0" applyFont="1" applyFill="1" applyBorder="1" applyAlignment="1">
      <alignment vertical="top" wrapText="1"/>
    </xf>
    <xf numFmtId="0" fontId="41" fillId="63" borderId="2" xfId="0" applyFont="1" applyFill="1" applyBorder="1" applyAlignment="1">
      <alignment vertical="top" wrapText="1"/>
    </xf>
    <xf numFmtId="0" fontId="41" fillId="9" borderId="1" xfId="0" applyFont="1" applyFill="1" applyBorder="1" applyAlignment="1">
      <alignment vertical="top" wrapText="1"/>
    </xf>
    <xf numFmtId="9" fontId="90" fillId="0" borderId="23" xfId="3" quotePrefix="1" applyFont="1" applyBorder="1" applyAlignment="1">
      <alignment horizontal="center" vertical="top"/>
    </xf>
    <xf numFmtId="0" fontId="26" fillId="6" borderId="7" xfId="0" applyFont="1" applyFill="1" applyBorder="1" applyAlignment="1">
      <alignment horizontal="center" vertical="center"/>
    </xf>
    <xf numFmtId="0" fontId="89" fillId="6" borderId="23" xfId="0" applyFont="1" applyFill="1" applyBorder="1" applyAlignment="1">
      <alignment vertical="top" wrapText="1"/>
    </xf>
    <xf numFmtId="0" fontId="89" fillId="6" borderId="38" xfId="0" applyFont="1" applyFill="1" applyBorder="1" applyAlignment="1">
      <alignment vertical="top" wrapText="1"/>
    </xf>
    <xf numFmtId="10" fontId="6" fillId="0" borderId="0" xfId="0" applyNumberFormat="1" applyFont="1" applyAlignment="1">
      <alignment horizontal="center"/>
    </xf>
    <xf numFmtId="10" fontId="6" fillId="0" borderId="23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90" fillId="0" borderId="39" xfId="0" applyFont="1" applyBorder="1" applyAlignment="1">
      <alignment horizontal="center" vertical="top"/>
    </xf>
    <xf numFmtId="0" fontId="90" fillId="0" borderId="33" xfId="0" applyFont="1" applyBorder="1" applyAlignment="1">
      <alignment horizontal="center" vertical="top"/>
    </xf>
    <xf numFmtId="0" fontId="41" fillId="0" borderId="4" xfId="0" applyFont="1" applyBorder="1" applyAlignment="1">
      <alignment vertical="top" wrapText="1"/>
    </xf>
    <xf numFmtId="0" fontId="7" fillId="6" borderId="44" xfId="0" applyFont="1" applyFill="1" applyBorder="1" applyAlignment="1">
      <alignment vertical="top" wrapText="1"/>
    </xf>
    <xf numFmtId="0" fontId="6" fillId="0" borderId="40" xfId="0" applyFont="1" applyBorder="1" applyAlignment="1">
      <alignment horizontal="center" vertical="center"/>
    </xf>
    <xf numFmtId="0" fontId="89" fillId="12" borderId="23" xfId="0" applyFont="1" applyFill="1" applyBorder="1" applyAlignment="1">
      <alignment horizontal="center" vertical="top"/>
    </xf>
    <xf numFmtId="0" fontId="93" fillId="6" borderId="0" xfId="0" applyFont="1" applyFill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89" fillId="12" borderId="23" xfId="0" applyFont="1" applyFill="1" applyBorder="1" applyAlignment="1">
      <alignment horizontal="center" vertical="top" wrapText="1"/>
    </xf>
    <xf numFmtId="0" fontId="85" fillId="9" borderId="23" xfId="0" applyFont="1" applyFill="1" applyBorder="1" applyAlignment="1">
      <alignment vertical="top"/>
    </xf>
    <xf numFmtId="0" fontId="85" fillId="9" borderId="81" xfId="0" applyFont="1" applyFill="1" applyBorder="1" applyAlignment="1">
      <alignment vertical="top" wrapText="1"/>
    </xf>
    <xf numFmtId="0" fontId="94" fillId="0" borderId="23" xfId="0" applyFont="1" applyBorder="1" applyAlignment="1">
      <alignment horizontal="center" vertical="top" wrapText="1"/>
    </xf>
    <xf numFmtId="0" fontId="70" fillId="0" borderId="72" xfId="0" applyFont="1" applyBorder="1"/>
    <xf numFmtId="0" fontId="0" fillId="0" borderId="73" xfId="0" applyBorder="1"/>
    <xf numFmtId="0" fontId="89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9" fillId="5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9" fillId="5" borderId="1" xfId="0" applyFont="1" applyFill="1" applyBorder="1" applyAlignment="1">
      <alignment vertical="top"/>
    </xf>
    <xf numFmtId="0" fontId="9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9" fontId="9" fillId="0" borderId="1" xfId="3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left"/>
    </xf>
    <xf numFmtId="0" fontId="91" fillId="0" borderId="26" xfId="0" applyFont="1" applyBorder="1" applyAlignment="1">
      <alignment horizontal="left" vertical="top"/>
    </xf>
    <xf numFmtId="0" fontId="91" fillId="0" borderId="38" xfId="0" applyFont="1" applyBorder="1" applyAlignment="1">
      <alignment horizontal="center" vertical="top"/>
    </xf>
    <xf numFmtId="0" fontId="91" fillId="0" borderId="1" xfId="0" applyFont="1" applyBorder="1" applyAlignment="1">
      <alignment horizontal="center" vertical="top"/>
    </xf>
    <xf numFmtId="0" fontId="93" fillId="0" borderId="1" xfId="0" applyFont="1" applyBorder="1" applyAlignment="1">
      <alignment horizontal="center" vertical="top"/>
    </xf>
    <xf numFmtId="0" fontId="0" fillId="0" borderId="1" xfId="0" applyBorder="1"/>
    <xf numFmtId="0" fontId="89" fillId="0" borderId="23" xfId="0" applyFont="1" applyBorder="1" applyAlignment="1">
      <alignment horizontal="left" vertical="top"/>
    </xf>
    <xf numFmtId="0" fontId="41" fillId="0" borderId="23" xfId="0" applyFont="1" applyBorder="1" applyAlignment="1">
      <alignment vertical="top" wrapText="1"/>
    </xf>
    <xf numFmtId="0" fontId="41" fillId="0" borderId="23" xfId="0" applyFont="1" applyBorder="1" applyAlignment="1">
      <alignment vertical="top"/>
    </xf>
    <xf numFmtId="0" fontId="41" fillId="0" borderId="23" xfId="0" applyFont="1" applyBorder="1" applyAlignment="1">
      <alignment horizontal="center" vertical="top" wrapText="1"/>
    </xf>
    <xf numFmtId="0" fontId="41" fillId="0" borderId="23" xfId="0" applyFont="1" applyBorder="1" applyAlignment="1">
      <alignment horizontal="center" vertical="top"/>
    </xf>
    <xf numFmtId="0" fontId="89" fillId="0" borderId="26" xfId="0" applyFont="1" applyBorder="1" applyAlignment="1">
      <alignment horizontal="center" vertical="top"/>
    </xf>
    <xf numFmtId="0" fontId="89" fillId="0" borderId="29" xfId="0" applyFont="1" applyBorder="1" applyAlignment="1">
      <alignment horizontal="center" vertical="top" wrapText="1"/>
    </xf>
    <xf numFmtId="0" fontId="89" fillId="12" borderId="51" xfId="0" applyFont="1" applyFill="1" applyBorder="1" applyAlignment="1">
      <alignment vertical="top"/>
    </xf>
    <xf numFmtId="0" fontId="89" fillId="12" borderId="38" xfId="0" applyFont="1" applyFill="1" applyBorder="1" applyAlignment="1">
      <alignment vertical="top" wrapText="1"/>
    </xf>
    <xf numFmtId="0" fontId="41" fillId="12" borderId="3" xfId="0" applyFont="1" applyFill="1" applyBorder="1" applyAlignment="1">
      <alignment vertical="top" wrapText="1"/>
    </xf>
    <xf numFmtId="0" fontId="89" fillId="12" borderId="34" xfId="0" applyFont="1" applyFill="1" applyBorder="1" applyAlignment="1">
      <alignment horizontal="center" vertical="top" wrapText="1"/>
    </xf>
    <xf numFmtId="0" fontId="94" fillId="12" borderId="23" xfId="0" applyFont="1" applyFill="1" applyBorder="1" applyAlignment="1">
      <alignment vertical="top"/>
    </xf>
    <xf numFmtId="0" fontId="35" fillId="12" borderId="23" xfId="0" applyFont="1" applyFill="1" applyBorder="1" applyAlignment="1">
      <alignment vertical="top" wrapText="1"/>
    </xf>
    <xf numFmtId="0" fontId="94" fillId="12" borderId="23" xfId="0" applyFont="1" applyFill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5" fillId="0" borderId="23" xfId="0" applyFont="1" applyBorder="1" applyAlignment="1">
      <alignment horizontal="left" vertical="top"/>
    </xf>
    <xf numFmtId="0" fontId="7" fillId="0" borderId="23" xfId="0" applyFont="1" applyBorder="1" applyAlignment="1">
      <alignment vertical="top" wrapText="1"/>
    </xf>
    <xf numFmtId="0" fontId="85" fillId="0" borderId="23" xfId="0" quotePrefix="1" applyFont="1" applyBorder="1" applyAlignment="1">
      <alignment horizontal="left" vertical="top" wrapText="1"/>
    </xf>
    <xf numFmtId="0" fontId="89" fillId="0" borderId="24" xfId="0" applyFont="1" applyBorder="1" applyAlignment="1">
      <alignment vertical="top" wrapText="1"/>
    </xf>
    <xf numFmtId="0" fontId="94" fillId="12" borderId="24" xfId="0" applyFont="1" applyFill="1" applyBorder="1" applyAlignment="1">
      <alignment vertical="top" wrapText="1"/>
    </xf>
    <xf numFmtId="0" fontId="85" fillId="0" borderId="24" xfId="0" applyFont="1" applyBorder="1" applyAlignment="1">
      <alignment vertical="top" wrapText="1"/>
    </xf>
    <xf numFmtId="0" fontId="85" fillId="0" borderId="24" xfId="0" applyFont="1" applyBorder="1" applyAlignment="1">
      <alignment horizontal="left" vertical="top" wrapText="1"/>
    </xf>
    <xf numFmtId="0" fontId="89" fillId="6" borderId="24" xfId="0" applyFont="1" applyFill="1" applyBorder="1" applyAlignment="1">
      <alignment vertical="top" wrapText="1"/>
    </xf>
    <xf numFmtId="0" fontId="94" fillId="0" borderId="26" xfId="0" applyFont="1" applyBorder="1" applyAlignment="1">
      <alignment horizontal="center" vertical="top"/>
    </xf>
    <xf numFmtId="0" fontId="94" fillId="12" borderId="26" xfId="0" applyFont="1" applyFill="1" applyBorder="1" applyAlignment="1">
      <alignment horizontal="center" vertical="top"/>
    </xf>
    <xf numFmtId="0" fontId="85" fillId="0" borderId="26" xfId="0" applyFont="1" applyBorder="1" applyAlignment="1">
      <alignment horizontal="center" vertical="top"/>
    </xf>
    <xf numFmtId="0" fontId="89" fillId="6" borderId="26" xfId="0" applyFont="1" applyFill="1" applyBorder="1" applyAlignment="1">
      <alignment vertical="top" wrapText="1"/>
    </xf>
    <xf numFmtId="0" fontId="94" fillId="0" borderId="23" xfId="0" applyFont="1" applyBorder="1" applyAlignment="1">
      <alignment vertical="top" wrapText="1"/>
    </xf>
    <xf numFmtId="0" fontId="94" fillId="0" borderId="23" xfId="0" applyFont="1" applyBorder="1" applyAlignment="1">
      <alignment vertical="top"/>
    </xf>
    <xf numFmtId="0" fontId="95" fillId="0" borderId="40" xfId="0" applyFont="1" applyBorder="1" applyAlignment="1">
      <alignment horizontal="center" vertical="top"/>
    </xf>
    <xf numFmtId="0" fontId="95" fillId="0" borderId="30" xfId="0" applyFont="1" applyBorder="1" applyAlignment="1">
      <alignment horizontal="center" vertical="top"/>
    </xf>
    <xf numFmtId="0" fontId="89" fillId="12" borderId="23" xfId="0" applyFont="1" applyFill="1" applyBorder="1" applyAlignment="1">
      <alignment horizontal="left" vertical="top"/>
    </xf>
    <xf numFmtId="0" fontId="7" fillId="5" borderId="8" xfId="0" applyFont="1" applyFill="1" applyBorder="1" applyAlignment="1">
      <alignment horizontal="left" vertical="center" wrapText="1"/>
    </xf>
    <xf numFmtId="0" fontId="41" fillId="0" borderId="2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/>
    </xf>
    <xf numFmtId="0" fontId="41" fillId="0" borderId="60" xfId="0" applyFont="1" applyBorder="1" applyAlignment="1">
      <alignment horizontal="center" vertical="center"/>
    </xf>
    <xf numFmtId="0" fontId="41" fillId="0" borderId="1" xfId="0" quotePrefix="1" applyFont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1" fillId="0" borderId="2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70" fontId="10" fillId="0" borderId="52" xfId="0" applyNumberFormat="1" applyFont="1" applyBorder="1" applyAlignment="1">
      <alignment horizontal="center" vertical="center"/>
    </xf>
    <xf numFmtId="0" fontId="1" fillId="0" borderId="6" xfId="8" applyBorder="1"/>
    <xf numFmtId="0" fontId="1" fillId="0" borderId="5" xfId="8" applyBorder="1"/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170" fontId="25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7" fontId="8" fillId="0" borderId="3" xfId="3" applyNumberFormat="1" applyFont="1" applyBorder="1" applyAlignment="1">
      <alignment horizontal="center" vertical="center"/>
    </xf>
    <xf numFmtId="167" fontId="8" fillId="9" borderId="23" xfId="3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71" fontId="10" fillId="0" borderId="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9" fillId="31" borderId="7" xfId="7" applyFont="1" applyFill="1" applyBorder="1" applyAlignment="1">
      <alignment horizontal="left" vertical="center" wrapText="1"/>
    </xf>
    <xf numFmtId="0" fontId="49" fillId="34" borderId="7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/>
    </xf>
    <xf numFmtId="0" fontId="7" fillId="3" borderId="2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89" fillId="0" borderId="25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 wrapText="1"/>
    </xf>
    <xf numFmtId="0" fontId="15" fillId="7" borderId="8" xfId="0" applyFont="1" applyFill="1" applyBorder="1" applyAlignment="1">
      <alignment horizontal="left" vertical="top" wrapText="1"/>
    </xf>
    <xf numFmtId="0" fontId="10" fillId="0" borderId="38" xfId="0" applyFont="1" applyBorder="1" applyAlignment="1">
      <alignment horizontal="center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14" fillId="86" borderId="2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left" vertical="top"/>
    </xf>
    <xf numFmtId="0" fontId="15" fillId="18" borderId="4" xfId="0" applyFont="1" applyFill="1" applyBorder="1" applyAlignment="1">
      <alignment horizontal="left" vertical="top"/>
    </xf>
    <xf numFmtId="0" fontId="15" fillId="18" borderId="4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4" fillId="89" borderId="2" xfId="0" applyFont="1" applyFill="1" applyBorder="1" applyAlignment="1">
      <alignment horizontal="center" vertical="top" wrapText="1"/>
    </xf>
    <xf numFmtId="0" fontId="15" fillId="18" borderId="1" xfId="0" applyFont="1" applyFill="1" applyBorder="1" applyAlignment="1">
      <alignment horizontal="left" vertical="top" wrapText="1"/>
    </xf>
    <xf numFmtId="0" fontId="97" fillId="18" borderId="4" xfId="0" applyFont="1" applyFill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167" fontId="8" fillId="9" borderId="40" xfId="3" applyNumberFormat="1" applyFont="1" applyFill="1" applyBorder="1" applyAlignment="1">
      <alignment horizontal="center" vertical="center"/>
    </xf>
    <xf numFmtId="0" fontId="89" fillId="59" borderId="23" xfId="0" applyFont="1" applyFill="1" applyBorder="1" applyAlignment="1">
      <alignment horizontal="left" vertical="top"/>
    </xf>
    <xf numFmtId="0" fontId="89" fillId="59" borderId="81" xfId="0" applyFont="1" applyFill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99" fillId="18" borderId="4" xfId="0" applyFont="1" applyFill="1" applyBorder="1" applyAlignment="1">
      <alignment horizontal="left" vertical="top"/>
    </xf>
    <xf numFmtId="0" fontId="14" fillId="89" borderId="17" xfId="0" applyFont="1" applyFill="1" applyBorder="1" applyAlignment="1">
      <alignment horizontal="center" vertical="top" wrapText="1"/>
    </xf>
    <xf numFmtId="0" fontId="14" fillId="89" borderId="11" xfId="0" applyFont="1" applyFill="1" applyBorder="1" applyAlignment="1">
      <alignment horizontal="center" vertical="top" wrapText="1"/>
    </xf>
    <xf numFmtId="0" fontId="14" fillId="89" borderId="8" xfId="0" applyFont="1" applyFill="1" applyBorder="1" applyAlignment="1">
      <alignment horizontal="center" vertical="top" wrapText="1"/>
    </xf>
    <xf numFmtId="0" fontId="14" fillId="89" borderId="2" xfId="0" applyFont="1" applyFill="1" applyBorder="1" applyAlignment="1">
      <alignment horizontal="center" vertical="top"/>
    </xf>
    <xf numFmtId="0" fontId="96" fillId="90" borderId="29" xfId="0" applyFont="1" applyFill="1" applyBorder="1" applyAlignment="1">
      <alignment horizontal="center" vertical="top" wrapText="1" readingOrder="1"/>
    </xf>
    <xf numFmtId="0" fontId="14" fillId="91" borderId="5" xfId="0" applyFont="1" applyFill="1" applyBorder="1" applyAlignment="1">
      <alignment horizontal="center" vertical="top"/>
    </xf>
    <xf numFmtId="0" fontId="14" fillId="92" borderId="5" xfId="0" applyFont="1" applyFill="1" applyBorder="1" applyAlignment="1">
      <alignment horizontal="center" vertical="top"/>
    </xf>
    <xf numFmtId="0" fontId="14" fillId="93" borderId="5" xfId="0" applyFont="1" applyFill="1" applyBorder="1" applyAlignment="1">
      <alignment horizontal="center" vertical="top"/>
    </xf>
    <xf numFmtId="0" fontId="14" fillId="88" borderId="5" xfId="0" applyFont="1" applyFill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/>
    </xf>
    <xf numFmtId="0" fontId="22" fillId="0" borderId="5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center" vertical="top"/>
    </xf>
    <xf numFmtId="14" fontId="25" fillId="0" borderId="1" xfId="0" applyNumberFormat="1" applyFont="1" applyBorder="1" applyAlignment="1">
      <alignment horizontal="center" vertical="top"/>
    </xf>
    <xf numFmtId="0" fontId="22" fillId="0" borderId="19" xfId="0" applyFont="1" applyBorder="1" applyAlignment="1">
      <alignment horizontal="center" vertical="top"/>
    </xf>
    <xf numFmtId="9" fontId="22" fillId="0" borderId="19" xfId="0" applyNumberFormat="1" applyFont="1" applyBorder="1" applyAlignment="1">
      <alignment horizontal="center" vertical="top"/>
    </xf>
    <xf numFmtId="0" fontId="22" fillId="0" borderId="12" xfId="0" applyFont="1" applyBorder="1" applyAlignment="1">
      <alignment horizontal="center" vertical="top"/>
    </xf>
    <xf numFmtId="0" fontId="22" fillId="0" borderId="4" xfId="0" applyFont="1" applyBorder="1" applyAlignment="1">
      <alignment horizontal="center" vertical="top" wrapText="1"/>
    </xf>
    <xf numFmtId="0" fontId="15" fillId="0" borderId="19" xfId="0" applyFont="1" applyBorder="1" applyAlignment="1">
      <alignment horizontal="center" vertical="top"/>
    </xf>
    <xf numFmtId="0" fontId="22" fillId="0" borderId="19" xfId="0" applyFont="1" applyBorder="1" applyAlignment="1">
      <alignment horizontal="center" vertical="top" wrapText="1"/>
    </xf>
    <xf numFmtId="0" fontId="97" fillId="94" borderId="19" xfId="0" applyFont="1" applyFill="1" applyBorder="1" applyAlignment="1">
      <alignment horizontal="center" vertical="top"/>
    </xf>
    <xf numFmtId="0" fontId="97" fillId="0" borderId="19" xfId="0" applyFont="1" applyBorder="1" applyAlignment="1">
      <alignment horizontal="center" vertical="top"/>
    </xf>
    <xf numFmtId="0" fontId="15" fillId="0" borderId="19" xfId="0" applyFont="1" applyBorder="1" applyAlignment="1">
      <alignment horizontal="center" vertical="top" wrapText="1"/>
    </xf>
    <xf numFmtId="0" fontId="100" fillId="0" borderId="19" xfId="0" applyFont="1" applyBorder="1" applyAlignment="1">
      <alignment horizontal="center" vertical="top"/>
    </xf>
    <xf numFmtId="9" fontId="100" fillId="0" borderId="19" xfId="0" applyNumberFormat="1" applyFont="1" applyBorder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25" xfId="0" applyFont="1" applyBorder="1" applyAlignment="1">
      <alignment horizontal="center" vertical="top"/>
    </xf>
    <xf numFmtId="0" fontId="22" fillId="0" borderId="70" xfId="0" applyFont="1" applyBorder="1" applyAlignment="1">
      <alignment horizontal="center" vertical="top"/>
    </xf>
    <xf numFmtId="9" fontId="22" fillId="0" borderId="70" xfId="0" applyNumberFormat="1" applyFont="1" applyBorder="1" applyAlignment="1">
      <alignment horizontal="center" vertical="top"/>
    </xf>
    <xf numFmtId="0" fontId="22" fillId="0" borderId="31" xfId="0" applyFont="1" applyBorder="1" applyAlignment="1">
      <alignment horizontal="center" vertical="top"/>
    </xf>
    <xf numFmtId="0" fontId="22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9" fontId="15" fillId="0" borderId="0" xfId="0" applyNumberFormat="1" applyFont="1" applyAlignment="1">
      <alignment horizontal="center" vertical="top"/>
    </xf>
    <xf numFmtId="9" fontId="98" fillId="0" borderId="0" xfId="0" applyNumberFormat="1" applyFont="1" applyAlignment="1">
      <alignment horizontal="center" vertical="top"/>
    </xf>
    <xf numFmtId="0" fontId="14" fillId="86" borderId="17" xfId="0" applyFont="1" applyFill="1" applyBorder="1" applyAlignment="1">
      <alignment horizontal="center" vertical="top" wrapText="1"/>
    </xf>
    <xf numFmtId="0" fontId="14" fillId="87" borderId="5" xfId="0" applyFont="1" applyFill="1" applyBorder="1" applyAlignment="1">
      <alignment horizontal="center" vertical="top" wrapText="1"/>
    </xf>
    <xf numFmtId="0" fontId="14" fillId="88" borderId="17" xfId="0" applyFont="1" applyFill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9" fontId="10" fillId="0" borderId="7" xfId="3" applyFont="1" applyBorder="1" applyAlignment="1">
      <alignment horizontal="center" vertical="top"/>
    </xf>
    <xf numFmtId="0" fontId="22" fillId="0" borderId="23" xfId="0" applyFont="1" applyBorder="1" applyAlignment="1">
      <alignment horizontal="center" vertical="top" wrapText="1"/>
    </xf>
    <xf numFmtId="0" fontId="16" fillId="0" borderId="19" xfId="0" applyFont="1" applyBorder="1" applyAlignment="1">
      <alignment horizontal="center" vertical="top" wrapText="1"/>
    </xf>
    <xf numFmtId="0" fontId="89" fillId="0" borderId="26" xfId="0" applyFont="1" applyBorder="1" applyAlignment="1">
      <alignment horizontal="center" vertical="center" wrapText="1"/>
    </xf>
    <xf numFmtId="0" fontId="90" fillId="0" borderId="40" xfId="0" applyFont="1" applyBorder="1" applyAlignment="1">
      <alignment horizontal="center" vertical="center"/>
    </xf>
    <xf numFmtId="0" fontId="90" fillId="0" borderId="30" xfId="0" applyFont="1" applyBorder="1" applyAlignment="1">
      <alignment horizontal="center" vertical="center"/>
    </xf>
    <xf numFmtId="9" fontId="90" fillId="0" borderId="23" xfId="3" applyFont="1" applyBorder="1" applyAlignment="1">
      <alignment horizontal="center" vertical="center"/>
    </xf>
    <xf numFmtId="0" fontId="89" fillId="0" borderId="23" xfId="0" applyFont="1" applyBorder="1" applyAlignment="1">
      <alignment horizontal="center" vertical="center" wrapText="1"/>
    </xf>
    <xf numFmtId="0" fontId="89" fillId="0" borderId="26" xfId="0" applyFont="1" applyBorder="1" applyAlignment="1">
      <alignment horizontal="center" vertical="center"/>
    </xf>
    <xf numFmtId="0" fontId="89" fillId="0" borderId="23" xfId="0" quotePrefix="1" applyFont="1" applyBorder="1" applyAlignment="1">
      <alignment horizontal="center" vertical="center" wrapText="1"/>
    </xf>
    <xf numFmtId="170" fontId="85" fillId="0" borderId="23" xfId="0" applyNumberFormat="1" applyFont="1" applyBorder="1" applyAlignment="1">
      <alignment horizontal="center" vertical="center"/>
    </xf>
    <xf numFmtId="170" fontId="85" fillId="0" borderId="24" xfId="0" applyNumberFormat="1" applyFont="1" applyBorder="1" applyAlignment="1">
      <alignment horizontal="center" vertical="center"/>
    </xf>
    <xf numFmtId="0" fontId="91" fillId="0" borderId="23" xfId="0" applyFont="1" applyBorder="1" applyAlignment="1">
      <alignment horizontal="center" vertical="center"/>
    </xf>
    <xf numFmtId="0" fontId="93" fillId="0" borderId="26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41" fillId="12" borderId="23" xfId="0" applyFont="1" applyFill="1" applyBorder="1" applyAlignment="1">
      <alignment horizontal="center" vertical="top" wrapText="1"/>
    </xf>
    <xf numFmtId="0" fontId="94" fillId="12" borderId="23" xfId="0" applyFont="1" applyFill="1" applyBorder="1" applyAlignment="1">
      <alignment horizontal="left" vertical="top"/>
    </xf>
    <xf numFmtId="0" fontId="35" fillId="12" borderId="23" xfId="0" applyFont="1" applyFill="1" applyBorder="1" applyAlignment="1">
      <alignment horizontal="center" vertical="top" wrapText="1"/>
    </xf>
    <xf numFmtId="0" fontId="89" fillId="12" borderId="30" xfId="0" applyFont="1" applyFill="1" applyBorder="1" applyAlignment="1">
      <alignment horizontal="left" vertical="top" wrapText="1"/>
    </xf>
    <xf numFmtId="0" fontId="94" fillId="12" borderId="24" xfId="0" applyFont="1" applyFill="1" applyBorder="1" applyAlignment="1">
      <alignment horizontal="left" vertical="top" wrapText="1"/>
    </xf>
    <xf numFmtId="0" fontId="89" fillId="12" borderId="26" xfId="0" applyFont="1" applyFill="1" applyBorder="1" applyAlignment="1">
      <alignment horizontal="center" vertical="top"/>
    </xf>
    <xf numFmtId="0" fontId="89" fillId="0" borderId="38" xfId="0" applyFont="1" applyBorder="1" applyAlignment="1">
      <alignment horizontal="left" vertical="top"/>
    </xf>
    <xf numFmtId="0" fontId="41" fillId="0" borderId="38" xfId="0" applyFont="1" applyBorder="1" applyAlignment="1">
      <alignment vertical="top" wrapText="1"/>
    </xf>
    <xf numFmtId="0" fontId="89" fillId="0" borderId="38" xfId="0" applyFont="1" applyBorder="1" applyAlignment="1">
      <alignment horizontal="center" vertical="top" wrapText="1"/>
    </xf>
    <xf numFmtId="0" fontId="89" fillId="0" borderId="40" xfId="0" applyFont="1" applyBorder="1" applyAlignment="1">
      <alignment horizontal="left" vertical="top" wrapText="1"/>
    </xf>
    <xf numFmtId="0" fontId="41" fillId="0" borderId="40" xfId="0" applyFont="1" applyBorder="1" applyAlignment="1">
      <alignment horizontal="center" vertical="top" wrapText="1"/>
    </xf>
    <xf numFmtId="0" fontId="89" fillId="0" borderId="40" xfId="0" applyFont="1" applyBorder="1" applyAlignment="1">
      <alignment horizontal="center" vertical="top" wrapText="1"/>
    </xf>
    <xf numFmtId="14" fontId="10" fillId="0" borderId="0" xfId="0" applyNumberFormat="1" applyFont="1" applyAlignment="1">
      <alignment horizontal="center" vertical="top"/>
    </xf>
    <xf numFmtId="0" fontId="15" fillId="18" borderId="3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center" vertical="top"/>
    </xf>
    <xf numFmtId="0" fontId="7" fillId="2" borderId="31" xfId="0" applyFont="1" applyFill="1" applyBorder="1" applyAlignment="1">
      <alignment horizontal="center" vertical="top"/>
    </xf>
    <xf numFmtId="170" fontId="25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170" fontId="8" fillId="9" borderId="23" xfId="3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top" wrapText="1"/>
    </xf>
    <xf numFmtId="170" fontId="8" fillId="9" borderId="38" xfId="3" applyNumberFormat="1" applyFont="1" applyFill="1" applyBorder="1" applyAlignment="1">
      <alignment horizontal="center" vertical="center"/>
    </xf>
    <xf numFmtId="170" fontId="8" fillId="9" borderId="40" xfId="3" applyNumberFormat="1" applyFont="1" applyFill="1" applyBorder="1" applyAlignment="1">
      <alignment horizontal="center" vertical="center"/>
    </xf>
    <xf numFmtId="167" fontId="8" fillId="9" borderId="23" xfId="3" applyNumberFormat="1" applyFont="1" applyFill="1" applyBorder="1" applyAlignment="1">
      <alignment horizontal="center" vertical="center"/>
    </xf>
    <xf numFmtId="0" fontId="8" fillId="0" borderId="33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7" fontId="7" fillId="9" borderId="2" xfId="3" quotePrefix="1" applyNumberFormat="1" applyFont="1" applyFill="1" applyBorder="1" applyAlignment="1">
      <alignment horizontal="center" vertical="center"/>
    </xf>
    <xf numFmtId="167" fontId="7" fillId="9" borderId="4" xfId="3" applyNumberFormat="1" applyFont="1" applyFill="1" applyBorder="1" applyAlignment="1">
      <alignment horizontal="center" vertical="center"/>
    </xf>
    <xf numFmtId="170" fontId="8" fillId="9" borderId="17" xfId="3" applyNumberFormat="1" applyFont="1" applyFill="1" applyBorder="1" applyAlignment="1">
      <alignment horizontal="center" vertical="center"/>
    </xf>
    <xf numFmtId="170" fontId="8" fillId="9" borderId="18" xfId="3" applyNumberFormat="1" applyFont="1" applyFill="1" applyBorder="1" applyAlignment="1">
      <alignment horizontal="center" vertical="center"/>
    </xf>
    <xf numFmtId="170" fontId="8" fillId="9" borderId="19" xfId="3" applyNumberFormat="1" applyFont="1" applyFill="1" applyBorder="1" applyAlignment="1">
      <alignment horizontal="center" vertical="center"/>
    </xf>
    <xf numFmtId="170" fontId="8" fillId="9" borderId="1" xfId="3" applyNumberFormat="1" applyFont="1" applyFill="1" applyBorder="1" applyAlignment="1">
      <alignment horizontal="center" vertical="center"/>
    </xf>
    <xf numFmtId="170" fontId="8" fillId="9" borderId="2" xfId="3" applyNumberFormat="1" applyFont="1" applyFill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170" fontId="25" fillId="0" borderId="9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top"/>
    </xf>
    <xf numFmtId="0" fontId="7" fillId="3" borderId="19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/>
    </xf>
    <xf numFmtId="170" fontId="25" fillId="0" borderId="2" xfId="0" applyNumberFormat="1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top"/>
    </xf>
    <xf numFmtId="0" fontId="7" fillId="2" borderId="55" xfId="0" applyFont="1" applyFill="1" applyBorder="1" applyAlignment="1">
      <alignment horizontal="center" vertical="top"/>
    </xf>
    <xf numFmtId="167" fontId="8" fillId="0" borderId="2" xfId="3" quotePrefix="1" applyNumberFormat="1" applyFont="1" applyBorder="1" applyAlignment="1">
      <alignment horizontal="center" vertical="center"/>
    </xf>
    <xf numFmtId="167" fontId="8" fillId="0" borderId="3" xfId="3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7" fontId="8" fillId="9" borderId="3" xfId="3" applyNumberFormat="1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167" fontId="8" fillId="9" borderId="2" xfId="3" quotePrefix="1" applyNumberFormat="1" applyFont="1" applyFill="1" applyBorder="1" applyAlignment="1">
      <alignment horizontal="center" vertical="center"/>
    </xf>
    <xf numFmtId="167" fontId="8" fillId="9" borderId="4" xfId="3" applyNumberFormat="1" applyFont="1" applyFill="1" applyBorder="1" applyAlignment="1">
      <alignment horizontal="center" vertical="center"/>
    </xf>
    <xf numFmtId="167" fontId="8" fillId="9" borderId="8" xfId="3" applyNumberFormat="1" applyFont="1" applyFill="1" applyBorder="1" applyAlignment="1">
      <alignment horizontal="center" vertical="center"/>
    </xf>
    <xf numFmtId="167" fontId="8" fillId="9" borderId="9" xfId="3" applyNumberFormat="1" applyFont="1" applyFill="1" applyBorder="1" applyAlignment="1">
      <alignment horizontal="center" vertical="center"/>
    </xf>
    <xf numFmtId="167" fontId="8" fillId="9" borderId="10" xfId="3" applyNumberFormat="1" applyFont="1" applyFill="1" applyBorder="1" applyAlignment="1">
      <alignment horizontal="center" vertical="center"/>
    </xf>
    <xf numFmtId="0" fontId="8" fillId="0" borderId="75" xfId="0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top" wrapText="1"/>
    </xf>
    <xf numFmtId="0" fontId="41" fillId="85" borderId="2" xfId="0" applyFont="1" applyFill="1" applyBorder="1" applyAlignment="1">
      <alignment horizontal="center" vertical="top" wrapText="1"/>
    </xf>
    <xf numFmtId="0" fontId="41" fillId="85" borderId="4" xfId="0" applyFont="1" applyFill="1" applyBorder="1" applyAlignment="1">
      <alignment horizontal="center" vertical="top" wrapText="1"/>
    </xf>
    <xf numFmtId="0" fontId="41" fillId="0" borderId="2" xfId="0" applyFont="1" applyBorder="1" applyAlignment="1">
      <alignment horizontal="center" vertical="top" wrapText="1"/>
    </xf>
    <xf numFmtId="0" fontId="41" fillId="0" borderId="4" xfId="0" applyFont="1" applyBorder="1" applyAlignment="1">
      <alignment horizontal="center" vertical="top" wrapText="1"/>
    </xf>
    <xf numFmtId="0" fontId="25" fillId="9" borderId="2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70" fontId="25" fillId="0" borderId="80" xfId="0" applyNumberFormat="1" applyFont="1" applyBorder="1" applyAlignment="1">
      <alignment horizontal="center" vertical="center"/>
    </xf>
    <xf numFmtId="0" fontId="41" fillId="20" borderId="2" xfId="0" applyFont="1" applyFill="1" applyBorder="1" applyAlignment="1">
      <alignment horizontal="center" vertical="top" wrapText="1"/>
    </xf>
    <xf numFmtId="0" fontId="41" fillId="20" borderId="4" xfId="0" applyFont="1" applyFill="1" applyBorder="1" applyAlignment="1">
      <alignment horizontal="center" vertical="top" wrapText="1"/>
    </xf>
    <xf numFmtId="14" fontId="25" fillId="9" borderId="3" xfId="0" applyNumberFormat="1" applyFont="1" applyFill="1" applyBorder="1" applyAlignment="1">
      <alignment horizontal="center" vertical="center"/>
    </xf>
    <xf numFmtId="0" fontId="25" fillId="9" borderId="65" xfId="0" applyFont="1" applyFill="1" applyBorder="1" applyAlignment="1">
      <alignment horizontal="center" vertical="center"/>
    </xf>
    <xf numFmtId="0" fontId="41" fillId="62" borderId="2" xfId="0" applyFont="1" applyFill="1" applyBorder="1" applyAlignment="1">
      <alignment horizontal="center" vertical="top" wrapText="1"/>
    </xf>
    <xf numFmtId="0" fontId="41" fillId="62" borderId="4" xfId="0" applyFont="1" applyFill="1" applyBorder="1" applyAlignment="1">
      <alignment horizontal="center" vertical="top" wrapText="1"/>
    </xf>
    <xf numFmtId="0" fontId="41" fillId="2" borderId="2" xfId="0" applyFont="1" applyFill="1" applyBorder="1" applyAlignment="1">
      <alignment horizontal="center" vertical="top" wrapText="1"/>
    </xf>
    <xf numFmtId="0" fontId="41" fillId="2" borderId="4" xfId="0" applyFont="1" applyFill="1" applyBorder="1" applyAlignment="1">
      <alignment horizontal="center" vertical="top" wrapText="1"/>
    </xf>
    <xf numFmtId="0" fontId="41" fillId="12" borderId="2" xfId="0" applyFont="1" applyFill="1" applyBorder="1" applyAlignment="1">
      <alignment horizontal="center" vertical="top" wrapText="1"/>
    </xf>
    <xf numFmtId="0" fontId="41" fillId="12" borderId="4" xfId="0" applyFont="1" applyFill="1" applyBorder="1" applyAlignment="1">
      <alignment horizontal="center" vertical="top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0" fontId="41" fillId="63" borderId="2" xfId="0" applyFont="1" applyFill="1" applyBorder="1" applyAlignment="1">
      <alignment horizontal="center" vertical="top" wrapText="1"/>
    </xf>
    <xf numFmtId="0" fontId="41" fillId="63" borderId="4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41" fillId="9" borderId="3" xfId="0" applyFont="1" applyFill="1" applyBorder="1" applyAlignment="1">
      <alignment horizontal="center" vertical="top" wrapText="1"/>
    </xf>
    <xf numFmtId="0" fontId="41" fillId="9" borderId="4" xfId="0" applyFont="1" applyFill="1" applyBorder="1" applyAlignment="1">
      <alignment horizontal="center" vertical="top" wrapText="1"/>
    </xf>
    <xf numFmtId="0" fontId="25" fillId="9" borderId="3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0" fontId="41" fillId="61" borderId="2" xfId="0" applyFont="1" applyFill="1" applyBorder="1" applyAlignment="1">
      <alignment horizontal="center" vertical="top" wrapText="1"/>
    </xf>
    <xf numFmtId="0" fontId="41" fillId="61" borderId="4" xfId="0" applyFont="1" applyFill="1" applyBorder="1" applyAlignment="1">
      <alignment horizontal="center" vertical="top" wrapText="1"/>
    </xf>
    <xf numFmtId="170" fontId="25" fillId="0" borderId="23" xfId="0" applyNumberFormat="1" applyFont="1" applyBorder="1" applyAlignment="1">
      <alignment horizontal="center" vertical="center"/>
    </xf>
    <xf numFmtId="170" fontId="8" fillId="9" borderId="24" xfId="3" applyNumberFormat="1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top"/>
    </xf>
    <xf numFmtId="0" fontId="41" fillId="0" borderId="4" xfId="0" applyFont="1" applyBorder="1" applyAlignment="1">
      <alignment horizontal="center" vertical="top"/>
    </xf>
    <xf numFmtId="0" fontId="41" fillId="0" borderId="2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0" fontId="40" fillId="6" borderId="1" xfId="0" applyFont="1" applyFill="1" applyBorder="1" applyAlignment="1">
      <alignment horizontal="center" vertical="top" wrapText="1"/>
    </xf>
    <xf numFmtId="0" fontId="41" fillId="60" borderId="2" xfId="0" applyFont="1" applyFill="1" applyBorder="1" applyAlignment="1">
      <alignment horizontal="center" vertical="top" wrapText="1"/>
    </xf>
    <xf numFmtId="0" fontId="41" fillId="60" borderId="4" xfId="0" applyFont="1" applyFill="1" applyBorder="1" applyAlignment="1">
      <alignment horizontal="center" vertical="top" wrapText="1"/>
    </xf>
    <xf numFmtId="0" fontId="41" fillId="59" borderId="2" xfId="0" applyFont="1" applyFill="1" applyBorder="1" applyAlignment="1">
      <alignment horizontal="center" vertical="top" wrapText="1"/>
    </xf>
    <xf numFmtId="0" fontId="41" fillId="59" borderId="4" xfId="0" applyFont="1" applyFill="1" applyBorder="1" applyAlignment="1">
      <alignment horizontal="center" vertical="top" wrapText="1"/>
    </xf>
    <xf numFmtId="15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171" fontId="10" fillId="0" borderId="65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49" fillId="24" borderId="7" xfId="7" applyFont="1" applyFill="1" applyBorder="1" applyAlignment="1">
      <alignment horizontal="left" vertical="center" wrapText="1"/>
    </xf>
    <xf numFmtId="0" fontId="49" fillId="24" borderId="6" xfId="7" applyFont="1" applyFill="1" applyBorder="1" applyAlignment="1">
      <alignment horizontal="left" vertical="center" wrapText="1"/>
    </xf>
    <xf numFmtId="0" fontId="49" fillId="26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horizontal="center" vertical="center" wrapText="1"/>
    </xf>
    <xf numFmtId="0" fontId="47" fillId="24" borderId="6" xfId="7" applyFont="1" applyFill="1" applyBorder="1" applyAlignment="1">
      <alignment horizontal="center" vertical="center" wrapText="1"/>
    </xf>
    <xf numFmtId="0" fontId="48" fillId="25" borderId="7" xfId="7" applyFont="1" applyFill="1" applyBorder="1" applyAlignment="1">
      <alignment horizontal="center" vertical="center" wrapText="1"/>
    </xf>
    <xf numFmtId="0" fontId="48" fillId="25" borderId="6" xfId="7" applyFont="1" applyFill="1" applyBorder="1" applyAlignment="1">
      <alignment horizontal="center" vertical="center" wrapText="1"/>
    </xf>
    <xf numFmtId="0" fontId="49" fillId="27" borderId="7" xfId="7" applyFont="1" applyFill="1" applyBorder="1" applyAlignment="1">
      <alignment horizontal="left" vertical="center" wrapText="1"/>
    </xf>
    <xf numFmtId="0" fontId="49" fillId="27" borderId="6" xfId="7" applyFont="1" applyFill="1" applyBorder="1" applyAlignment="1">
      <alignment horizontal="left" vertical="center" wrapText="1"/>
    </xf>
    <xf numFmtId="0" fontId="49" fillId="31" borderId="7" xfId="7" applyFont="1" applyFill="1" applyBorder="1" applyAlignment="1">
      <alignment horizontal="left" vertical="center" wrapText="1"/>
    </xf>
    <xf numFmtId="0" fontId="49" fillId="31" borderId="6" xfId="7" applyFont="1" applyFill="1" applyBorder="1" applyAlignment="1">
      <alignment horizontal="left" vertical="center" wrapText="1"/>
    </xf>
    <xf numFmtId="0" fontId="49" fillId="34" borderId="7" xfId="7" applyFont="1" applyFill="1" applyBorder="1" applyAlignment="1">
      <alignment horizontal="left" vertical="center" wrapText="1"/>
    </xf>
    <xf numFmtId="0" fontId="49" fillId="34" borderId="6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49" fillId="35" borderId="6" xfId="7" applyFont="1" applyFill="1" applyBorder="1" applyAlignment="1">
      <alignment horizontal="left" vertical="center" wrapText="1"/>
    </xf>
    <xf numFmtId="0" fontId="49" fillId="35" borderId="10" xfId="7" applyFont="1" applyFill="1" applyBorder="1" applyAlignment="1">
      <alignment horizontal="left" vertical="center" wrapText="1"/>
    </xf>
    <xf numFmtId="0" fontId="49" fillId="35" borderId="12" xfId="7" applyFont="1" applyFill="1" applyBorder="1" applyAlignment="1">
      <alignment horizontal="left" vertical="center" wrapText="1"/>
    </xf>
    <xf numFmtId="0" fontId="49" fillId="24" borderId="10" xfId="7" applyFont="1" applyFill="1" applyBorder="1" applyAlignment="1">
      <alignment horizontal="left" vertical="center" wrapText="1"/>
    </xf>
    <xf numFmtId="0" fontId="49" fillId="24" borderId="12" xfId="7" applyFont="1" applyFill="1" applyBorder="1" applyAlignment="1">
      <alignment horizontal="left" vertical="center" wrapText="1"/>
    </xf>
    <xf numFmtId="0" fontId="51" fillId="39" borderId="7" xfId="7" applyFont="1" applyFill="1" applyBorder="1" applyAlignment="1">
      <alignment horizontal="left" vertical="center" wrapText="1"/>
    </xf>
    <xf numFmtId="0" fontId="51" fillId="39" borderId="6" xfId="7" applyFont="1" applyFill="1" applyBorder="1" applyAlignment="1">
      <alignment horizontal="left" vertical="center" wrapText="1"/>
    </xf>
    <xf numFmtId="0" fontId="49" fillId="26" borderId="4" xfId="7" applyFont="1" applyFill="1" applyBorder="1" applyAlignment="1">
      <alignment horizontal="center" vertical="center" wrapText="1"/>
    </xf>
    <xf numFmtId="0" fontId="47" fillId="24" borderId="9" xfId="7" applyFont="1" applyFill="1" applyBorder="1" applyAlignment="1">
      <alignment horizontal="center" vertical="center" wrapText="1"/>
    </xf>
    <xf numFmtId="0" fontId="47" fillId="24" borderId="0" xfId="7" applyFont="1" applyFill="1" applyAlignment="1">
      <alignment horizontal="center" vertical="center" wrapText="1"/>
    </xf>
    <xf numFmtId="0" fontId="48" fillId="25" borderId="9" xfId="7" applyFont="1" applyFill="1" applyBorder="1" applyAlignment="1">
      <alignment horizontal="center" vertical="center" wrapText="1"/>
    </xf>
    <xf numFmtId="0" fontId="48" fillId="25" borderId="0" xfId="7" applyFont="1" applyFill="1" applyAlignment="1">
      <alignment horizontal="center" vertical="center" wrapText="1"/>
    </xf>
    <xf numFmtId="0" fontId="49" fillId="27" borderId="10" xfId="7" applyFont="1" applyFill="1" applyBorder="1" applyAlignment="1">
      <alignment horizontal="left" vertical="center" wrapText="1"/>
    </xf>
    <xf numFmtId="0" fontId="49" fillId="27" borderId="12" xfId="7" applyFont="1" applyFill="1" applyBorder="1" applyAlignment="1">
      <alignment horizontal="left" vertical="center" wrapText="1"/>
    </xf>
    <xf numFmtId="0" fontId="49" fillId="26" borderId="1" xfId="7" applyFont="1" applyFill="1" applyBorder="1" applyAlignment="1">
      <alignment horizontal="center" vertical="center" wrapText="1"/>
    </xf>
    <xf numFmtId="0" fontId="49" fillId="31" borderId="10" xfId="7" applyFont="1" applyFill="1" applyBorder="1" applyAlignment="1">
      <alignment horizontal="left" vertical="center" wrapText="1"/>
    </xf>
    <xf numFmtId="0" fontId="49" fillId="31" borderId="12" xfId="7" applyFont="1" applyFill="1" applyBorder="1" applyAlignment="1">
      <alignment horizontal="left" vertical="center" wrapText="1"/>
    </xf>
    <xf numFmtId="0" fontId="49" fillId="34" borderId="10" xfId="7" applyFont="1" applyFill="1" applyBorder="1" applyAlignment="1">
      <alignment horizontal="left" vertical="center" wrapText="1"/>
    </xf>
    <xf numFmtId="0" fontId="49" fillId="34" borderId="12" xfId="7" applyFont="1" applyFill="1" applyBorder="1" applyAlignment="1">
      <alignment horizontal="left" vertical="center" wrapText="1"/>
    </xf>
    <xf numFmtId="0" fontId="48" fillId="43" borderId="9" xfId="7" applyFont="1" applyFill="1" applyBorder="1" applyAlignment="1">
      <alignment horizontal="center" vertical="center" wrapText="1"/>
    </xf>
    <xf numFmtId="0" fontId="48" fillId="43" borderId="0" xfId="7" applyFont="1" applyFill="1" applyAlignment="1">
      <alignment horizontal="center" vertical="center" wrapText="1"/>
    </xf>
    <xf numFmtId="0" fontId="49" fillId="45" borderId="9" xfId="7" applyFont="1" applyFill="1" applyBorder="1" applyAlignment="1">
      <alignment horizontal="left" vertical="center" wrapText="1"/>
    </xf>
    <xf numFmtId="0" fontId="49" fillId="45" borderId="0" xfId="7" applyFont="1" applyFill="1" applyAlignment="1">
      <alignment horizontal="left" vertical="center" wrapText="1"/>
    </xf>
    <xf numFmtId="0" fontId="49" fillId="47" borderId="9" xfId="7" applyFont="1" applyFill="1" applyBorder="1" applyAlignment="1">
      <alignment horizontal="left" vertical="center" wrapText="1"/>
    </xf>
    <xf numFmtId="0" fontId="49" fillId="47" borderId="0" xfId="7" applyFont="1" applyFill="1" applyAlignment="1">
      <alignment horizontal="left" vertical="center" wrapText="1"/>
    </xf>
    <xf numFmtId="0" fontId="51" fillId="39" borderId="1" xfId="7" applyFont="1" applyFill="1" applyBorder="1" applyAlignment="1">
      <alignment horizontal="left" vertical="center" wrapText="1"/>
    </xf>
    <xf numFmtId="0" fontId="49" fillId="44" borderId="1" xfId="7" applyFont="1" applyFill="1" applyBorder="1" applyAlignment="1">
      <alignment horizontal="center" vertical="center" wrapText="1"/>
    </xf>
    <xf numFmtId="0" fontId="49" fillId="48" borderId="9" xfId="7" applyFont="1" applyFill="1" applyBorder="1" applyAlignment="1">
      <alignment horizontal="left" vertical="center" wrapText="1"/>
    </xf>
    <xf numFmtId="0" fontId="49" fillId="48" borderId="0" xfId="7" applyFont="1" applyFill="1" applyAlignment="1">
      <alignment horizontal="left" vertical="center" wrapText="1"/>
    </xf>
    <xf numFmtId="0" fontId="49" fillId="49" borderId="9" xfId="7" applyFont="1" applyFill="1" applyBorder="1" applyAlignment="1">
      <alignment horizontal="left" vertical="center" wrapText="1"/>
    </xf>
    <xf numFmtId="0" fontId="49" fillId="49" borderId="0" xfId="7" applyFont="1" applyFill="1" applyAlignment="1">
      <alignment horizontal="left" vertical="center" wrapText="1"/>
    </xf>
    <xf numFmtId="0" fontId="49" fillId="50" borderId="9" xfId="7" applyFont="1" applyFill="1" applyBorder="1" applyAlignment="1">
      <alignment horizontal="left" vertical="center" wrapText="1"/>
    </xf>
    <xf numFmtId="0" fontId="49" fillId="50" borderId="0" xfId="7" applyFont="1" applyFill="1" applyAlignment="1">
      <alignment horizontal="left" vertical="center" wrapText="1"/>
    </xf>
    <xf numFmtId="0" fontId="49" fillId="51" borderId="9" xfId="7" applyFont="1" applyFill="1" applyBorder="1" applyAlignment="1">
      <alignment horizontal="left" vertical="center" wrapText="1"/>
    </xf>
    <xf numFmtId="0" fontId="49" fillId="51" borderId="0" xfId="7" applyFont="1" applyFill="1" applyAlignment="1">
      <alignment horizontal="left" vertical="center" wrapText="1"/>
    </xf>
    <xf numFmtId="0" fontId="49" fillId="52" borderId="9" xfId="7" applyFont="1" applyFill="1" applyBorder="1" applyAlignment="1">
      <alignment horizontal="left" vertical="center" wrapText="1"/>
    </xf>
    <xf numFmtId="0" fontId="49" fillId="52" borderId="0" xfId="7" applyFont="1" applyFill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top"/>
    </xf>
    <xf numFmtId="0" fontId="15" fillId="0" borderId="39" xfId="0" applyFont="1" applyBorder="1" applyAlignment="1">
      <alignment horizontal="left" vertical="top"/>
    </xf>
    <xf numFmtId="0" fontId="7" fillId="6" borderId="7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8" fillId="43" borderId="7" xfId="7" applyFont="1" applyFill="1" applyBorder="1" applyAlignment="1">
      <alignment horizontal="center" vertical="center" wrapText="1"/>
    </xf>
    <xf numFmtId="0" fontId="74" fillId="69" borderId="1" xfId="8" applyFont="1" applyFill="1" applyBorder="1" applyAlignment="1">
      <alignment horizontal="left" vertical="center" wrapText="1"/>
    </xf>
    <xf numFmtId="0" fontId="1" fillId="0" borderId="6" xfId="8" applyBorder="1"/>
    <xf numFmtId="0" fontId="1" fillId="0" borderId="5" xfId="8" applyBorder="1"/>
    <xf numFmtId="0" fontId="47" fillId="69" borderId="1" xfId="8" applyFont="1" applyFill="1" applyBorder="1" applyAlignment="1">
      <alignment horizontal="center" vertical="center" wrapText="1"/>
    </xf>
    <xf numFmtId="0" fontId="48" fillId="70" borderId="1" xfId="8" applyFont="1" applyFill="1" applyBorder="1" applyAlignment="1">
      <alignment horizontal="center" vertical="center" wrapText="1"/>
    </xf>
    <xf numFmtId="0" fontId="49" fillId="71" borderId="1" xfId="8" applyFont="1" applyFill="1" applyBorder="1" applyAlignment="1">
      <alignment horizontal="center" vertical="center" wrapText="1"/>
    </xf>
    <xf numFmtId="0" fontId="1" fillId="0" borderId="4" xfId="8" applyBorder="1"/>
    <xf numFmtId="0" fontId="74" fillId="72" borderId="1" xfId="8" applyFont="1" applyFill="1" applyBorder="1" applyAlignment="1">
      <alignment horizontal="left" vertical="center" wrapText="1"/>
    </xf>
    <xf numFmtId="0" fontId="74" fillId="79" borderId="1" xfId="8" applyFont="1" applyFill="1" applyBorder="1" applyAlignment="1">
      <alignment horizontal="left" vertical="center" wrapText="1"/>
    </xf>
    <xf numFmtId="0" fontId="49" fillId="72" borderId="1" xfId="8" applyFont="1" applyFill="1" applyBorder="1" applyAlignment="1">
      <alignment horizontal="left" vertical="center" wrapText="1"/>
    </xf>
    <xf numFmtId="0" fontId="49" fillId="79" borderId="1" xfId="8" applyFont="1" applyFill="1" applyBorder="1" applyAlignment="1">
      <alignment horizontal="left" vertical="center" wrapText="1"/>
    </xf>
    <xf numFmtId="0" fontId="49" fillId="69" borderId="1" xfId="8" applyFont="1" applyFill="1" applyBorder="1" applyAlignment="1">
      <alignment horizontal="left" vertical="center" wrapText="1"/>
    </xf>
    <xf numFmtId="0" fontId="1" fillId="0" borderId="0" xfId="8"/>
    <xf numFmtId="0" fontId="7" fillId="6" borderId="3" xfId="0" applyFont="1" applyFill="1" applyBorder="1" applyAlignment="1">
      <alignment horizontal="center" vertical="center"/>
    </xf>
    <xf numFmtId="0" fontId="89" fillId="0" borderId="28" xfId="0" applyFont="1" applyBorder="1" applyAlignment="1">
      <alignment horizontal="left" vertical="top" wrapText="1"/>
    </xf>
    <xf numFmtId="0" fontId="89" fillId="0" borderId="26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 wrapText="1"/>
    </xf>
    <xf numFmtId="0" fontId="26" fillId="4" borderId="17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/>
    </xf>
    <xf numFmtId="0" fontId="26" fillId="3" borderId="23" xfId="0" applyFont="1" applyFill="1" applyBorder="1" applyAlignment="1">
      <alignment horizontal="center" vertical="center"/>
    </xf>
    <xf numFmtId="0" fontId="26" fillId="3" borderId="38" xfId="0" applyFont="1" applyFill="1" applyBorder="1" applyAlignment="1">
      <alignment horizontal="center" vertical="center"/>
    </xf>
    <xf numFmtId="0" fontId="26" fillId="12" borderId="23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18" borderId="65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center" vertical="top"/>
    </xf>
    <xf numFmtId="0" fontId="15" fillId="0" borderId="65" xfId="0" applyFont="1" applyBorder="1" applyAlignment="1">
      <alignment horizontal="center" vertical="top"/>
    </xf>
    <xf numFmtId="0" fontId="7" fillId="21" borderId="2" xfId="0" applyFont="1" applyFill="1" applyBorder="1" applyAlignment="1">
      <alignment horizontal="center" vertical="top"/>
    </xf>
    <xf numFmtId="0" fontId="7" fillId="21" borderId="4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horizontal="center" textRotation="90"/>
    </xf>
    <xf numFmtId="0" fontId="7" fillId="21" borderId="4" xfId="0" applyFont="1" applyFill="1" applyBorder="1" applyAlignment="1">
      <alignment horizontal="center" textRotation="90"/>
    </xf>
    <xf numFmtId="0" fontId="37" fillId="22" borderId="6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/>
    </xf>
    <xf numFmtId="0" fontId="38" fillId="6" borderId="7" xfId="0" applyFont="1" applyFill="1" applyBorder="1" applyAlignment="1">
      <alignment horizontal="left" vertical="center" shrinkToFit="1" readingOrder="1"/>
    </xf>
    <xf numFmtId="0" fontId="38" fillId="6" borderId="6" xfId="0" applyFont="1" applyFill="1" applyBorder="1" applyAlignment="1">
      <alignment horizontal="left" vertical="center" shrinkToFit="1" readingOrder="1"/>
    </xf>
    <xf numFmtId="0" fontId="38" fillId="6" borderId="5" xfId="0" applyFont="1" applyFill="1" applyBorder="1" applyAlignment="1">
      <alignment horizontal="left" vertical="center" shrinkToFit="1" readingOrder="1"/>
    </xf>
    <xf numFmtId="0" fontId="36" fillId="6" borderId="7" xfId="0" applyFont="1" applyFill="1" applyBorder="1" applyAlignment="1">
      <alignment horizontal="center" textRotation="90"/>
    </xf>
    <xf numFmtId="0" fontId="36" fillId="6" borderId="6" xfId="0" applyFont="1" applyFill="1" applyBorder="1" applyAlignment="1">
      <alignment horizontal="center" textRotation="90"/>
    </xf>
    <xf numFmtId="0" fontId="36" fillId="6" borderId="5" xfId="0" applyFont="1" applyFill="1" applyBorder="1" applyAlignment="1">
      <alignment horizontal="center" textRotation="90"/>
    </xf>
    <xf numFmtId="0" fontId="26" fillId="6" borderId="7" xfId="0" applyFont="1" applyFill="1" applyBorder="1" applyAlignment="1">
      <alignment horizontal="right" vertical="center"/>
    </xf>
    <xf numFmtId="0" fontId="26" fillId="6" borderId="6" xfId="0" applyFont="1" applyFill="1" applyBorder="1" applyAlignment="1">
      <alignment horizontal="right" vertical="center"/>
    </xf>
    <xf numFmtId="0" fontId="26" fillId="6" borderId="5" xfId="0" applyFont="1" applyFill="1" applyBorder="1" applyAlignment="1">
      <alignment horizontal="right" vertical="center"/>
    </xf>
    <xf numFmtId="0" fontId="26" fillId="6" borderId="7" xfId="0" applyFont="1" applyFill="1" applyBorder="1" applyAlignment="1">
      <alignment horizontal="right" vertical="top"/>
    </xf>
    <xf numFmtId="0" fontId="26" fillId="6" borderId="6" xfId="0" applyFont="1" applyFill="1" applyBorder="1" applyAlignment="1">
      <alignment horizontal="right" vertical="top"/>
    </xf>
    <xf numFmtId="0" fontId="32" fillId="6" borderId="1" xfId="0" applyFont="1" applyFill="1" applyBorder="1" applyAlignment="1">
      <alignment horizontal="center" textRotation="90"/>
    </xf>
    <xf numFmtId="0" fontId="15" fillId="7" borderId="8" xfId="0" applyFont="1" applyFill="1" applyBorder="1" applyAlignment="1">
      <alignment horizontal="left" vertical="top" wrapText="1"/>
    </xf>
    <xf numFmtId="0" fontId="15" fillId="7" borderId="9" xfId="0" applyFont="1" applyFill="1" applyBorder="1" applyAlignment="1">
      <alignment horizontal="left" vertical="top" wrapText="1"/>
    </xf>
    <xf numFmtId="0" fontId="15" fillId="7" borderId="10" xfId="0" applyFont="1" applyFill="1" applyBorder="1" applyAlignment="1">
      <alignment horizontal="left" vertical="top" wrapText="1"/>
    </xf>
    <xf numFmtId="0" fontId="15" fillId="7" borderId="8" xfId="0" applyFont="1" applyFill="1" applyBorder="1" applyAlignment="1">
      <alignment vertical="top" wrapText="1"/>
    </xf>
    <xf numFmtId="0" fontId="15" fillId="7" borderId="9" xfId="0" applyFont="1" applyFill="1" applyBorder="1" applyAlignment="1">
      <alignment vertical="top" wrapText="1"/>
    </xf>
    <xf numFmtId="0" fontId="34" fillId="7" borderId="9" xfId="0" applyFont="1" applyFill="1" applyBorder="1" applyAlignment="1">
      <alignment horizontal="left" vertical="top" wrapText="1"/>
    </xf>
    <xf numFmtId="0" fontId="34" fillId="7" borderId="10" xfId="0" applyFont="1" applyFill="1" applyBorder="1" applyAlignment="1">
      <alignment horizontal="left" vertical="top" wrapText="1"/>
    </xf>
    <xf numFmtId="0" fontId="15" fillId="7" borderId="55" xfId="0" applyFont="1" applyFill="1" applyBorder="1" applyAlignment="1">
      <alignment horizontal="left" vertical="top" wrapText="1"/>
    </xf>
    <xf numFmtId="0" fontId="15" fillId="8" borderId="8" xfId="0" applyFont="1" applyFill="1" applyBorder="1" applyAlignment="1">
      <alignment horizontal="left" vertical="top" wrapText="1"/>
    </xf>
    <xf numFmtId="0" fontId="15" fillId="8" borderId="9" xfId="0" applyFont="1" applyFill="1" applyBorder="1" applyAlignment="1">
      <alignment horizontal="left" vertical="top" wrapText="1"/>
    </xf>
    <xf numFmtId="0" fontId="15" fillId="8" borderId="10" xfId="0" applyFont="1" applyFill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10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34" fillId="5" borderId="8" xfId="0" applyFont="1" applyFill="1" applyBorder="1" applyAlignment="1">
      <alignment horizontal="left" vertical="top" wrapText="1"/>
    </xf>
    <xf numFmtId="0" fontId="34" fillId="5" borderId="10" xfId="0" applyFont="1" applyFill="1" applyBorder="1" applyAlignment="1">
      <alignment horizontal="left" vertical="top" wrapTex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/>
    </xf>
    <xf numFmtId="0" fontId="10" fillId="0" borderId="40" xfId="0" applyFont="1" applyBorder="1" applyAlignment="1">
      <alignment horizontal="center" vertical="top"/>
    </xf>
    <xf numFmtId="0" fontId="10" fillId="0" borderId="27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top" wrapText="1"/>
    </xf>
    <xf numFmtId="0" fontId="34" fillId="0" borderId="27" xfId="0" applyFont="1" applyBorder="1" applyAlignment="1">
      <alignment horizontal="left" vertical="top"/>
    </xf>
    <xf numFmtId="0" fontId="34" fillId="0" borderId="33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top"/>
    </xf>
    <xf numFmtId="0" fontId="9" fillId="5" borderId="33" xfId="0" applyFont="1" applyFill="1" applyBorder="1" applyAlignment="1">
      <alignment horizontal="left" vertical="top"/>
    </xf>
    <xf numFmtId="0" fontId="9" fillId="5" borderId="30" xfId="0" applyFont="1" applyFill="1" applyBorder="1" applyAlignment="1">
      <alignment horizontal="left" vertical="top"/>
    </xf>
    <xf numFmtId="0" fontId="9" fillId="5" borderId="8" xfId="0" applyFont="1" applyFill="1" applyBorder="1" applyAlignment="1">
      <alignment horizontal="left" vertical="top"/>
    </xf>
    <xf numFmtId="0" fontId="9" fillId="5" borderId="10" xfId="0" applyFont="1" applyFill="1" applyBorder="1" applyAlignment="1">
      <alignment horizontal="left" vertical="top"/>
    </xf>
    <xf numFmtId="14" fontId="22" fillId="0" borderId="1" xfId="0" applyNumberFormat="1" applyFont="1" applyBorder="1" applyAlignment="1">
      <alignment horizontal="center"/>
    </xf>
    <xf numFmtId="0" fontId="15" fillId="18" borderId="2" xfId="0" applyFont="1" applyFill="1" applyBorder="1" applyAlignment="1">
      <alignment vertical="top" wrapText="1"/>
    </xf>
    <xf numFmtId="0" fontId="15" fillId="18" borderId="3" xfId="0" applyFont="1" applyFill="1" applyBorder="1" applyAlignment="1">
      <alignment vertical="top"/>
    </xf>
  </cellXfs>
  <cellStyles count="9">
    <cellStyle name="Normal" xfId="0" builtinId="0"/>
    <cellStyle name="Normal 2" xfId="2" xr:uid="{9B3B04C4-A6B4-4B5F-A965-07C10DBFA3A4}"/>
    <cellStyle name="Normal 3" xfId="1" xr:uid="{A8023D65-D840-4981-8E57-D257652CE043}"/>
    <cellStyle name="Normal 4" xfId="4" xr:uid="{1A6E59AC-7E35-4267-B3D2-5AB7A4097058}"/>
    <cellStyle name="Normal 5" xfId="6" xr:uid="{9B17040C-6095-4148-A6EF-5CD484F56F51}"/>
    <cellStyle name="Normal 6" xfId="7" xr:uid="{49469557-73DD-4984-90E4-CDCFADF5A034}"/>
    <cellStyle name="Normal 7" xfId="8" xr:uid="{BDB5F3C7-41D7-4D7C-B4FF-863D03210E62}"/>
    <cellStyle name="Percent" xfId="3" builtinId="5"/>
    <cellStyle name="Percent 2" xfId="5" xr:uid="{3C5163BF-FD17-4D24-A790-3D7D301921DE}"/>
  </cellStyles>
  <dxfs count="218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8B8B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 style="thin">
          <color theme="4" tint="0.39997558519241921"/>
        </bottom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88402966399123"/>
        </left>
        <right/>
        <top style="thin">
          <color theme="4" tint="0.39988402966399123"/>
        </top>
        <bottom/>
        <vertical/>
        <horizontal/>
      </border>
    </dxf>
    <dxf>
      <fill>
        <patternFill patternType="none"/>
      </fill>
    </dxf>
    <dxf>
      <border>
        <right style="thin">
          <color rgb="FF8EA9DB"/>
        </right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79247413556324"/>
        </left>
        <right/>
        <top style="thin">
          <color theme="4" tint="0.39979247413556324"/>
        </top>
        <bottom/>
        <vertical/>
        <horizontal/>
      </border>
    </dxf>
    <dxf>
      <fill>
        <patternFill patternType="none"/>
      </fill>
    </dxf>
    <dxf>
      <border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</dxfs>
  <tableStyles count="0" defaultTableStyle="TableStyleMedium2" defaultPivotStyle="PivotStyleLight16"/>
  <colors>
    <mruColors>
      <color rgb="FFE8F3E1"/>
      <color rgb="FFFF8B8B"/>
      <color rgb="FFE4D2F2"/>
      <color rgb="FFEEE1F7"/>
      <color rgb="FFC5F0FF"/>
      <color rgb="FF97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22/11/relationships/FeaturePropertyBag" Target="featurePropertyBag/featurePropertyBag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(Site Preparation)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'Dashboard-Site Prep.'!$C$22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Prep.'!$C$23:$C$34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0.97435897435897434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E-4B3F-918C-4324F6C1EF35}"/>
            </c:ext>
          </c:extLst>
        </c:ser>
        <c:ser>
          <c:idx val="3"/>
          <c:order val="3"/>
          <c:tx>
            <c:strRef>
              <c:f>'Dashboard-Site Prep.'!$D$22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F1CE194-76C0-483B-BF58-97A7ECCD8B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FCE-4B3F-918C-4324F6C1EF3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1471163-2074-4E38-835E-109AC1EC348C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FCE-4B3F-918C-4324F6C1EF3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5F3A82-EC8A-4058-BC9A-465E05D3AE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FCE-4B3F-918C-4324F6C1EF3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DA1D7E6-D750-4B75-9CCE-F93964352607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CE-4B3F-918C-4324F6C1EF3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69ABD7-EDE6-427F-A8A6-FCA6EB3978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CE-4B3F-918C-4324F6C1EF35}"/>
                </c:ext>
              </c:extLst>
            </c:dLbl>
            <c:dLbl>
              <c:idx val="5"/>
              <c:layout>
                <c:manualLayout>
                  <c:x val="-1.4641416037230867E-3"/>
                  <c:y val="-1.0744726386905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0F88FDB-8472-4476-AD67-E77E80D94D8D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FCE-4B3F-918C-4324F6C1EF3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D133B6-FE67-4DCF-9A81-A61B19921C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CE-4B3F-918C-4324F6C1EF35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3D718F3-B7EE-4DB1-96B5-DE83FE2143CE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CE-4B3F-918C-4324F6C1EF3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7015BD5-11B2-46AB-A86F-36116E3A4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CE-4B3F-918C-4324F6C1EF35}"/>
                </c:ext>
              </c:extLst>
            </c:dLbl>
            <c:dLbl>
              <c:idx val="9"/>
              <c:layout>
                <c:manualLayout>
                  <c:x val="-6.7902098423861857E-4"/>
                  <c:y val="-1.11662040043261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AC6EAAC-CE46-4A4C-89FA-EB120A177EE9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FCE-4B3F-918C-4324F6C1EF3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AB46C53-6A66-4A74-8845-3C3F17ED01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CE-4B3F-918C-4324F6C1EF35}"/>
                </c:ext>
              </c:extLst>
            </c:dLbl>
            <c:dLbl>
              <c:idx val="11"/>
              <c:layout>
                <c:manualLayout>
                  <c:x val="-1.1033977669592395E-3"/>
                  <c:y val="-1.800283793009067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D2AB828-38A2-403C-AEBD-72339BE34B60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FCE-4B3F-918C-4324F6C1EF35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Prep.'!$D$23:$D$34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'Dashboard-Site Prep.'!$D$23:$D$34</c15:f>
                <c15:dlblRangeCache>
                  <c:ptCount val="12"/>
                  <c:pt idx="0">
                    <c:v>ทั้งหมด 17 จุด - Completed</c:v>
                  </c:pt>
                  <c:pt idx="1">
                    <c:v>ทั้งหมด 31 จุด - Completed</c:v>
                  </c:pt>
                  <c:pt idx="2">
                    <c:v>ทั้งหมด 156 จุด</c:v>
                  </c:pt>
                  <c:pt idx="3">
                    <c:v>ทั้งหมด 96 จุด - Completed</c:v>
                  </c:pt>
                  <c:pt idx="4">
                    <c:v>ทั้งหมด 15 จุด - Completed</c:v>
                  </c:pt>
                  <c:pt idx="5">
                    <c:v>ทั้งหมด 56 จุด - Completed</c:v>
                  </c:pt>
                  <c:pt idx="6">
                    <c:v>ทั้งหมด 0 จุด - Completed</c:v>
                  </c:pt>
                  <c:pt idx="7">
                    <c:v>ทั้งหมด 10 จุด - Completed</c:v>
                  </c:pt>
                  <c:pt idx="8">
                    <c:v>ทั้งหมด 2 จุด - Completed</c:v>
                  </c:pt>
                  <c:pt idx="9">
                    <c:v>ทั้งหมด 23 จุด - Completed</c:v>
                  </c:pt>
                  <c:pt idx="10">
                    <c:v>ทั้งหมด 0 จุด - Completed</c:v>
                  </c:pt>
                  <c:pt idx="11">
                    <c:v>ทั้งหมด 16 จุด - Completed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9FCE-4B3F-918C-4324F6C1EF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'Dashboard-Site Prep.'!$A$22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'Dashboard-Site Prep.'!$A$23:$A$34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6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9FCE-4B3F-918C-4324F6C1EF3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Prep.'!$B$23:$B$34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FCE-4B3F-918C-4324F6C1EF35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2759626976677729"/>
          <c:y val="3.8520025715808107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C5F0FF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(Switch &amp; Appliance)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'Dashboard-LAN'!$C$22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'Dashboard-LAN'!$C$23:$C$40</c:f>
              <c:numCache>
                <c:formatCode>0.0%</c:formatCode>
                <c:ptCount val="18"/>
                <c:pt idx="0">
                  <c:v>0.97409326424870468</c:v>
                </c:pt>
                <c:pt idx="1">
                  <c:v>0.97409326424870468</c:v>
                </c:pt>
                <c:pt idx="2">
                  <c:v>0.94818652849740936</c:v>
                </c:pt>
                <c:pt idx="3">
                  <c:v>0.28894472361809043</c:v>
                </c:pt>
                <c:pt idx="4">
                  <c:v>0.28894472361809043</c:v>
                </c:pt>
                <c:pt idx="5">
                  <c:v>0.28894472361809043</c:v>
                </c:pt>
                <c:pt idx="6">
                  <c:v>2.9702970297029702E-2</c:v>
                </c:pt>
                <c:pt idx="7">
                  <c:v>2.9702970297029702E-2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0.33720930232558138</c:v>
                </c:pt>
                <c:pt idx="13">
                  <c:v>0.33720930232558138</c:v>
                </c:pt>
                <c:pt idx="14">
                  <c:v>0</c:v>
                </c:pt>
                <c:pt idx="15">
                  <c:v>2.6315789473684209E-2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C-4999-A59E-7BCC9228EEF0}"/>
            </c:ext>
          </c:extLst>
        </c:ser>
        <c:ser>
          <c:idx val="3"/>
          <c:order val="3"/>
          <c:tx>
            <c:strRef>
              <c:f>'Dashboard-LAN'!$D$22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4C-4999-A59E-7BCC9228EE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4C-4999-A59E-7BCC9228EE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4C-4999-A59E-7BCC9228EE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4C-4999-A59E-7BCC9228EE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4C-4999-A59E-7BCC9228EE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4C-4999-A59E-7BCC9228EE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4C-4999-A59E-7BCC9228EE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4C-4999-A59E-7BCC9228EE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4C-4999-A59E-7BCC9228EE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4C-4999-A59E-7BCC9228EE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14C-4999-A59E-7BCC9228EEF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4C-4999-A59E-7BCC9228EEF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14C-4999-A59E-7BCC9228EEF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14C-4999-A59E-7BCC9228EEF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14C-4999-A59E-7BCC9228EEF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14C-4999-A59E-7BCC9228EEF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14C-4999-A59E-7BCC9228EEF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14C-4999-A59E-7BCC9228E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'Dashboard-LAN'!$D$23:$D$40</c:f>
              <c:numCache>
                <c:formatCode>General</c:formatCode>
                <c:ptCount val="18"/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'Dashboard-LAN'!$D$23:$D$40</c15:f>
                <c15:dlblRangeCache>
                  <c:ptCount val="18"/>
                </c15:dlblRangeCache>
              </c15:datalabelsRange>
            </c:ext>
            <c:ext xmlns:c16="http://schemas.microsoft.com/office/drawing/2014/chart" uri="{C3380CC4-5D6E-409C-BE32-E72D297353CC}">
              <c16:uniqueId val="{00000007-914C-4999-A59E-7BCC9228EE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'Dashboard-LAN'!$A$22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'Dashboard-LAN'!$A$23:$A$40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14C-4999-A59E-7BCC9228EEF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4C-4999-A59E-7BCC9228EEF0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4958325038354181"/>
          <c:y val="3.4250438964418074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8F3E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(Access Point)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'Dashboard-WL'!$C$22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'Dashboard-WL'!$C$23:$C$40</c:f>
              <c:numCache>
                <c:formatCode>0.0%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0.1303370786516854</c:v>
                </c:pt>
                <c:pt idx="4" formatCode="0%">
                  <c:v>0.39775280898876403</c:v>
                </c:pt>
                <c:pt idx="5">
                  <c:v>0.1303370786516854</c:v>
                </c:pt>
                <c:pt idx="6">
                  <c:v>0.86</c:v>
                </c:pt>
                <c:pt idx="7">
                  <c:v>0.86</c:v>
                </c:pt>
                <c:pt idx="8">
                  <c:v>0.86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A-4C35-8DE0-FD7346273726}"/>
            </c:ext>
          </c:extLst>
        </c:ser>
        <c:ser>
          <c:idx val="3"/>
          <c:order val="3"/>
          <c:tx>
            <c:strRef>
              <c:f>'Dashboard-WL'!$D$22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EAA-4C35-8DE0-FD7346273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10155B-E8C1-4BC6-87DD-D885498431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EAA-4C35-8DE0-FD7346273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EAA-4C35-8DE0-FD7346273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AA-4C35-8DE0-FD7346273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A133BCA-22F0-4B0E-92B7-4F5983DD42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AA-4C35-8DE0-FD7346273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AA-4C35-8DE0-FD73462737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AA-4C35-8DE0-FD73462737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9DB2D4D-C3CF-46DD-BE2B-0134FE9F8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EAA-4C35-8DE0-FD73462737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EAA-4C35-8DE0-FD734627372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EAA-4C35-8DE0-FD734627372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8963E30-671A-44FA-AD43-BCD4CB4C1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AA-4C35-8DE0-FD734627372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EAA-4C35-8DE0-FD734627372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EAA-4C35-8DE0-FD734627372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F51E077-1F03-43BB-9AF9-C89A08ADF1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EAA-4C35-8DE0-FD734627372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EAA-4C35-8DE0-FD734627372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AA-4C35-8DE0-FD734627372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9635157-2F4E-483C-B4DC-9ECFFE1EC4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EAA-4C35-8DE0-FD734627372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EAA-4C35-8DE0-FD7346273726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'Dashboard-WL'!$D$23:$D$40</c:f>
              <c:numCache>
                <c:formatCode>General</c:formatCode>
                <c:ptCount val="18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'Dashboard-WL'!$D$23:$D$40</c15:f>
                <c15:dlblRangeCache>
                  <c:ptCount val="18"/>
                  <c:pt idx="1">
                    <c:v>ทั้งหมด 167 ชุด</c:v>
                  </c:pt>
                  <c:pt idx="4">
                    <c:v>ทั้งหมด 445 ชุด</c:v>
                  </c:pt>
                  <c:pt idx="7">
                    <c:v>ทั้งหมด 50 ชุด</c:v>
                  </c:pt>
                  <c:pt idx="10">
                    <c:v>ทั้งหมด 50 ชุด</c:v>
                  </c:pt>
                  <c:pt idx="13">
                    <c:v>ทั้งหมด 45 ชุด</c:v>
                  </c:pt>
                  <c:pt idx="16">
                    <c:v>ทั้งหมด 30 ชุด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5EAA-4C35-8DE0-FD73462737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'Dashboard-WL'!$A$22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'Dashboard-WL'!$A$23:$A$40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5EAA-4C35-8DE0-FD73462737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EAA-4C35-8DE0-FD7346273726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1630325237611905"/>
          <c:y val="4.0671193151575469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EE1F7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 </a:t>
            </a:r>
            <a:r>
              <a:rPr lang="en-US" sz="1800"/>
              <a:t>(</a:t>
            </a:r>
            <a:r>
              <a:rPr lang="th-TH" sz="1800"/>
              <a:t>จำนวน</a:t>
            </a:r>
            <a:r>
              <a:rPr lang="th-TH" sz="1800" baseline="0"/>
              <a:t> </a:t>
            </a:r>
            <a:r>
              <a:rPr lang="en-US" sz="1800" baseline="0"/>
              <a:t>193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'HQ-กราฟรายสัปดาห์'!$A$9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2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FF-423E-AD6E-4E4B1534B3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FF-423E-AD6E-4E4B1534B3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FF-423E-AD6E-4E4B1534B3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FF-423E-AD6E-4E4B1534B3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FF-423E-AD6E-4E4B1534B3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FF-423E-AD6E-4E4B1534B368}"/>
                </c:ext>
              </c:extLst>
            </c:dLbl>
            <c:dLbl>
              <c:idx val="6"/>
              <c:layout>
                <c:manualLayout>
                  <c:x val="4.2008261381427346E-2"/>
                  <c:y val="-0.35755414823117232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559882273035994E-2"/>
                      <c:h val="4.35451571651916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10-49F9-A498-B7BF3EB65087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'HQ-กราฟรายสัปดาห์'!$B$9:$J$9</c:f>
              <c:numCache>
                <c:formatCode>General</c:formatCode>
                <c:ptCount val="9"/>
                <c:pt idx="0">
                  <c:v>27</c:v>
                </c:pt>
                <c:pt idx="1">
                  <c:v>37</c:v>
                </c:pt>
                <c:pt idx="2">
                  <c:v>46</c:v>
                </c:pt>
                <c:pt idx="3">
                  <c:v>98</c:v>
                </c:pt>
                <c:pt idx="4">
                  <c:v>112</c:v>
                </c:pt>
                <c:pt idx="5">
                  <c:v>130</c:v>
                </c:pt>
                <c:pt idx="6">
                  <c:v>141</c:v>
                </c:pt>
                <c:pt idx="7">
                  <c:v>156</c:v>
                </c:pt>
                <c:pt idx="8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23E-AD6E-4E4B1534B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796096"/>
        <c:axId val="1105793216"/>
      </c:areaChart>
      <c:barChart>
        <c:barDir val="col"/>
        <c:grouping val="stacked"/>
        <c:varyColors val="0"/>
        <c:ser>
          <c:idx val="0"/>
          <c:order val="0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34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3-4090-96A0-18DCC1E57843}"/>
            </c:ext>
          </c:extLst>
        </c:ser>
        <c:ser>
          <c:idx val="2"/>
          <c:order val="2"/>
          <c:tx>
            <c:strRef>
              <c:f>'HQ-กราฟรายสัปดาห์'!$A$10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'HQ-กราฟรายสัปดาห์'!$B$10:$J$10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90449"/>
        <c:axId val="37542219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'HQ-กราฟรายสัปดาห์'!$A$8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'HQ-กราฟรายสัปดาห์'!$B$8:$J$8</c:f>
              <c:numCache>
                <c:formatCode>General</c:formatCode>
                <c:ptCount val="9"/>
                <c:pt idx="0">
                  <c:v>27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3-4090-96A0-18DCC1E57843}"/>
            </c:ext>
          </c:extLst>
        </c:ser>
        <c:ser>
          <c:idx val="3"/>
          <c:order val="3"/>
          <c:tx>
            <c:strRef>
              <c:f>'HQ-กราฟรายสัปดาห์'!$A$11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1-439D-A451-557DD03E7E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1-439D-A451-557DD03E7E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1-439D-A451-557DD03E7EA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19-46A8-A353-3B9DB198414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19-46A8-A353-3B9DB19841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'HQ-กราฟรายสัปดาห์'!$B$11:$J$11</c:f>
              <c:numCache>
                <c:formatCode>General</c:formatCode>
                <c:ptCount val="9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5796096"/>
        <c:axId val="1105793216"/>
      </c:barChart>
      <c:lineChart>
        <c:grouping val="standard"/>
        <c:varyColors val="0"/>
        <c:ser>
          <c:idx val="4"/>
          <c:order val="4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34"/>
            <c:spPr>
              <a:solidFill>
                <a:srgbClr val="0070C0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34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796096"/>
        <c:axId val="1105793216"/>
      </c:lineChart>
      <c:catAx>
        <c:axId val="754904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7542219"/>
        <c:crosses val="autoZero"/>
        <c:auto val="1"/>
        <c:lblAlgn val="ctr"/>
        <c:lblOffset val="100"/>
        <c:noMultiLvlLbl val="0"/>
      </c:catAx>
      <c:valAx>
        <c:axId val="375422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5490449"/>
        <c:crosses val="autoZero"/>
        <c:crossBetween val="between"/>
      </c:valAx>
      <c:valAx>
        <c:axId val="11057932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05796096"/>
        <c:crosses val="max"/>
        <c:crossBetween val="between"/>
      </c:valAx>
      <c:catAx>
        <c:axId val="110579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579321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HQ -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% ความก้าวหน้าสะสม - แผน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'HQ-กราฟรายสัปดาห์'!$A$13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'HQ-กราฟรายสัปดาห์'!$B$13:$J$13</c:f>
              <c:numCache>
                <c:formatCode>0.0%</c:formatCode>
                <c:ptCount val="9"/>
                <c:pt idx="0">
                  <c:v>0.17616580310880828</c:v>
                </c:pt>
                <c:pt idx="1">
                  <c:v>0.22797927461139897</c:v>
                </c:pt>
                <c:pt idx="2">
                  <c:v>0.27461139896373055</c:v>
                </c:pt>
                <c:pt idx="3">
                  <c:v>0.54404145077720212</c:v>
                </c:pt>
                <c:pt idx="4">
                  <c:v>0.61658031088082899</c:v>
                </c:pt>
                <c:pt idx="5">
                  <c:v>0.7098445595854922</c:v>
                </c:pt>
                <c:pt idx="6">
                  <c:v>0.76683937823834192</c:v>
                </c:pt>
                <c:pt idx="7">
                  <c:v>0.84455958549222798</c:v>
                </c:pt>
                <c:pt idx="8">
                  <c:v>0.91709844559585496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E5-445B-B008-68F84CA3BBE5}"/>
            </c:ext>
          </c:extLst>
        </c:ser>
        <c:ser>
          <c:idx val="1"/>
          <c:order val="1"/>
          <c:tx>
            <c:strRef>
              <c:f>'HQ-กราฟรายสัปดาห์'!$A$14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'HQ-กราฟรายสัปดาห์'!$B$14:$J$14</c:f>
              <c:numCache>
                <c:formatCode>0.0%</c:formatCode>
                <c:ptCount val="9"/>
                <c:pt idx="0">
                  <c:v>0.13989637305699482</c:v>
                </c:pt>
                <c:pt idx="1">
                  <c:v>0.19170984455958548</c:v>
                </c:pt>
                <c:pt idx="2">
                  <c:v>0.23834196891191708</c:v>
                </c:pt>
                <c:pt idx="3">
                  <c:v>0.50777202072538863</c:v>
                </c:pt>
                <c:pt idx="4">
                  <c:v>0.5803108808290155</c:v>
                </c:pt>
                <c:pt idx="5">
                  <c:v>0.67357512953367871</c:v>
                </c:pt>
                <c:pt idx="6">
                  <c:v>0.73056994818652854</c:v>
                </c:pt>
                <c:pt idx="7">
                  <c:v>0.80829015544041449</c:v>
                </c:pt>
                <c:pt idx="8">
                  <c:v>0.88082901554404147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E5-445B-B008-68F84CA3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4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60363183"/>
        <c:axId val="33150169"/>
      </c:lineChart>
      <c:catAx>
        <c:axId val="60363183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150169"/>
        <c:crosses val="autoZero"/>
        <c:auto val="1"/>
        <c:lblAlgn val="ctr"/>
        <c:lblOffset val="100"/>
        <c:noMultiLvlLbl val="0"/>
      </c:catAx>
      <c:valAx>
        <c:axId val="33150169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0363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'HQ-กราฟรายสัปดาห์'!$B$15:$J$15</c:f>
              <c:numCache>
                <c:formatCode>0.0%</c:formatCode>
                <c:ptCount val="9"/>
                <c:pt idx="0">
                  <c:v>0.88235294117647056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E-4D2C-B359-242CB2CA460E}"/>
            </c:ext>
          </c:extLst>
        </c:ser>
        <c:ser>
          <c:idx val="1"/>
          <c:order val="1"/>
          <c:tx>
            <c:v>% Install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'HQ-กราฟรายสัปดาห์'!$B$16:$J$16</c:f>
              <c:numCache>
                <c:formatCode>0.0%</c:formatCode>
                <c:ptCount val="9"/>
                <c:pt idx="0">
                  <c:v>0.88235294117647056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E-4D2C-B359-242CB2CA460E}"/>
            </c:ext>
          </c:extLst>
        </c:ser>
        <c:ser>
          <c:idx val="2"/>
          <c:order val="2"/>
          <c:tx>
            <c:v>% Migration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'HQ-กราฟรายสัปดาห์'!$B$17:$J$17</c:f>
              <c:numCache>
                <c:formatCode>0.0%</c:formatCode>
                <c:ptCount val="9"/>
                <c:pt idx="0">
                  <c:v>0.79411764705882348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E-4D2C-B359-242CB2CA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5493"/>
        <c:axId val="82813664"/>
      </c:barChart>
      <c:catAx>
        <c:axId val="99285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2813664"/>
        <c:crosses val="autoZero"/>
        <c:auto val="1"/>
        <c:lblAlgn val="ctr"/>
        <c:lblOffset val="100"/>
        <c:noMultiLvlLbl val="0"/>
      </c:catAx>
      <c:valAx>
        <c:axId val="82813664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9285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รายวัน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4-4E17-9FE6-E0F76FEADA7E}"/>
            </c:ext>
          </c:extLst>
        </c:ser>
        <c:ser>
          <c:idx val="2"/>
          <c:order val="2"/>
          <c:tx>
            <c:strRef>
              <c:f>'HQ-กราฟรายวัน'!$A$7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'HQ-กราฟรายวัน'!$B$7:$BI$7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393917"/>
        <c:axId val="3395488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'HQ-กราฟรายวัน'!$A$6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DF-49E0-A25C-0DBD5D8740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7DF-49E0-A25C-0DBD5D8740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DF-49E0-A25C-0DBD5D8740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7DF-49E0-A25C-0DBD5D8740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DF-49E0-A25C-0DBD5D8740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7DF-49E0-A25C-0DBD5D8740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'HQ-กราฟรายวัน'!$B$6:$BI$6</c:f>
              <c:numCache>
                <c:formatCode>General</c:formatCode>
                <c:ptCount val="6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4-4E17-9FE6-E0F76FEADA7E}"/>
            </c:ext>
          </c:extLst>
        </c:ser>
        <c:ser>
          <c:idx val="3"/>
          <c:order val="3"/>
          <c:tx>
            <c:strRef>
              <c:f>'HQ-กราฟรายวัน'!$A$8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7DF-49E0-A25C-0DBD5D8740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7DF-49E0-A25C-0DBD5D8740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7DF-49E0-A25C-0DBD5D8740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7DF-49E0-A25C-0DBD5D8740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7DF-49E0-A25C-0DBD5D8740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7DF-49E0-A25C-0DBD5D8740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'HQ-กราฟรายวัน'!$B$8:$BI$8</c:f>
              <c:numCache>
                <c:formatCode>General</c:formatCode>
                <c:ptCount val="6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37632"/>
        <c:axId val="1242039552"/>
      </c:barChart>
      <c:lineChart>
        <c:grouping val="standard"/>
        <c:varyColors val="0"/>
        <c:ser>
          <c:idx val="4"/>
          <c:order val="4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1"/>
            <c:spPr>
              <a:solidFill>
                <a:srgbClr val="0070C0"/>
              </a:solidFill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037632"/>
        <c:axId val="1242039552"/>
      </c:lineChart>
      <c:catAx>
        <c:axId val="38393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95488"/>
        <c:crosses val="autoZero"/>
        <c:auto val="1"/>
        <c:lblAlgn val="ctr"/>
        <c:lblOffset val="100"/>
        <c:noMultiLvlLbl val="0"/>
      </c:catAx>
      <c:valAx>
        <c:axId val="33954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8393917"/>
        <c:crosses val="autoZero"/>
        <c:crossBetween val="between"/>
      </c:valAx>
      <c:valAx>
        <c:axId val="12420395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42037632"/>
        <c:crosses val="max"/>
        <c:crossBetween val="between"/>
      </c:valAx>
      <c:catAx>
        <c:axId val="1242037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039552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ความก้าวหน้าสะสมรายวัน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'HQ-กราฟรายวัน'!$A$9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diamond"/>
            <c:size val="6"/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1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'HQ-กราฟรายวัน'!$B$9:$BI$9</c:f>
              <c:numCache>
                <c:formatCode>0.0%</c:formatCode>
                <c:ptCount val="60"/>
                <c:pt idx="0">
                  <c:v>0.17616580310880828</c:v>
                </c:pt>
                <c:pt idx="1">
                  <c:v>0.17616580310880828</c:v>
                </c:pt>
                <c:pt idx="2">
                  <c:v>0.17616580310880828</c:v>
                </c:pt>
                <c:pt idx="3">
                  <c:v>0.17616580310880828</c:v>
                </c:pt>
                <c:pt idx="4">
                  <c:v>0.17616580310880828</c:v>
                </c:pt>
                <c:pt idx="5">
                  <c:v>0.17616580310880828</c:v>
                </c:pt>
                <c:pt idx="6">
                  <c:v>0.17616580310880828</c:v>
                </c:pt>
                <c:pt idx="7">
                  <c:v>0.17616580310880828</c:v>
                </c:pt>
                <c:pt idx="8">
                  <c:v>0.22797927461139897</c:v>
                </c:pt>
                <c:pt idx="9">
                  <c:v>0.22797927461139897</c:v>
                </c:pt>
                <c:pt idx="10">
                  <c:v>0.22797927461139897</c:v>
                </c:pt>
                <c:pt idx="11">
                  <c:v>0.22797927461139897</c:v>
                </c:pt>
                <c:pt idx="12">
                  <c:v>0.22797927461139897</c:v>
                </c:pt>
                <c:pt idx="13">
                  <c:v>0.22797927461139897</c:v>
                </c:pt>
                <c:pt idx="14">
                  <c:v>0.22797927461139897</c:v>
                </c:pt>
                <c:pt idx="15">
                  <c:v>0.25388601036269431</c:v>
                </c:pt>
                <c:pt idx="16">
                  <c:v>0.25388601036269431</c:v>
                </c:pt>
                <c:pt idx="17">
                  <c:v>0.27461139896373055</c:v>
                </c:pt>
                <c:pt idx="18">
                  <c:v>0.27461139896373055</c:v>
                </c:pt>
                <c:pt idx="19">
                  <c:v>0.27461139896373055</c:v>
                </c:pt>
                <c:pt idx="20">
                  <c:v>0.35233160621761656</c:v>
                </c:pt>
                <c:pt idx="21">
                  <c:v>0.35233160621761656</c:v>
                </c:pt>
                <c:pt idx="22">
                  <c:v>0.45595854922279794</c:v>
                </c:pt>
                <c:pt idx="23">
                  <c:v>0.45595854922279794</c:v>
                </c:pt>
                <c:pt idx="24">
                  <c:v>0.54404145077720212</c:v>
                </c:pt>
                <c:pt idx="25">
                  <c:v>0.54404145077720212</c:v>
                </c:pt>
                <c:pt idx="26">
                  <c:v>0.54404145077720212</c:v>
                </c:pt>
                <c:pt idx="27">
                  <c:v>0.61658031088082899</c:v>
                </c:pt>
                <c:pt idx="28">
                  <c:v>0.61658031088082899</c:v>
                </c:pt>
                <c:pt idx="29">
                  <c:v>0.61658031088082899</c:v>
                </c:pt>
                <c:pt idx="30">
                  <c:v>0.61658031088082899</c:v>
                </c:pt>
                <c:pt idx="31">
                  <c:v>0.61658031088082899</c:v>
                </c:pt>
                <c:pt idx="32">
                  <c:v>0.61658031088082899</c:v>
                </c:pt>
                <c:pt idx="33">
                  <c:v>0.61658031088082899</c:v>
                </c:pt>
                <c:pt idx="34">
                  <c:v>0.66839378238341973</c:v>
                </c:pt>
                <c:pt idx="35">
                  <c:v>0.66839378238341973</c:v>
                </c:pt>
                <c:pt idx="36">
                  <c:v>0.7098445595854922</c:v>
                </c:pt>
                <c:pt idx="37">
                  <c:v>0.7098445595854922</c:v>
                </c:pt>
                <c:pt idx="38">
                  <c:v>0.7098445595854922</c:v>
                </c:pt>
                <c:pt idx="39">
                  <c:v>0.7098445595854922</c:v>
                </c:pt>
                <c:pt idx="40">
                  <c:v>0.7098445595854922</c:v>
                </c:pt>
                <c:pt idx="41">
                  <c:v>0.76683937823834192</c:v>
                </c:pt>
                <c:pt idx="42">
                  <c:v>0.76683937823834192</c:v>
                </c:pt>
                <c:pt idx="43">
                  <c:v>0.76683937823834192</c:v>
                </c:pt>
                <c:pt idx="44">
                  <c:v>0.76683937823834192</c:v>
                </c:pt>
                <c:pt idx="45">
                  <c:v>0.76683937823834192</c:v>
                </c:pt>
                <c:pt idx="46">
                  <c:v>0.76683937823834192</c:v>
                </c:pt>
                <c:pt idx="47">
                  <c:v>0.76683937823834192</c:v>
                </c:pt>
                <c:pt idx="48">
                  <c:v>0.76683937823834192</c:v>
                </c:pt>
                <c:pt idx="49">
                  <c:v>0.80310880829015541</c:v>
                </c:pt>
                <c:pt idx="50">
                  <c:v>0.81347150259067358</c:v>
                </c:pt>
                <c:pt idx="51">
                  <c:v>0.81347150259067358</c:v>
                </c:pt>
                <c:pt idx="52">
                  <c:v>0.84455958549222798</c:v>
                </c:pt>
                <c:pt idx="53">
                  <c:v>0.84455958549222798</c:v>
                </c:pt>
                <c:pt idx="54">
                  <c:v>0.84455958549222798</c:v>
                </c:pt>
                <c:pt idx="55">
                  <c:v>0.84455958549222798</c:v>
                </c:pt>
                <c:pt idx="56">
                  <c:v>0.84455958549222798</c:v>
                </c:pt>
                <c:pt idx="57">
                  <c:v>0.90673575129533679</c:v>
                </c:pt>
                <c:pt idx="58">
                  <c:v>0.90673575129533679</c:v>
                </c:pt>
                <c:pt idx="59">
                  <c:v>0.91709844559585496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29-443C-8249-F0C7DED206A6}"/>
            </c:ext>
          </c:extLst>
        </c:ser>
        <c:ser>
          <c:idx val="1"/>
          <c:order val="1"/>
          <c:tx>
            <c:strRef>
              <c:f>'HQ-กราฟรายวัน'!$A$10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'HQ-กราฟรายวัน'!$B$10:$BI$10</c:f>
              <c:numCache>
                <c:formatCode>0.0%</c:formatCode>
                <c:ptCount val="60"/>
                <c:pt idx="0">
                  <c:v>0.13989637305699482</c:v>
                </c:pt>
                <c:pt idx="1">
                  <c:v>0.13989637305699482</c:v>
                </c:pt>
                <c:pt idx="2">
                  <c:v>0.13989637305699482</c:v>
                </c:pt>
                <c:pt idx="3">
                  <c:v>0.13989637305699482</c:v>
                </c:pt>
                <c:pt idx="4">
                  <c:v>0.13989637305699482</c:v>
                </c:pt>
                <c:pt idx="5">
                  <c:v>0.13989637305699482</c:v>
                </c:pt>
                <c:pt idx="6">
                  <c:v>0.13989637305699482</c:v>
                </c:pt>
                <c:pt idx="7">
                  <c:v>0.13989637305699482</c:v>
                </c:pt>
                <c:pt idx="8">
                  <c:v>0.19170984455958548</c:v>
                </c:pt>
                <c:pt idx="9">
                  <c:v>0.19170984455958548</c:v>
                </c:pt>
                <c:pt idx="10">
                  <c:v>0.19170984455958548</c:v>
                </c:pt>
                <c:pt idx="11">
                  <c:v>0.19170984455958548</c:v>
                </c:pt>
                <c:pt idx="12">
                  <c:v>0.19170984455958548</c:v>
                </c:pt>
                <c:pt idx="13">
                  <c:v>0.19170984455958548</c:v>
                </c:pt>
                <c:pt idx="14">
                  <c:v>0.19170984455958548</c:v>
                </c:pt>
                <c:pt idx="15">
                  <c:v>0.21761658031088082</c:v>
                </c:pt>
                <c:pt idx="16">
                  <c:v>0.21761658031088082</c:v>
                </c:pt>
                <c:pt idx="17">
                  <c:v>0.23834196891191708</c:v>
                </c:pt>
                <c:pt idx="18">
                  <c:v>0.23834196891191708</c:v>
                </c:pt>
                <c:pt idx="19">
                  <c:v>0.23834196891191708</c:v>
                </c:pt>
                <c:pt idx="20">
                  <c:v>0.31606217616580312</c:v>
                </c:pt>
                <c:pt idx="21">
                  <c:v>0.31606217616580312</c:v>
                </c:pt>
                <c:pt idx="22">
                  <c:v>0.41968911917098445</c:v>
                </c:pt>
                <c:pt idx="23">
                  <c:v>0.41968911917098445</c:v>
                </c:pt>
                <c:pt idx="24">
                  <c:v>0.50777202072538863</c:v>
                </c:pt>
                <c:pt idx="25">
                  <c:v>0.50777202072538863</c:v>
                </c:pt>
                <c:pt idx="26">
                  <c:v>0.50777202072538863</c:v>
                </c:pt>
                <c:pt idx="27">
                  <c:v>0.5803108808290155</c:v>
                </c:pt>
                <c:pt idx="28">
                  <c:v>0.5803108808290155</c:v>
                </c:pt>
                <c:pt idx="29">
                  <c:v>0.5803108808290155</c:v>
                </c:pt>
                <c:pt idx="30">
                  <c:v>0.5803108808290155</c:v>
                </c:pt>
                <c:pt idx="31">
                  <c:v>0.5803108808290155</c:v>
                </c:pt>
                <c:pt idx="32">
                  <c:v>0.5803108808290155</c:v>
                </c:pt>
                <c:pt idx="33">
                  <c:v>0.5803108808290155</c:v>
                </c:pt>
                <c:pt idx="34">
                  <c:v>0.63212435233160624</c:v>
                </c:pt>
                <c:pt idx="35">
                  <c:v>0.63212435233160624</c:v>
                </c:pt>
                <c:pt idx="36">
                  <c:v>0.67357512953367871</c:v>
                </c:pt>
                <c:pt idx="37">
                  <c:v>0.67357512953367871</c:v>
                </c:pt>
                <c:pt idx="38">
                  <c:v>0.67357512953367871</c:v>
                </c:pt>
                <c:pt idx="39">
                  <c:v>0.67357512953367871</c:v>
                </c:pt>
                <c:pt idx="40">
                  <c:v>0.67357512953367871</c:v>
                </c:pt>
                <c:pt idx="41">
                  <c:v>0.73056994818652854</c:v>
                </c:pt>
                <c:pt idx="42">
                  <c:v>0.73056994818652854</c:v>
                </c:pt>
                <c:pt idx="43">
                  <c:v>0.73056994818652854</c:v>
                </c:pt>
                <c:pt idx="44">
                  <c:v>0.73056994818652854</c:v>
                </c:pt>
                <c:pt idx="45">
                  <c:v>0.73056994818652854</c:v>
                </c:pt>
                <c:pt idx="46">
                  <c:v>0.73056994818652854</c:v>
                </c:pt>
                <c:pt idx="47">
                  <c:v>0.73056994818652854</c:v>
                </c:pt>
                <c:pt idx="48">
                  <c:v>0.73056994818652854</c:v>
                </c:pt>
                <c:pt idx="49">
                  <c:v>0.76683937823834192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29-443C-8249-F0C7DED20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80729574"/>
        <c:axId val="29559255"/>
      </c:lineChart>
      <c:catAx>
        <c:axId val="80729574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559255"/>
        <c:crosses val="autoZero"/>
        <c:auto val="1"/>
        <c:lblAlgn val="ctr"/>
        <c:lblOffset val="100"/>
        <c:noMultiLvlLbl val="0"/>
      </c:catAx>
      <c:valAx>
        <c:axId val="29559255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0729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(</a:t>
            </a:r>
            <a:r>
              <a:rPr lang="th-TH" sz="1800"/>
              <a:t>จำนวน </a:t>
            </a:r>
            <a:r>
              <a:rPr lang="en-US" sz="1800"/>
              <a:t>1,592</a:t>
            </a:r>
            <a:r>
              <a:rPr lang="en-US" sz="1800" baseline="0"/>
              <a:t>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C4-405F-BA65-F5BA760856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C4-405F-BA65-F5BA760856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C4-405F-BA65-F5BA760856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C4-405F-BA65-F5BA76085667}"/>
                </c:ext>
              </c:extLst>
            </c:dLbl>
            <c:dLbl>
              <c:idx val="4"/>
              <c:layout>
                <c:manualLayout>
                  <c:x val="3.4001186694960779E-2"/>
                  <c:y val="-0.322051685288861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4-4675-838F-4EE596B33B3E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'SVB-กราฟรายสัปดาห์'!$B$13:$U$13</c:f>
              <c:numCache>
                <c:formatCode>General</c:formatCode>
                <c:ptCount val="20"/>
                <c:pt idx="0">
                  <c:v>179</c:v>
                </c:pt>
                <c:pt idx="1">
                  <c:v>224</c:v>
                </c:pt>
                <c:pt idx="2">
                  <c:v>288</c:v>
                </c:pt>
                <c:pt idx="3">
                  <c:v>339</c:v>
                </c:pt>
                <c:pt idx="4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05F-BA65-F5BA7608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v>แผน (เครื่อง)</c:v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dLbls>
            <c:dLbl>
              <c:idx val="0"/>
              <c:layout>
                <c:manualLayout>
                  <c:x val="-2.3383261045161204E-2"/>
                  <c:y val="-7.0566890732397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4C-4314-9118-A3F6F34C3E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C-4A78-AD0A-E0A15838CB25}"/>
            </c:ext>
          </c:extLst>
        </c:ser>
        <c:ser>
          <c:idx val="2"/>
          <c:order val="2"/>
          <c:tx>
            <c:strRef>
              <c:f>'SVB-กราฟรายสัปดาห์'!$A$16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'SVB-กราฟรายสัปดาห์'!$B$16:$U$16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v>Migration จริง (เครื่อง)</c:v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'SVB-กราฟรายสัปดาห์'!$B$10:$U$10</c:f>
              <c:numCache>
                <c:formatCode>General</c:formatCode>
                <c:ptCount val="20"/>
                <c:pt idx="0">
                  <c:v>179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C-4A78-AD0A-E0A15838CB25}"/>
            </c:ext>
          </c:extLst>
        </c:ser>
        <c:ser>
          <c:idx val="3"/>
          <c:order val="3"/>
          <c:tx>
            <c:strRef>
              <c:f>'SVB-กราฟรายสัปดาห์'!$A$17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F3-4CBD-BBB9-CEF1E9FEFC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F3-4CBD-BBB9-CEF1E9FEFC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'SVB-กราฟรายสัปดาห์'!$B$17:$U$17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8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'SVB-กราฟรายสัปดาห์'!$B$23:$U$23</c:f>
              <c:numCache>
                <c:formatCode>0.0%</c:formatCode>
                <c:ptCount val="20"/>
                <c:pt idx="0">
                  <c:v>9.6105527638190955E-2</c:v>
                </c:pt>
                <c:pt idx="1">
                  <c:v>0.13944723618090452</c:v>
                </c:pt>
                <c:pt idx="2">
                  <c:v>0.18090452261306533</c:v>
                </c:pt>
                <c:pt idx="3">
                  <c:v>0.21419597989949749</c:v>
                </c:pt>
                <c:pt idx="4">
                  <c:v>0.27763819095477388</c:v>
                </c:pt>
                <c:pt idx="5">
                  <c:v>0.42902010050251255</c:v>
                </c:pt>
                <c:pt idx="6">
                  <c:v>0.45979899497487436</c:v>
                </c:pt>
                <c:pt idx="7">
                  <c:v>0.49120603015075376</c:v>
                </c:pt>
                <c:pt idx="8">
                  <c:v>0.51067839195979903</c:v>
                </c:pt>
                <c:pt idx="9">
                  <c:v>0.56469849246231152</c:v>
                </c:pt>
                <c:pt idx="10">
                  <c:v>0.62311557788944727</c:v>
                </c:pt>
                <c:pt idx="11">
                  <c:v>0.68404522613065322</c:v>
                </c:pt>
                <c:pt idx="12">
                  <c:v>0.71545226130653261</c:v>
                </c:pt>
                <c:pt idx="13">
                  <c:v>0.75188442211055273</c:v>
                </c:pt>
                <c:pt idx="14">
                  <c:v>0.80025125628140703</c:v>
                </c:pt>
                <c:pt idx="15">
                  <c:v>0.86243718592964824</c:v>
                </c:pt>
                <c:pt idx="16">
                  <c:v>0.92462311557788945</c:v>
                </c:pt>
                <c:pt idx="17">
                  <c:v>0.98555276381909551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'SVB-กราฟรายสัปดาห์'!$B$24:$U$24</c:f>
              <c:numCache>
                <c:formatCode>0.0%</c:formatCode>
                <c:ptCount val="20"/>
                <c:pt idx="0">
                  <c:v>0.11243718592964824</c:v>
                </c:pt>
                <c:pt idx="1">
                  <c:v>0.1407035175879397</c:v>
                </c:pt>
                <c:pt idx="2">
                  <c:v>0.18090452261306533</c:v>
                </c:pt>
                <c:pt idx="3">
                  <c:v>0.2129396984924623</c:v>
                </c:pt>
                <c:pt idx="4">
                  <c:v>0.28831658291457285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72000" tIns="36000" rIns="36000" bIns="0" anchor="ctr" anchorCtr="0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'SVB-กราฟรายสัปดาห์'!$B$29:$Q$29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7-49F7-A004-FDCF1BE4DEB2}"/>
            </c:ext>
          </c:extLst>
        </c:ser>
        <c:ser>
          <c:idx val="1"/>
          <c:order val="1"/>
          <c:tx>
            <c:v>% Install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'SVB-กราฟรายสัปดาห์'!$B$30:$Q$30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7-49F7-A004-FDCF1BE4DEB2}"/>
            </c:ext>
          </c:extLst>
        </c:ser>
        <c:ser>
          <c:idx val="2"/>
          <c:order val="2"/>
          <c:tx>
            <c:v>% Migration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'SVB-กราฟรายสัปดาห์'!$B$31:$Q$31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7-49F7-A004-FDCF1BE4D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70850"/>
        <c:axId val="61684212"/>
      </c:barChart>
      <c:catAx>
        <c:axId val="29170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61684212"/>
        <c:crosses val="autoZero"/>
        <c:auto val="1"/>
        <c:lblAlgn val="ctr"/>
        <c:lblOffset val="100"/>
        <c:noMultiLvlLbl val="0"/>
      </c:catAx>
      <c:valAx>
        <c:axId val="61684212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29170850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Switch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1,121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0D-4E6D-AAA6-B18369E4BE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0D-4E6D-AAA6-B18369E4BE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0D-4E6D-AAA6-B18369E4BE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0D-4E6D-AAA6-B18369E4BEDB}"/>
                </c:ext>
              </c:extLst>
            </c:dLbl>
            <c:dLbl>
              <c:idx val="4"/>
              <c:layout>
                <c:manualLayout>
                  <c:x val="2.6081223412063329E-2"/>
                  <c:y val="-0.343019210781659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B7-43E9-9E7A-3816DDD5DB4C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'SVB-กราฟรายสัปดาห์'!$B$14:$U$14</c:f>
              <c:numCache>
                <c:formatCode>General</c:formatCode>
                <c:ptCount val="20"/>
                <c:pt idx="0">
                  <c:v>88</c:v>
                </c:pt>
                <c:pt idx="1">
                  <c:v>133</c:v>
                </c:pt>
                <c:pt idx="2">
                  <c:v>197</c:v>
                </c:pt>
                <c:pt idx="3">
                  <c:v>248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D-4E6D-AAA6-B18369E4B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0-47E6-8FA8-E14C5059DD6B}"/>
            </c:ext>
          </c:extLst>
        </c:ser>
        <c:ser>
          <c:idx val="2"/>
          <c:order val="2"/>
          <c:tx>
            <c:strRef>
              <c:f>'SVB-กราฟรายสัปดาห์'!$A$18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'SVB-กราฟรายสัปดาห์'!$B$11:$U$11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0-47E6-8FA8-E14C5059DD6B}"/>
            </c:ext>
          </c:extLst>
        </c:ser>
        <c:ser>
          <c:idx val="3"/>
          <c:order val="3"/>
          <c:tx>
            <c:strRef>
              <c:f>'SVB-กราฟรายสัปดาห์'!$A$19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B7-43E9-9E7A-3816DDD5DB4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B7-43E9-9E7A-3816DDD5DB4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B7-43E9-9E7A-3816DDD5DB4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B7-43E9-9E7A-3816DDD5D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9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Switch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'SVB-กราฟรายสัปดาห์'!$B$25:$U$25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0.22301516503122212</c:v>
                </c:pt>
                <c:pt idx="4">
                  <c:v>0.31311329170383584</c:v>
                </c:pt>
                <c:pt idx="5">
                  <c:v>0.36842105263157893</c:v>
                </c:pt>
                <c:pt idx="6">
                  <c:v>0.39518287243532563</c:v>
                </c:pt>
                <c:pt idx="7">
                  <c:v>0.42640499553969669</c:v>
                </c:pt>
                <c:pt idx="8">
                  <c:v>0.45405887600356826</c:v>
                </c:pt>
                <c:pt idx="9">
                  <c:v>0.49776984834968779</c:v>
                </c:pt>
                <c:pt idx="10">
                  <c:v>0.54148082069580727</c:v>
                </c:pt>
                <c:pt idx="11">
                  <c:v>0.62801070472792153</c:v>
                </c:pt>
                <c:pt idx="12">
                  <c:v>0.67261373773416588</c:v>
                </c:pt>
                <c:pt idx="13">
                  <c:v>0.72435325602140943</c:v>
                </c:pt>
                <c:pt idx="14">
                  <c:v>0.79304192685102592</c:v>
                </c:pt>
                <c:pt idx="15">
                  <c:v>0.87154326494201606</c:v>
                </c:pt>
                <c:pt idx="16">
                  <c:v>0.93131132917038362</c:v>
                </c:pt>
                <c:pt idx="17">
                  <c:v>0.98037466547725249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E-42C4-A222-2B48B84CA627}"/>
            </c:ext>
          </c:extLst>
        </c:ser>
        <c:ser>
          <c:idx val="1"/>
          <c:order val="1"/>
          <c:tx>
            <c:strRef>
              <c:f>'SVB-กราฟรายสัปดาห์'!$A$26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'SVB-กราฟรายสัปดาห์'!$B$26:$U$26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0.22123104371097235</c:v>
                </c:pt>
                <c:pt idx="4">
                  <c:v>0.32827832292595899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E-42C4-A222-2B48B84C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AP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445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6"/>
          <c:order val="5"/>
          <c:tx>
            <c:strRef>
              <c:f>'SVB-กราฟรายสัปดาห์'!$A$15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189-4484-9FDC-0625C60EE1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189-4484-9FDC-0625C60EE173}"/>
                </c:ext>
              </c:extLst>
            </c:dLbl>
            <c:dLbl>
              <c:idx val="4"/>
              <c:layout>
                <c:manualLayout>
                  <c:x val="2.6952534052008002E-2"/>
                  <c:y val="-0.18569461034796619"/>
                </c:manualLayout>
              </c:layout>
              <c:spPr>
                <a:gradFill>
                  <a:gsLst>
                    <a:gs pos="55942">
                      <a:schemeClr val="accent4">
                        <a:lumMod val="20000"/>
                        <a:lumOff val="80000"/>
                      </a:schemeClr>
                    </a:gs>
                    <a:gs pos="0">
                      <a:schemeClr val="accent4">
                        <a:lumMod val="75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B6-44D2-B139-46F826AD54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'SVB-กราฟรายสัปดาห์'!$B$15:$U$15</c:f>
              <c:numCache>
                <c:formatCode>General</c:formatCode>
                <c:ptCount val="20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2.2465400800185595E-2"/>
                  <c:y val="-0.12934145429097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50-4745-A63D-40DA84BED5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89-4484-9FDC-0625C60EE173}"/>
            </c:ext>
          </c:extLst>
        </c:ser>
        <c:ser>
          <c:idx val="2"/>
          <c:order val="2"/>
          <c:tx>
            <c:strRef>
              <c:f>'SVB-กราฟรายสัปดาห์'!$A$20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'SVB-กราฟรายสัปดาห์'!$B$20:$U$20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'SVB-กราฟรายสัปดาห์'!$B$12:$U$12</c:f>
              <c:numCache>
                <c:formatCode>General</c:formatCode>
                <c:ptCount val="20"/>
                <c:pt idx="0">
                  <c:v>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89-4484-9FDC-0625C60EE173}"/>
            </c:ext>
          </c:extLst>
        </c:ser>
        <c:ser>
          <c:idx val="3"/>
          <c:order val="3"/>
          <c:tx>
            <c:strRef>
              <c:f>'SVB-กราฟรายสัปดาห์'!$A$21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B6-44D2-B139-46F826AD54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'SVB-กราฟรายสัปดาห์'!$B$21:$U$21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marker>
            <c:symbol val="dash"/>
            <c:size val="20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AP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'SVB-กราฟรายสัปดาห์'!$B$27:$U$27</c:f>
              <c:numCache>
                <c:formatCode>0.0%</c:formatCode>
                <c:ptCount val="20"/>
                <c:pt idx="0">
                  <c:v>9.662921348314607E-2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  <c:pt idx="5">
                  <c:v>0.54831460674157306</c:v>
                </c:pt>
                <c:pt idx="6">
                  <c:v>0.59101123595505622</c:v>
                </c:pt>
                <c:pt idx="7">
                  <c:v>0.62471910112359552</c:v>
                </c:pt>
                <c:pt idx="8">
                  <c:v>0.62471910112359552</c:v>
                </c:pt>
                <c:pt idx="9">
                  <c:v>0.7078651685393258</c:v>
                </c:pt>
                <c:pt idx="10">
                  <c:v>0.80674157303370786</c:v>
                </c:pt>
                <c:pt idx="11">
                  <c:v>0.80674157303370786</c:v>
                </c:pt>
                <c:pt idx="12">
                  <c:v>0.80674157303370786</c:v>
                </c:pt>
                <c:pt idx="13">
                  <c:v>0.80674157303370786</c:v>
                </c:pt>
                <c:pt idx="14">
                  <c:v>0.80674157303370786</c:v>
                </c:pt>
                <c:pt idx="15">
                  <c:v>0.8314606741573034</c:v>
                </c:pt>
                <c:pt idx="16">
                  <c:v>0.90337078651685399</c:v>
                </c:pt>
                <c:pt idx="17">
                  <c:v>0.99775280898876406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5-47F1-B5D4-B4DFCF0B9FF2}"/>
            </c:ext>
          </c:extLst>
        </c:ser>
        <c:ser>
          <c:idx val="1"/>
          <c:order val="1"/>
          <c:tx>
            <c:strRef>
              <c:f>'SVB-กราฟรายสัปดาห์'!$A$28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'SVB-กราฟรายสัปดาห์'!$B$28:$U$28</c:f>
              <c:numCache>
                <c:formatCode>0.0%</c:formatCode>
                <c:ptCount val="20"/>
                <c:pt idx="0">
                  <c:v>0.15056179775280898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5-47F1-B5D4-B4DFCF0B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  <a:r>
              <a:rPr lang="en-US" sz="1800"/>
              <a:t> (Weight)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'SVB-กราฟรายสัปดาห์'!$AB$12</c:f>
              <c:strCache>
                <c:ptCount val="1"/>
                <c:pt idx="0">
                  <c:v>% สะสมตามแผน - Weight</c:v>
                </c:pt>
              </c:strCache>
            </c:strRef>
          </c:tx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'SVB-กราฟรายสัปดาห์'!$AC$12:$AR$12</c:f>
              <c:numCache>
                <c:formatCode>0.0%</c:formatCode>
                <c:ptCount val="16"/>
                <c:pt idx="0">
                  <c:v>9.2332865825151919E-2</c:v>
                </c:pt>
                <c:pt idx="1">
                  <c:v>0.14001870032725569</c:v>
                </c:pt>
                <c:pt idx="2">
                  <c:v>0.199859747545582</c:v>
                </c:pt>
                <c:pt idx="3">
                  <c:v>0.24941561477325849</c:v>
                </c:pt>
                <c:pt idx="4">
                  <c:v>0.34385226741467972</c:v>
                </c:pt>
                <c:pt idx="5">
                  <c:v>0.44319775596072924</c:v>
                </c:pt>
                <c:pt idx="6">
                  <c:v>0.47568957456755484</c:v>
                </c:pt>
                <c:pt idx="7">
                  <c:v>0.51192145862552585</c:v>
                </c:pt>
                <c:pt idx="8">
                  <c:v>0.54090696587190268</c:v>
                </c:pt>
                <c:pt idx="9">
                  <c:v>0.59537166900420746</c:v>
                </c:pt>
                <c:pt idx="10">
                  <c:v>0.65147265077138838</c:v>
                </c:pt>
                <c:pt idx="11">
                  <c:v>0.74216923796166423</c:v>
                </c:pt>
                <c:pt idx="12">
                  <c:v>0.7889200561009817</c:v>
                </c:pt>
                <c:pt idx="13">
                  <c:v>0.84315100514258989</c:v>
                </c:pt>
                <c:pt idx="14">
                  <c:v>0.91514726507713873</c:v>
                </c:pt>
                <c:pt idx="1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'SVB-กราฟรายสัปดาห์'!$AB$14</c:f>
              <c:strCache>
                <c:ptCount val="1"/>
                <c:pt idx="0">
                  <c:v>% สะสมจริง - Weight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'SVB-กราฟรายสัปดาห์'!$AC$14:$AR$14</c:f>
              <c:numCache>
                <c:formatCode>0.0%</c:formatCode>
                <c:ptCount val="16"/>
                <c:pt idx="0">
                  <c:v>9.7942964001870025E-2</c:v>
                </c:pt>
                <c:pt idx="1">
                  <c:v>0.14001870032725572</c:v>
                </c:pt>
                <c:pt idx="2">
                  <c:v>0.19985974754558203</c:v>
                </c:pt>
                <c:pt idx="3">
                  <c:v>0.24754558204768581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จำนวนอุปกรณ์แต่ละ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จำนวนรวม</c:v>
          </c:tx>
          <c:spPr>
            <a:solidFill>
              <a:srgbClr val="2E75B6"/>
            </a:solidFill>
            <a:ln w="12700">
              <a:solidFill>
                <a:schemeClr val="bg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Fabric'!$B$8:$B$14</c:f>
              <c:numCache>
                <c:formatCode>General</c:formatCode>
                <c:ptCount val="7"/>
                <c:pt idx="0">
                  <c:v>114</c:v>
                </c:pt>
                <c:pt idx="1">
                  <c:v>187</c:v>
                </c:pt>
                <c:pt idx="2">
                  <c:v>710</c:v>
                </c:pt>
                <c:pt idx="3">
                  <c:v>147</c:v>
                </c:pt>
                <c:pt idx="4">
                  <c:v>8</c:v>
                </c:pt>
                <c:pt idx="5">
                  <c:v>99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F-4DEF-B447-2AAADF12A40B}"/>
            </c:ext>
          </c:extLst>
        </c:ser>
        <c:ser>
          <c:idx val="1"/>
          <c:order val="1"/>
          <c:tx>
            <c:v>ผลจริง (Migration)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Fabric'!$E$8:$E$14</c:f>
              <c:numCache>
                <c:formatCode>General</c:formatCode>
                <c:ptCount val="7"/>
                <c:pt idx="0">
                  <c:v>2</c:v>
                </c:pt>
                <c:pt idx="1">
                  <c:v>169</c:v>
                </c:pt>
                <c:pt idx="2">
                  <c:v>281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F-4DEF-B447-2AAADF12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Fabric'!$K$6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Fabric'!$K$8:$K$14</c:f>
              <c:numCache>
                <c:formatCode>General</c:formatCode>
                <c:ptCount val="7"/>
                <c:pt idx="0">
                  <c:v>69</c:v>
                </c:pt>
                <c:pt idx="1">
                  <c:v>156</c:v>
                </c:pt>
                <c:pt idx="2">
                  <c:v>410</c:v>
                </c:pt>
                <c:pt idx="3">
                  <c:v>134</c:v>
                </c:pt>
                <c:pt idx="4">
                  <c:v>6</c:v>
                </c:pt>
                <c:pt idx="5">
                  <c:v>65</c:v>
                </c:pt>
                <c:pt idx="6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3-41A7-B4D9-BB1A6D0474D4}"/>
            </c:ext>
          </c:extLst>
        </c:ser>
        <c:ser>
          <c:idx val="1"/>
          <c:order val="1"/>
          <c:tx>
            <c:strRef>
              <c:f>'SVB-กราฟแยก Fabric'!$N$6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Fabric'!$N$8:$N$14</c:f>
              <c:numCache>
                <c:formatCode>General</c:formatCode>
                <c:ptCount val="7"/>
                <c:pt idx="0">
                  <c:v>0</c:v>
                </c:pt>
                <c:pt idx="1">
                  <c:v>141</c:v>
                </c:pt>
                <c:pt idx="2">
                  <c:v>228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3-41A7-B4D9-BB1A6D04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Fabric'!$T$6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Fabric'!$T$8:$T$14</c:f>
              <c:numCache>
                <c:formatCode>General</c:formatCode>
                <c:ptCount val="7"/>
                <c:pt idx="0">
                  <c:v>43</c:v>
                </c:pt>
                <c:pt idx="1">
                  <c:v>25</c:v>
                </c:pt>
                <c:pt idx="2">
                  <c:v>290</c:v>
                </c:pt>
                <c:pt idx="3">
                  <c:v>11</c:v>
                </c:pt>
                <c:pt idx="4">
                  <c:v>0</c:v>
                </c:pt>
                <c:pt idx="5">
                  <c:v>32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5-4CA4-A340-86C2F3ADA92A}"/>
            </c:ext>
          </c:extLst>
        </c:ser>
        <c:ser>
          <c:idx val="1"/>
          <c:order val="1"/>
          <c:tx>
            <c:strRef>
              <c:f>'SVB-กราฟแยก Fabric'!$W$6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Fabric'!$W$8:$W$14</c:f>
              <c:numCache>
                <c:formatCode>General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5-4CA4-A340-86C2F3ADA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(</a:t>
            </a:r>
            <a:r>
              <a:rPr lang="th-TH"/>
              <a:t>จำนวน</a:t>
            </a:r>
            <a:r>
              <a:rPr lang="th-TH" baseline="0"/>
              <a:t> </a:t>
            </a:r>
            <a:r>
              <a:rPr lang="en-US" baseline="0"/>
              <a:t>712 </a:t>
            </a:r>
            <a:r>
              <a:rPr lang="th-TH" baseline="0"/>
              <a:t>ชุด</a:t>
            </a:r>
            <a:r>
              <a:rPr lang="en-US" baseline="0"/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1A-4C51-B2FD-BB8CEC0C107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1A-4C51-B2FD-BB8CEC0C10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1A-4C51-B2FD-BB8CEC0C10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1A-4C51-B2FD-BB8CEC0C1074}"/>
                </c:ext>
              </c:extLst>
            </c:dLbl>
            <c:dLbl>
              <c:idx val="4"/>
              <c:layout>
                <c:manualLayout>
                  <c:x val="3.9127500300919431E-2"/>
                  <c:y val="-0.339275241631342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BE-4361-8C95-89F393102254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Fabric'!$B$13:$U$13</c:f>
              <c:numCache>
                <c:formatCode>General</c:formatCode>
                <c:ptCount val="20"/>
                <c:pt idx="0">
                  <c:v>139</c:v>
                </c:pt>
                <c:pt idx="1">
                  <c:v>139</c:v>
                </c:pt>
                <c:pt idx="2">
                  <c:v>151</c:v>
                </c:pt>
                <c:pt idx="3">
                  <c:v>202</c:v>
                </c:pt>
                <c:pt idx="4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</a:ln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1-4957-AC78-FC4F7F9679B8}"/>
            </c:ext>
          </c:extLst>
        </c:ser>
        <c:ser>
          <c:idx val="2"/>
          <c:order val="2"/>
          <c:tx>
            <c:strRef>
              <c:f>'SVB-กราฟทุก Fabric'!$A$16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Fabric'!$B$16:$U$16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Fabric'!$A$10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1A-4C51-B2FD-BB8CEC0C10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Fabric'!$B$10:$U$10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1-4957-AC78-FC4F7F9679B8}"/>
            </c:ext>
          </c:extLst>
        </c:ser>
        <c:ser>
          <c:idx val="3"/>
          <c:order val="3"/>
          <c:tx>
            <c:strRef>
              <c:f>'SVB-กราฟทุก Fabric'!$A$17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2D-4E0A-80BB-2E35C578DAA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2D-4E0A-80BB-2E35C578DAA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1A-4C51-B2FD-BB8CEC0C10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2D-4E0A-80BB-2E35C578D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Fabric'!$B$17:$U$17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0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Fabric'!$A$23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Fabric'!$B$23:$U$23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0.28732394366197184</c:v>
                </c:pt>
                <c:pt idx="4">
                  <c:v>0.37183098591549296</c:v>
                </c:pt>
                <c:pt idx="5">
                  <c:v>0.6873239436619718</c:v>
                </c:pt>
                <c:pt idx="6">
                  <c:v>0.75633802816901408</c:v>
                </c:pt>
                <c:pt idx="7">
                  <c:v>0.8267605633802817</c:v>
                </c:pt>
                <c:pt idx="8">
                  <c:v>0.87042253521126756</c:v>
                </c:pt>
                <c:pt idx="9">
                  <c:v>0.9915492957746479</c:v>
                </c:pt>
                <c:pt idx="10">
                  <c:v>0.9915492957746479</c:v>
                </c:pt>
                <c:pt idx="11">
                  <c:v>0.9915492957746479</c:v>
                </c:pt>
                <c:pt idx="12">
                  <c:v>0.9915492957746479</c:v>
                </c:pt>
                <c:pt idx="13">
                  <c:v>0.9915492957746479</c:v>
                </c:pt>
                <c:pt idx="14">
                  <c:v>0.9915492957746479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66-4878-B46B-BD2F995F25C6}"/>
            </c:ext>
          </c:extLst>
        </c:ser>
        <c:ser>
          <c:idx val="1"/>
          <c:order val="1"/>
          <c:tx>
            <c:strRef>
              <c:f>'SVB-กราฟทุก Fabric'!$A$24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Fabric'!$B$24:$U$24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0.28450704225352114</c:v>
                </c:pt>
                <c:pt idx="4">
                  <c:v>0.39436619718309857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66-4878-B46B-BD2F995F2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/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187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Fabric'!$A$127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87-4EDE-A607-84C65C2CCD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87-4EDE-A607-84C65C2CCD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87-4EDE-A607-84C65C2CCD2A}"/>
                </c:ext>
              </c:extLst>
            </c:dLbl>
            <c:dLbl>
              <c:idx val="4"/>
              <c:layout>
                <c:manualLayout>
                  <c:x val="2.9563268834124821E-2"/>
                  <c:y val="-0.3260223025051185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F-41D7-8A10-1050D559080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Fabric'!$B$127:$U$127</c:f>
              <c:numCache>
                <c:formatCode>General</c:formatCode>
                <c:ptCount val="20"/>
                <c:pt idx="0">
                  <c:v>30</c:v>
                </c:pt>
                <c:pt idx="1">
                  <c:v>75</c:v>
                </c:pt>
                <c:pt idx="2">
                  <c:v>127</c:v>
                </c:pt>
                <c:pt idx="3">
                  <c:v>127</c:v>
                </c:pt>
                <c:pt idx="4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1.9504544989154261E-2"/>
                  <c:y val="-0.13160168552340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AB-46FC-B93C-18A34E5D494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6-4D61-BBFA-42B71005083C}"/>
            </c:ext>
          </c:extLst>
        </c:ser>
        <c:ser>
          <c:idx val="2"/>
          <c:order val="2"/>
          <c:tx>
            <c:strRef>
              <c:f>'SVB-กราฟทุก Fabric'!$A$130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Fabric'!$B$130:$U$130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Fabric'!$A$124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0"/>
              <c:layout>
                <c:manualLayout>
                  <c:x val="0"/>
                  <c:y val="-2.6505878252448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87-4EDE-A607-84C65C2CCD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Fabric'!$B$124:$U$124</c:f>
              <c:numCache>
                <c:formatCode>General</c:formatCode>
                <c:ptCount val="20"/>
                <c:pt idx="0">
                  <c:v>30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6-4D61-BBFA-42B71005083C}"/>
            </c:ext>
          </c:extLst>
        </c:ser>
        <c:ser>
          <c:idx val="3"/>
          <c:order val="3"/>
          <c:tx>
            <c:strRef>
              <c:f>'SVB-กราฟทุก Fabric'!$A$131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87-4EDE-A607-84C65C2CCD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0-4CFE-9CBC-C8FCEC832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Fabric'!$B$131:$U$131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Fabric'!$A$137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6-4EBC-A956-5E7B1B6D1856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Fabric'!$B$137:$U$137</c:f>
              <c:numCache>
                <c:formatCode>0.0%</c:formatCode>
                <c:ptCount val="20"/>
                <c:pt idx="0">
                  <c:v>2.1390374331550801E-2</c:v>
                </c:pt>
                <c:pt idx="1">
                  <c:v>0.39037433155080214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0.89839572192513373</c:v>
                </c:pt>
                <c:pt idx="5">
                  <c:v>0.98930481283422456</c:v>
                </c:pt>
                <c:pt idx="6">
                  <c:v>0.98930481283422456</c:v>
                </c:pt>
                <c:pt idx="7">
                  <c:v>0.98930481283422456</c:v>
                </c:pt>
                <c:pt idx="8">
                  <c:v>0.98930481283422456</c:v>
                </c:pt>
                <c:pt idx="9">
                  <c:v>0.98930481283422456</c:v>
                </c:pt>
                <c:pt idx="10">
                  <c:v>0.98930481283422456</c:v>
                </c:pt>
                <c:pt idx="11">
                  <c:v>0.98930481283422456</c:v>
                </c:pt>
                <c:pt idx="12">
                  <c:v>0.98930481283422456</c:v>
                </c:pt>
                <c:pt idx="13">
                  <c:v>0.98930481283422456</c:v>
                </c:pt>
                <c:pt idx="14">
                  <c:v>0.98930481283422456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31-406B-9161-AFF8E65A3B1B}"/>
            </c:ext>
          </c:extLst>
        </c:ser>
        <c:ser>
          <c:idx val="1"/>
          <c:order val="1"/>
          <c:tx>
            <c:strRef>
              <c:f>'SVB-กราฟทุก Fabric'!$A$138</c:f>
              <c:strCache>
                <c:ptCount val="1"/>
                <c:pt idx="0">
                  <c:v>% สะสมจริง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66-4EBC-A956-5E7B1B6D185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Fabric'!$B$138:$U$138</c:f>
              <c:numCache>
                <c:formatCode>0.0%</c:formatCode>
                <c:ptCount val="20"/>
                <c:pt idx="0">
                  <c:v>0.16042780748663102</c:v>
                </c:pt>
                <c:pt idx="1">
                  <c:v>0.40106951871657753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0.90374331550802134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31-406B-9161-AFF8E65A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410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DC-47EB-8B77-AFC51BE33D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DC-47EB-8B77-AFC51BE33D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DC-47EB-8B77-AFC51BE33D3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DC-47EB-8B77-AFC51BE33D3F}"/>
                </c:ext>
              </c:extLst>
            </c:dLbl>
            <c:dLbl>
              <c:idx val="4"/>
              <c:layout>
                <c:manualLayout>
                  <c:x val="3.9127500300919431E-2"/>
                  <c:y val="-0.3260223025051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3-431B-AAFF-CA85FB9B374F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Fabric'!$B$14:$U$14</c:f>
              <c:numCache>
                <c:formatCode>General</c:formatCode>
                <c:ptCount val="20"/>
                <c:pt idx="0">
                  <c:v>86</c:v>
                </c:pt>
                <c:pt idx="1">
                  <c:v>86</c:v>
                </c:pt>
                <c:pt idx="2">
                  <c:v>98</c:v>
                </c:pt>
                <c:pt idx="3">
                  <c:v>149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C-47EB-8B77-AFC51BE33D3F}"/>
            </c:ext>
          </c:extLst>
        </c:ser>
        <c:ser>
          <c:idx val="2"/>
          <c:order val="2"/>
          <c:tx>
            <c:strRef>
              <c:f>'SVB-กราฟทุก Fabric'!$A$18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DC-47EB-8B77-AFC51BE33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Fabric'!$B$11:$U$11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C-47EB-8B77-AFC51BE33D3F}"/>
            </c:ext>
          </c:extLst>
        </c:ser>
        <c:ser>
          <c:idx val="3"/>
          <c:order val="3"/>
          <c:tx>
            <c:strRef>
              <c:f>'SVB-กราฟทุก Fabric'!$A$19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C8-4E0A-9118-0E0D2716A68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C8-4E0A-9118-0E0D2716A68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DC-47EB-8B77-AFC51BE33D3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C8-4E0A-9118-0E0D2716A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Fabric'!$B$25:$U$25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0.36829268292682926</c:v>
                </c:pt>
                <c:pt idx="4">
                  <c:v>0.51463414634146343</c:v>
                </c:pt>
                <c:pt idx="5">
                  <c:v>0.63170731707317074</c:v>
                </c:pt>
                <c:pt idx="6">
                  <c:v>0.70487804878048776</c:v>
                </c:pt>
                <c:pt idx="7">
                  <c:v>0.79024390243902443</c:v>
                </c:pt>
                <c:pt idx="8">
                  <c:v>0.86585365853658536</c:v>
                </c:pt>
                <c:pt idx="9">
                  <c:v>0.98536585365853657</c:v>
                </c:pt>
                <c:pt idx="10">
                  <c:v>0.98536585365853657</c:v>
                </c:pt>
                <c:pt idx="11">
                  <c:v>0.98536585365853657</c:v>
                </c:pt>
                <c:pt idx="12">
                  <c:v>0.98536585365853657</c:v>
                </c:pt>
                <c:pt idx="13">
                  <c:v>0.98536585365853657</c:v>
                </c:pt>
                <c:pt idx="14">
                  <c:v>0.98536585365853657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43-4D33-A1B4-201BF786FA89}"/>
            </c:ext>
          </c:extLst>
        </c:ser>
        <c:ser>
          <c:idx val="1"/>
          <c:order val="1"/>
          <c:tx>
            <c:strRef>
              <c:f>'SVB-กราฟทุก Fabric'!$A$26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Fabric'!$B$26:$U$26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0.36341463414634145</c:v>
                </c:pt>
                <c:pt idx="4">
                  <c:v>0.5536585365853659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43-4D33-A1B4-201BF786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290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38-41B2-AE24-E3E5F9E9A3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38-41B2-AE24-E3E5F9E9A38C}"/>
                </c:ext>
              </c:extLst>
            </c:dLbl>
            <c:dLbl>
              <c:idx val="4"/>
              <c:layout>
                <c:manualLayout>
                  <c:x val="3.238137955938164E-2"/>
                  <c:y val="-0.135179979087488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51-4DD8-B4C4-A51348EC338B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Fabric'!$B$15:$U$15</c:f>
              <c:numCache>
                <c:formatCode>General</c:formatCode>
                <c:ptCount val="20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1B2-AE24-E3E5F9E9A38C}"/>
            </c:ext>
          </c:extLst>
        </c:ser>
        <c:ser>
          <c:idx val="2"/>
          <c:order val="2"/>
          <c:tx>
            <c:strRef>
              <c:f>'SVB-กราฟทุก Fabric'!$A$20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Fabric'!$B$20:$U$20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Fabric'!$B$12:$U$12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38-41B2-AE24-E3E5F9E9A38C}"/>
            </c:ext>
          </c:extLst>
        </c:ser>
        <c:ser>
          <c:idx val="3"/>
          <c:order val="3"/>
          <c:tx>
            <c:strRef>
              <c:f>'SVB-กราฟทุก Fabric'!$A$21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86-448F-934B-B64A68B612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Fabric'!$B$21:$U$21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Fabric'!$B$27:$U$27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  <c:pt idx="5">
                  <c:v>0.7551724137931034</c:v>
                </c:pt>
                <c:pt idx="6">
                  <c:v>0.82068965517241377</c:v>
                </c:pt>
                <c:pt idx="7">
                  <c:v>0.87241379310344824</c:v>
                </c:pt>
                <c:pt idx="8">
                  <c:v>0.87241379310344824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08-43A1-98F7-B8E44BC40067}"/>
            </c:ext>
          </c:extLst>
        </c:ser>
        <c:ser>
          <c:idx val="1"/>
          <c:order val="1"/>
          <c:tx>
            <c:strRef>
              <c:f>'SVB-กราฟทุก Fabric'!$A$28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Fabric'!$B$28:$U$28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08-43A1-98F7-B8E44BC4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156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Fabric'!$A$128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45-4C47-B424-5C3D9683F4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45-4C47-B424-5C3D9683F4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45-4C47-B424-5C3D9683F433}"/>
                </c:ext>
              </c:extLst>
            </c:dLbl>
            <c:dLbl>
              <c:idx val="4"/>
              <c:layout>
                <c:manualLayout>
                  <c:x val="2.9563268834124821E-2"/>
                  <c:y val="-0.33927524163134287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C0-4C70-A1C7-499DD37A8B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Fabric'!$B$128:$U$128</c:f>
              <c:numCache>
                <c:formatCode>General</c:formatCode>
                <c:ptCount val="20"/>
                <c:pt idx="0">
                  <c:v>2</c:v>
                </c:pt>
                <c:pt idx="1">
                  <c:v>47</c:v>
                </c:pt>
                <c:pt idx="2">
                  <c:v>99</c:v>
                </c:pt>
                <c:pt idx="3">
                  <c:v>99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5-4C47-B424-5C3D9683F433}"/>
            </c:ext>
          </c:extLst>
        </c:ser>
        <c:ser>
          <c:idx val="2"/>
          <c:order val="2"/>
          <c:tx>
            <c:strRef>
              <c:f>'SVB-กราฟทุก Fabric'!$A$132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Fabric'!$B$132:$U$132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Fabric'!$A$125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5-4C47-B424-5C3D9683F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Fabric'!$B$125:$U$125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5-4C47-B424-5C3D9683F433}"/>
            </c:ext>
          </c:extLst>
        </c:ser>
        <c:ser>
          <c:idx val="3"/>
          <c:order val="3"/>
          <c:tx>
            <c:strRef>
              <c:f>'SVB-กราฟทุก Fabric'!$A$133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46-4187-A5AB-352919FF98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46-4187-A5AB-352919FF98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45-4C47-B424-5C3D9683F4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46-4187-A5AB-352919FF9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Fabric'!$B$133:$U$133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Fabric'!$A$139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Fabric'!$B$139:$U$139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0.89743589743589747</c:v>
                </c:pt>
                <c:pt idx="5">
                  <c:v>0.98717948717948723</c:v>
                </c:pt>
                <c:pt idx="6">
                  <c:v>0.98717948717948723</c:v>
                </c:pt>
                <c:pt idx="7">
                  <c:v>0.98717948717948723</c:v>
                </c:pt>
                <c:pt idx="8">
                  <c:v>0.98717948717948723</c:v>
                </c:pt>
                <c:pt idx="9">
                  <c:v>0.98717948717948723</c:v>
                </c:pt>
                <c:pt idx="10">
                  <c:v>0.98717948717948723</c:v>
                </c:pt>
                <c:pt idx="11">
                  <c:v>0.98717948717948723</c:v>
                </c:pt>
                <c:pt idx="12">
                  <c:v>0.98717948717948723</c:v>
                </c:pt>
                <c:pt idx="13">
                  <c:v>0.98717948717948723</c:v>
                </c:pt>
                <c:pt idx="14">
                  <c:v>0.98717948717948723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4C-4049-8E0F-BEE9F7842EC3}"/>
            </c:ext>
          </c:extLst>
        </c:ser>
        <c:ser>
          <c:idx val="1"/>
          <c:order val="1"/>
          <c:tx>
            <c:strRef>
              <c:f>'SVB-กราฟทุก Fabric'!$A$140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Fabric'!$B$140:$U$140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0.90384615384615385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44C-4049-8E0F-BEE9F784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Fabric'!$A$129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37-4E29-B68E-4DC0E446D32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37-4E29-B68E-4DC0E446D3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37-4E29-B68E-4DC0E446D325}"/>
                </c:ext>
              </c:extLst>
            </c:dLbl>
            <c:dLbl>
              <c:idx val="4"/>
              <c:layout>
                <c:manualLayout>
                  <c:x val="2.8219483887119052E-2"/>
                  <c:y val="-0.349877592932322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A-4BB8-93C8-5AE78FC6C2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Fabric'!$B$129:$U$129</c:f>
              <c:numCache>
                <c:formatCode>General</c:formatCode>
                <c:ptCount val="2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7-4E29-B68E-4DC0E446D325}"/>
            </c:ext>
          </c:extLst>
        </c:ser>
        <c:ser>
          <c:idx val="2"/>
          <c:order val="2"/>
          <c:tx>
            <c:strRef>
              <c:f>'SVB-กราฟทุก Fabric'!$A$134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Fabric'!$B$134:$U$134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Fabric'!$A$126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8-A537-4E29-B68E-4DC0E446D32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37-4E29-B68E-4DC0E446D3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Fabric'!$B$126:$U$126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7-4E29-B68E-4DC0E446D325}"/>
            </c:ext>
          </c:extLst>
        </c:ser>
        <c:ser>
          <c:idx val="3"/>
          <c:order val="3"/>
          <c:tx>
            <c:strRef>
              <c:f>'SVB-กราฟทุก Fabric'!$A$135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Fabric'!$B$135:$U$135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Fabric'!$A$141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Fabric'!$B$141:$U$141</c:f>
              <c:numCache>
                <c:formatCode>0.0%</c:formatCode>
                <c:ptCount val="20"/>
                <c:pt idx="0">
                  <c:v>0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90-40C1-9F5C-C26849C9A743}"/>
            </c:ext>
          </c:extLst>
        </c:ser>
        <c:ser>
          <c:idx val="1"/>
          <c:order val="1"/>
          <c:tx>
            <c:strRef>
              <c:f>'SVB-กราฟทุก Fabric'!$A$142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Fabric'!$B$142:$U$142</c:f>
              <c:numCache>
                <c:formatCode>0.0%</c:formatCode>
                <c:ptCount val="20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90-40C1-9F5C-C26849C9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Cabling: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en-US" sz="1800" b="1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2.7145811052235284E-2"/>
          <c:y val="2.6570038202275399E-2"/>
          <c:w val="0.96349190033597154"/>
          <c:h val="0.80455083702277108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A9-456F-AFAF-3306749C8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A9-456F-AFAF-3306749C815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A9-456F-AFAF-3306749C815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A9-456F-AFAF-3306749C815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A9-456F-AFAF-3306749C815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A9-456F-AFAF-3306749C815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A9-456F-AFAF-3306749C815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A9-456F-AFAF-3306749C815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A9-456F-AFAF-3306749C815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A9-456F-AFAF-3306749C8153}"/>
                </c:ext>
              </c:extLst>
            </c:dLbl>
            <c:dLbl>
              <c:idx val="10"/>
              <c:layout>
                <c:manualLayout>
                  <c:x val="1.6287486631341126E-2"/>
                  <c:y val="-0.42512061123640638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5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A9-456F-AFAF-3306749C8153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'SVB-Coring-กราฟรายสัปดาห์'!$B$8:$AM$8</c:f>
              <c:numCache>
                <c:formatCode>General</c:formatCode>
                <c:ptCount val="38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26</c:v>
                </c:pt>
                <c:pt idx="8">
                  <c:v>28</c:v>
                </c:pt>
                <c:pt idx="9">
                  <c:v>34</c:v>
                </c:pt>
                <c:pt idx="10">
                  <c:v>39</c:v>
                </c:pt>
                <c:pt idx="11">
                  <c:v>39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A9-456F-AFAF-3306749C8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83776"/>
        <c:axId val="186177536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'SVB-Coring-กราฟรายสัปดาห์'!$B$6:$AM$6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9-456F-AFAF-3306749C8153}"/>
            </c:ext>
          </c:extLst>
        </c:ser>
        <c:ser>
          <c:idx val="1"/>
          <c:order val="1"/>
          <c:tx>
            <c:v>ผลจริง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'SVB-Coring-กราฟรายสัปดาห์'!$B$7:$AM$7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9-456F-AFAF-3306749C8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date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48950352472800512"/>
              <c:y val="0.8989855456709857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0"/>
        <c:lblOffset val="100"/>
        <c:baseTimeUnit val="days"/>
        <c:majorUnit val="1"/>
      </c:dateAx>
      <c:valAx>
        <c:axId val="1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3.0162012280261427E-3"/>
              <c:y val="0.3881783680709162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1861775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6183776"/>
        <c:crosses val="max"/>
        <c:crossBetween val="between"/>
      </c:valAx>
      <c:catAx>
        <c:axId val="18618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177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Coring: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th-TH" sz="1800" b="1" baseline="0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3.1983688596487703E-2"/>
          <c:y val="3.2337962962962964E-2"/>
          <c:w val="0.96140800377217528"/>
          <c:h val="0.7601986111111112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'SVB-Coring-กราฟรายสัปดาห์'!$A$48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4A9-47EA-9838-0CCCE850D03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4A9-47EA-9838-0CCCE850D03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4A9-47EA-9838-0CCCE850D03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4A9-47EA-9838-0CCCE850D03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4A9-47EA-9838-0CCCE850D03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4A9-47EA-9838-0CCCE850D03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4A9-47EA-9838-0CCCE850D03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4A9-47EA-9838-0CCCE850D03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4A9-47EA-9838-0CCCE850D031}"/>
                </c:ext>
              </c:extLst>
            </c:dLbl>
            <c:dLbl>
              <c:idx val="18"/>
              <c:layout>
                <c:manualLayout>
                  <c:x val="1.0869565217391304E-2"/>
                  <c:y val="-0.35277777777777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4A9-47EA-9838-0CCCE850D031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'SVB-Coring-กราฟรายสัปดาห์'!$B$48:$AM$48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86944"/>
        <c:axId val="529790304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'SVB-Coring-กราฟรายสัปดาห์'!$B$46:$AM$46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9-47EA-9838-0CCCE850D031}"/>
            </c:ext>
          </c:extLst>
        </c:ser>
        <c:ser>
          <c:idx val="1"/>
          <c:order val="1"/>
          <c:tx>
            <c:v>ผลจริง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'SVB-Coring-กราฟรายสัปดาห์'!$B$47:$AM$47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500950968085512"/>
              <c:y val="0.8856405092592594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5.5930312770679849E-3"/>
              <c:y val="0.3564483796296296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  <c:majorUnit val="1"/>
      </c:valAx>
      <c:valAx>
        <c:axId val="52979030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29786944"/>
        <c:crosses val="max"/>
        <c:crossBetween val="between"/>
      </c:valAx>
      <c:catAx>
        <c:axId val="5297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979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203497660618511"/>
          <c:y val="0.93166111111111105"/>
          <c:w val="9.2909486857621057E-2"/>
          <c:h val="6.2459259259259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SVB - Coring % </a:t>
            </a:r>
            <a:r>
              <a:rPr lang="th-TH" sz="1800" b="1">
                <a:solidFill>
                  <a:schemeClr val="tx1"/>
                </a:solidFill>
              </a:rPr>
              <a:t>ความก้าวหน้าสะสม - 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5939501391344742E-2"/>
          <c:y val="2.4253472222222221E-2"/>
          <c:w val="0.93310864362126889"/>
          <c:h val="0.86053750323463085"/>
        </c:manualLayout>
      </c:layout>
      <c:lineChart>
        <c:grouping val="standard"/>
        <c:varyColors val="1"/>
        <c:ser>
          <c:idx val="0"/>
          <c:order val="0"/>
          <c:tx>
            <c:strRef>
              <c:f>'SVB-Coring-กราฟรายสัปดาห์'!$A$82</c:f>
              <c:strCache>
                <c:ptCount val="1"/>
                <c:pt idx="0">
                  <c:v>% สะสมแผน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'SVB-Coring-กราฟรายสัปดาห์'!$B$82:$AM$82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0.61538461538461542</c:v>
                </c:pt>
                <c:pt idx="19">
                  <c:v>0.64102564102564108</c:v>
                </c:pt>
                <c:pt idx="20">
                  <c:v>0.66666666666666663</c:v>
                </c:pt>
                <c:pt idx="21">
                  <c:v>0.69230769230769229</c:v>
                </c:pt>
                <c:pt idx="22">
                  <c:v>0.69230769230769229</c:v>
                </c:pt>
                <c:pt idx="23">
                  <c:v>0.71794871794871795</c:v>
                </c:pt>
                <c:pt idx="24">
                  <c:v>0.74358974358974361</c:v>
                </c:pt>
                <c:pt idx="25">
                  <c:v>0.76923076923076927</c:v>
                </c:pt>
                <c:pt idx="26">
                  <c:v>0.79487179487179482</c:v>
                </c:pt>
                <c:pt idx="27">
                  <c:v>0.82051282051282048</c:v>
                </c:pt>
                <c:pt idx="28">
                  <c:v>0.84615384615384615</c:v>
                </c:pt>
                <c:pt idx="29">
                  <c:v>0.87179487179487181</c:v>
                </c:pt>
                <c:pt idx="30">
                  <c:v>0.89743589743589747</c:v>
                </c:pt>
                <c:pt idx="31">
                  <c:v>0.92307692307692313</c:v>
                </c:pt>
                <c:pt idx="32">
                  <c:v>0.94871794871794868</c:v>
                </c:pt>
                <c:pt idx="33">
                  <c:v>0.97435897435897434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D8-482D-B562-1CE544252CC6}"/>
            </c:ext>
          </c:extLst>
        </c:ser>
        <c:ser>
          <c:idx val="1"/>
          <c:order val="1"/>
          <c:tx>
            <c:strRef>
              <c:f>'SVB-Coring-กราฟรายสัปดาห์'!$A$83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 cap="rnd">
                <a:solidFill>
                  <a:srgbClr val="7030A0"/>
                </a:solidFill>
                <a:prstDash val="sysDash"/>
              </a:ln>
              <a:effectLst/>
            </c:spPr>
            <c:trendlineType val="linear"/>
            <c:forward val="4"/>
            <c:dispRSqr val="0"/>
            <c:dispEq val="0"/>
          </c:trendline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'SVB-Coring-กราฟรายสัปดาห์'!$B$83:$AM$83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0.58974358974358976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D8-482D-B562-1CE544252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>
            <c:spPr>
              <a:solidFill>
                <a:srgbClr val="FF0000">
                  <a:alpha val="4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444051877252394"/>
              <c:y val="0.937644646071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เปอร์เซ็นต์ (%)</a:t>
                </a:r>
              </a:p>
            </c:rich>
          </c:tx>
          <c:layout>
            <c:manualLayout>
              <c:xMode val="edge"/>
              <c:yMode val="edge"/>
              <c:x val="8.8313889649352644E-3"/>
              <c:y val="0.4503880101342414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4C93399-18B0-4574-85A7-3C53FE001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D53B4B73-E394-44D6-B1F3-2956C3369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DB6DB-3E44-43E3-9B2A-BB31B8BB3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17</xdr:row>
      <xdr:rowOff>142875</xdr:rowOff>
    </xdr:from>
    <xdr:to>
      <xdr:col>9</xdr:col>
      <xdr:colOff>238125</xdr:colOff>
      <xdr:row>44</xdr:row>
      <xdr:rowOff>175260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512445</xdr:colOff>
      <xdr:row>17</xdr:row>
      <xdr:rowOff>154305</xdr:rowOff>
    </xdr:from>
    <xdr:to>
      <xdr:col>22</xdr:col>
      <xdr:colOff>340995</xdr:colOff>
      <xdr:row>44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AF20B-39BB-4185-A826-6E32510C221B}"/>
            </a:ext>
            <a:ext uri="{147F2762-F138-4A5C-976F-8EAC2B608ADB}">
              <a16:predDERef xmlns:a16="http://schemas.microsoft.com/office/drawing/2014/main" pre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47</xdr:row>
      <xdr:rowOff>0</xdr:rowOff>
    </xdr:from>
    <xdr:to>
      <xdr:col>7</xdr:col>
      <xdr:colOff>329700</xdr:colOff>
      <xdr:row>73</xdr:row>
      <xdr:rowOff>86040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AB8A78-2C10-4642-84AE-16253D08F6F6}"/>
            </a:ext>
            <a:ext uri="{147F2762-F138-4A5C-976F-8EAC2B608ADB}">
              <a16:predDERef xmlns:a16="http://schemas.microsoft.com/office/drawing/2014/main" pred="{672AF20B-39BB-4185-A826-6E32510C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11</xdr:row>
      <xdr:rowOff>0</xdr:rowOff>
    </xdr:from>
    <xdr:to>
      <xdr:col>30</xdr:col>
      <xdr:colOff>358140</xdr:colOff>
      <xdr:row>37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F7457-8CF7-4BD4-9E29-A52080C5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</xdr:colOff>
      <xdr:row>38</xdr:row>
      <xdr:rowOff>38100</xdr:rowOff>
    </xdr:from>
    <xdr:to>
      <xdr:col>30</xdr:col>
      <xdr:colOff>358140</xdr:colOff>
      <xdr:row>64</xdr:row>
      <xdr:rowOff>124500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87EC8-7E82-4D84-8FB2-19F21B5A0162}"/>
            </a:ext>
            <a:ext uri="{147F2762-F138-4A5C-976F-8EAC2B608ADB}">
              <a16:predDERef xmlns:a16="http://schemas.microsoft.com/office/drawing/2014/main" pred="{E37F7457-8CF7-4BD4-9E29-A52080C5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8467</xdr:colOff>
      <xdr:row>58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A3B1F-67B2-4963-A18F-8E8E956B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58010</xdr:colOff>
      <xdr:row>32</xdr:row>
      <xdr:rowOff>7831</xdr:rowOff>
    </xdr:from>
    <xdr:to>
      <xdr:col>32</xdr:col>
      <xdr:colOff>43713</xdr:colOff>
      <xdr:row>58</xdr:row>
      <xdr:rowOff>99523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32922C-DE06-41D2-B245-C5150D98C81C}"/>
            </a:ext>
            <a:ext uri="{147F2762-F138-4A5C-976F-8EAC2B608ADB}">
              <a16:predDERef xmlns:a16="http://schemas.microsoft.com/office/drawing/2014/main" pred="{50BA3B1F-67B2-4963-A18F-8E8E956B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16086</xdr:rowOff>
    </xdr:from>
    <xdr:to>
      <xdr:col>14</xdr:col>
      <xdr:colOff>262777</xdr:colOff>
      <xdr:row>85</xdr:row>
      <xdr:rowOff>102487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A0BA5-C551-4464-A2E0-9C5DF09B9D2D}"/>
            </a:ext>
            <a:ext uri="{147F2762-F138-4A5C-976F-8EAC2B608ADB}">
              <a16:predDERef xmlns:a16="http://schemas.microsoft.com/office/drawing/2014/main" pred="{3C32922C-DE06-41D2-B245-C5150D98C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87</xdr:row>
      <xdr:rowOff>3810</xdr:rowOff>
    </xdr:from>
    <xdr:to>
      <xdr:col>18</xdr:col>
      <xdr:colOff>8861</xdr:colOff>
      <xdr:row>113</xdr:row>
      <xdr:rowOff>90210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16B7FB-EA52-4D6C-9C96-0433AB09B418}"/>
            </a:ext>
            <a:ext uri="{147F2762-F138-4A5C-976F-8EAC2B608ADB}">
              <a16:predDERef xmlns:a16="http://schemas.microsoft.com/office/drawing/2014/main" pred="{333A0BA5-C551-4464-A2E0-9C5DF09B9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81441</xdr:colOff>
      <xdr:row>87</xdr:row>
      <xdr:rowOff>0</xdr:rowOff>
    </xdr:from>
    <xdr:to>
      <xdr:col>32</xdr:col>
      <xdr:colOff>80336</xdr:colOff>
      <xdr:row>113</xdr:row>
      <xdr:rowOff>86400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754FF-4347-4791-B651-AA30F0554FCA}"/>
            </a:ext>
            <a:ext uri="{147F2762-F138-4A5C-976F-8EAC2B608ADB}">
              <a16:predDERef xmlns:a16="http://schemas.microsoft.com/office/drawing/2014/main" pred="{DF16B7FB-EA52-4D6C-9C96-0433AB09B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116</xdr:row>
      <xdr:rowOff>3810</xdr:rowOff>
    </xdr:from>
    <xdr:to>
      <xdr:col>17</xdr:col>
      <xdr:colOff>654344</xdr:colOff>
      <xdr:row>142</xdr:row>
      <xdr:rowOff>90210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9E1E41-265E-491D-B26B-998A354BE898}"/>
            </a:ext>
            <a:ext uri="{147F2762-F138-4A5C-976F-8EAC2B608ADB}">
              <a16:predDERef xmlns:a16="http://schemas.microsoft.com/office/drawing/2014/main" pred="{842754FF-4347-4791-B651-AA30F0554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81441</xdr:colOff>
      <xdr:row>116</xdr:row>
      <xdr:rowOff>0</xdr:rowOff>
    </xdr:from>
    <xdr:to>
      <xdr:col>32</xdr:col>
      <xdr:colOff>80336</xdr:colOff>
      <xdr:row>142</xdr:row>
      <xdr:rowOff>86400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81F372-9DA6-4A15-B5EC-218113D101A3}"/>
            </a:ext>
            <a:ext uri="{147F2762-F138-4A5C-976F-8EAC2B608ADB}">
              <a16:predDERef xmlns:a16="http://schemas.microsoft.com/office/drawing/2014/main" pred="{F99E1E41-265E-491D-B26B-998A354BE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33</xdr:col>
      <xdr:colOff>601133</xdr:colOff>
      <xdr:row>32</xdr:row>
      <xdr:rowOff>0</xdr:rowOff>
    </xdr:from>
    <xdr:to>
      <xdr:col>45</xdr:col>
      <xdr:colOff>542101</xdr:colOff>
      <xdr:row>58</xdr:row>
      <xdr:rowOff>179745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C9BA53A4-AAB5-417F-A0AF-2D01F6FD3E74}"/>
            </a:ext>
            <a:ext uri="{147F2762-F138-4A5C-976F-8EAC2B608ADB}">
              <a16:predDERef xmlns:a16="http://schemas.microsoft.com/office/drawing/2014/main" pred="{0A81F372-9DA6-4A15-B5EC-218113D10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19</xdr:row>
      <xdr:rowOff>18780</xdr:rowOff>
    </xdr:from>
    <xdr:to>
      <xdr:col>8</xdr:col>
      <xdr:colOff>0</xdr:colOff>
      <xdr:row>41</xdr:row>
      <xdr:rowOff>146580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93D55-51D0-4A3D-95AA-D97A39E0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8466</xdr:colOff>
      <xdr:row>19</xdr:row>
      <xdr:rowOff>25400</xdr:rowOff>
    </xdr:from>
    <xdr:to>
      <xdr:col>17</xdr:col>
      <xdr:colOff>19896</xdr:colOff>
      <xdr:row>41</xdr:row>
      <xdr:rowOff>147908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BF551-B132-489C-A0AE-EBC23E316834}"/>
            </a:ext>
            <a:ext uri="{147F2762-F138-4A5C-976F-8EAC2B608ADB}">
              <a16:predDERef xmlns:a16="http://schemas.microsoft.com/office/drawing/2014/main" pred="{93A93D55-51D0-4A3D-95AA-D97A39E0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19</xdr:row>
      <xdr:rowOff>19050</xdr:rowOff>
    </xdr:from>
    <xdr:to>
      <xdr:col>25</xdr:col>
      <xdr:colOff>640080</xdr:colOff>
      <xdr:row>41</xdr:row>
      <xdr:rowOff>141558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9706D1-FB3B-4EB0-A75F-3D9EAEC6D680}"/>
            </a:ext>
            <a:ext uri="{147F2762-F138-4A5C-976F-8EAC2B608ADB}">
              <a16:predDERef xmlns:a16="http://schemas.microsoft.com/office/drawing/2014/main" pred="{548BF551-B132-489C-A0AE-EBC23E316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485775</xdr:colOff>
      <xdr:row>58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E3483-C7D8-4B7C-BBF3-28CF4DDD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5289</xdr:colOff>
      <xdr:row>31</xdr:row>
      <xdr:rowOff>160866</xdr:rowOff>
    </xdr:from>
    <xdr:to>
      <xdr:col>41</xdr:col>
      <xdr:colOff>0</xdr:colOff>
      <xdr:row>58</xdr:row>
      <xdr:rowOff>65931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2BABE-CE00-481E-B828-1F8A67DFF3C1}"/>
            </a:ext>
            <a:ext uri="{147F2762-F138-4A5C-976F-8EAC2B608ADB}">
              <a16:predDERef xmlns:a16="http://schemas.microsoft.com/office/drawing/2014/main" pred="{449E3483-C7D8-4B7C-BBF3-28CF4DDD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146</xdr:row>
      <xdr:rowOff>0</xdr:rowOff>
    </xdr:from>
    <xdr:ext cx="11974286" cy="4791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7CF985-6475-47B3-8A9F-B9AAEE767347}"/>
            </a:ext>
            <a:ext uri="{147F2762-F138-4A5C-976F-8EAC2B608ADB}">
              <a16:predDERef xmlns:a16="http://schemas.microsoft.com/office/drawing/2014/main" pred="{3FB2BABE-CE00-481E-B828-1F8A67DF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16176</xdr:colOff>
      <xdr:row>146</xdr:row>
      <xdr:rowOff>16631</xdr:rowOff>
    </xdr:from>
    <xdr:ext cx="13155538" cy="479139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1927E8-D40C-4EE8-A925-CF162ADD41A9}"/>
            </a:ext>
            <a:ext uri="{147F2762-F138-4A5C-976F-8EAC2B608ADB}">
              <a16:predDERef xmlns:a16="http://schemas.microsoft.com/office/drawing/2014/main" pred="{827CF985-6475-47B3-8A9F-B9AAEE767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0</xdr:col>
      <xdr:colOff>0</xdr:colOff>
      <xdr:row>60</xdr:row>
      <xdr:rowOff>1059</xdr:rowOff>
    </xdr:from>
    <xdr:to>
      <xdr:col>18</xdr:col>
      <xdr:colOff>495300</xdr:colOff>
      <xdr:row>86</xdr:row>
      <xdr:rowOff>87099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B6828-00EC-44AC-A9CE-CF9806CA3EDE}"/>
            </a:ext>
            <a:ext uri="{147F2762-F138-4A5C-976F-8EAC2B608ADB}">
              <a16:predDERef xmlns:a16="http://schemas.microsoft.com/office/drawing/2014/main" pred="{2B1927E8-D40C-4EE8-A925-CF162ADD4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5289</xdr:colOff>
      <xdr:row>60</xdr:row>
      <xdr:rowOff>0</xdr:rowOff>
    </xdr:from>
    <xdr:to>
      <xdr:col>40</xdr:col>
      <xdr:colOff>571500</xdr:colOff>
      <xdr:row>86</xdr:row>
      <xdr:rowOff>86040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6D2F29-82D9-4B44-BF83-6773BD9781F1}"/>
            </a:ext>
            <a:ext uri="{147F2762-F138-4A5C-976F-8EAC2B608ADB}">
              <a16:predDERef xmlns:a16="http://schemas.microsoft.com/office/drawing/2014/main" pred="{88BB6828-00EC-44AC-A9CE-CF9806CA3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88</xdr:row>
      <xdr:rowOff>1059</xdr:rowOff>
    </xdr:from>
    <xdr:to>
      <xdr:col>18</xdr:col>
      <xdr:colOff>495300</xdr:colOff>
      <xdr:row>114</xdr:row>
      <xdr:rowOff>87099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2DD268-4CC5-4941-AF26-D86453B696C1}"/>
            </a:ext>
            <a:ext uri="{147F2762-F138-4A5C-976F-8EAC2B608ADB}">
              <a16:predDERef xmlns:a16="http://schemas.microsoft.com/office/drawing/2014/main" pred="{166D2F29-82D9-4B44-BF83-6773BD978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5289</xdr:colOff>
      <xdr:row>88</xdr:row>
      <xdr:rowOff>9525</xdr:rowOff>
    </xdr:from>
    <xdr:to>
      <xdr:col>41</xdr:col>
      <xdr:colOff>9525</xdr:colOff>
      <xdr:row>114</xdr:row>
      <xdr:rowOff>95565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1BC4A7-5B1B-4724-9668-32F92100F256}"/>
            </a:ext>
            <a:ext uri="{147F2762-F138-4A5C-976F-8EAC2B608ADB}">
              <a16:predDERef xmlns:a16="http://schemas.microsoft.com/office/drawing/2014/main" pred="{972DD268-4CC5-4941-AF26-D86453B69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0</xdr:col>
      <xdr:colOff>0</xdr:colOff>
      <xdr:row>173</xdr:row>
      <xdr:rowOff>179312</xdr:rowOff>
    </xdr:from>
    <xdr:ext cx="11974286" cy="4791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DBE7B0-BAF5-44F5-9A2B-AE9051C33935}"/>
            </a:ext>
            <a:ext uri="{147F2762-F138-4A5C-976F-8EAC2B608ADB}">
              <a16:predDERef xmlns:a16="http://schemas.microsoft.com/office/drawing/2014/main" pred="{4C1BC4A7-5B1B-4724-9668-32F92100F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18</xdr:col>
      <xdr:colOff>593118</xdr:colOff>
      <xdr:row>173</xdr:row>
      <xdr:rowOff>185056</xdr:rowOff>
    </xdr:from>
    <xdr:ext cx="13177309" cy="479139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832114-78A1-4928-868E-BE4759296E28}"/>
            </a:ext>
            <a:ext uri="{147F2762-F138-4A5C-976F-8EAC2B608ADB}">
              <a16:predDERef xmlns:a16="http://schemas.microsoft.com/office/drawing/2014/main" pred="{63DBE7B0-BAF5-44F5-9A2B-AE9051C33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202</xdr:row>
      <xdr:rowOff>5141</xdr:rowOff>
    </xdr:from>
    <xdr:ext cx="11974286" cy="479139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C86DCA-2A64-4754-865D-C64E35414BDD}"/>
            </a:ext>
            <a:ext uri="{147F2762-F138-4A5C-976F-8EAC2B608ADB}">
              <a16:predDERef xmlns:a16="http://schemas.microsoft.com/office/drawing/2014/main" pred="{DC832114-78A1-4928-868E-BE4759296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19</xdr:col>
      <xdr:colOff>5289</xdr:colOff>
      <xdr:row>202</xdr:row>
      <xdr:rowOff>10886</xdr:rowOff>
    </xdr:from>
    <xdr:ext cx="13144653" cy="479139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CBC091-3439-489D-ADB8-10B4B2F55BD7}"/>
            </a:ext>
            <a:ext uri="{147F2762-F138-4A5C-976F-8EAC2B608ADB}">
              <a16:predDERef xmlns:a16="http://schemas.microsoft.com/office/drawing/2014/main" pred="{11C86DCA-2A64-4754-865D-C64E35414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195942</xdr:colOff>
      <xdr:row>11</xdr:row>
      <xdr:rowOff>65313</xdr:rowOff>
    </xdr:from>
    <xdr:to>
      <xdr:col>31</xdr:col>
      <xdr:colOff>383721</xdr:colOff>
      <xdr:row>39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51EF7-DFBE-4EAB-AD32-8F6BDA77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108857</xdr:colOff>
      <xdr:row>51</xdr:row>
      <xdr:rowOff>0</xdr:rowOff>
    </xdr:from>
    <xdr:ext cx="210312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B6B09-8FE2-45C4-A264-1BD39B197426}"/>
            </a:ext>
            <a:ext uri="{147F2762-F138-4A5C-976F-8EAC2B608ADB}">
              <a16:predDERef xmlns:a16="http://schemas.microsoft.com/office/drawing/2014/main" pred="{20251EF7-DFBE-4EAB-AD32-8F6BDA77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751115</xdr:colOff>
      <xdr:row>83</xdr:row>
      <xdr:rowOff>167640</xdr:rowOff>
    </xdr:from>
    <xdr:to>
      <xdr:col>30</xdr:col>
      <xdr:colOff>575583</xdr:colOff>
      <xdr:row>121</xdr:row>
      <xdr:rowOff>65315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2953A5-C0A5-4424-B576-D7D8AA2B7BD7}"/>
            </a:ext>
            <a:ext uri="{147F2762-F138-4A5C-976F-8EAC2B608ADB}">
              <a16:predDERef xmlns:a16="http://schemas.microsoft.com/office/drawing/2014/main" pred="{25BB6B09-8FE2-45C4-A264-1BD39B197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9118C0-7FC2-4932-B19A-58696959EB37}" name="Table224" displayName="Table224" ref="A1:O32" totalsRowShown="0" headerRowDxfId="217" dataDxfId="216" tableBorderDxfId="215">
  <autoFilter ref="A1:O32" xr:uid="{6CF23BDB-CD31-4831-905C-80E049DE4659}"/>
  <tableColumns count="15">
    <tableColumn id="1" xr3:uid="{A2C7E427-A945-48E8-97D7-BB40B5605A55}" name="Node" dataDxfId="214"/>
    <tableColumn id="2" xr3:uid="{308CB894-60E5-4B3B-B87D-2501C165227D}" name="สถานที่" dataDxfId="213"/>
    <tableColumn id="3" xr3:uid="{D0A8A2E5-7B0D-48FA-B22C-9F7908EF22D5}" name="ชั้น" dataDxfId="212"/>
    <tableColumn id="4" xr3:uid="{8C095ED0-C04D-40DD-B6F0-294F05146B12}" name="ชื่อห้อง" dataDxfId="211"/>
    <tableColumn id="5" xr3:uid="{3F6F65AD-7F76-4D4A-A884-FE6E669A7EFA}" name="ชื่อ Rack" dataDxfId="210"/>
    <tableColumn id="15" xr3:uid="{53F2FC29-6A07-4FBB-85BE-C4D30B74AAB2}" name="ติดตั้ง PDU 6 ช่อง" dataDxfId="209"/>
    <tableColumn id="16" xr3:uid="{21907F05-B0D7-4E0A-8F76-5394369992B6}" name="ติดตั้ง PDU 8 ช่อง" dataDxfId="208"/>
    <tableColumn id="17" xr3:uid="{99E0AFF4-B4EC-4B12-9DED-48A4880306BB}" name="ติดตั้ง PDU 10 ช่อง" dataDxfId="207"/>
    <tableColumn id="18" xr3:uid="{90C3DFB1-7B06-45B6-837A-387EF2609159}" name="ติดตั้ง PDU 12 ช่อง" dataDxfId="206"/>
    <tableColumn id="19" xr3:uid="{23E49BCF-239D-4CA8-9724-FAE5121FB8F1}" name="ติดตั้ง CB" dataDxfId="205"/>
    <tableColumn id="20" xr3:uid="{0BAA5187-2A82-47DF-80F5-1062D86A5AAC}" name="ใช้ Temp. PDU" dataDxfId="204"/>
    <tableColumn id="21" xr3:uid="{8885A4B6-31CC-4A32-9390-E328D5D29DD2}" name="เปลี่ยนเต้ารับผนัง 2 ช่อง" dataDxfId="203"/>
    <tableColumn id="22" xr3:uid="{27C29D21-E4ED-4B3E-A317-11BE2FEEE2CE}" name="ตัดต่อปลั๊กใหม่" dataDxfId="202"/>
    <tableColumn id="23" xr3:uid="{31853255-7FAF-4C4A-A9F7-6F6C768E380D}" name="ตั้งตู้ Rack ใหม่" dataDxfId="201"/>
    <tableColumn id="6" xr3:uid="{FF06AD64-27CF-4912-8473-1F71BBA40C92}" name="Pregress" dataDxfId="2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06F1E-BCF5-49BE-B878-BFDD7A246BE0}" name="All_Detail_v2" displayName="All_Detail_v2" ref="A1:L741" totalsRowCount="1" headerRowDxfId="199" dataDxfId="198" tableBorderDxfId="197">
  <autoFilter ref="A1:L740" xr:uid="{71F06F1E-BCF5-49BE-B878-BFDD7A246BE0}"/>
  <tableColumns count="12">
    <tableColumn id="1" xr3:uid="{683ACAEC-485D-427D-BCB3-6555E06DA8C5}" name="No." dataDxfId="196"/>
    <tableColumn id="2" xr3:uid="{BD3CF302-706C-4927-9696-65EE28DC29E9}" name="Fabric" dataDxfId="195" totalsRowDxfId="194"/>
    <tableColumn id="3" xr3:uid="{63AF8890-C486-4C35-867E-6FCA1D503790}" name="Location" dataDxfId="193" totalsRowDxfId="192"/>
    <tableColumn id="4" xr3:uid="{AEBD3209-0F45-402D-9F4E-891AF491ACA1}" name="Room" dataDxfId="191" totalsRowDxfId="190"/>
    <tableColumn id="5" xr3:uid="{FB20E448-8BB7-4F0D-901C-AFBE587E6CB6}" name="Device Type" dataDxfId="189" totalsRowDxfId="188"/>
    <tableColumn id="6" xr3:uid="{04E0AD5C-FA45-4208-BD63-68E3C5D9166E}" name="Qty" totalsRowFunction="sum" dataDxfId="187" totalsRowDxfId="186"/>
    <tableColumn id="7" xr3:uid="{785DF377-A7A8-421B-A53B-B1EC3AFF4BF0}" name="Qty. Success" dataDxfId="185" totalsRowDxfId="184"/>
    <tableColumn id="8" xr3:uid="{81CEA512-D8C1-43BF-ACB9-FF17FF7370C8}" name="Install Date" dataDxfId="183" totalsRowDxfId="182"/>
    <tableColumn id="9" xr3:uid="{2737F19C-41A0-41A2-8317-4B259BF1FE8D}" name="Scheduled Date" dataDxfId="181" totalsRowDxfId="180"/>
    <tableColumn id="10" xr3:uid="{EB50A429-2FBB-421F-AEA7-A954BAE36DCD}" name="Status" dataDxfId="179" totalsRowDxfId="178"/>
    <tableColumn id="12" xr3:uid="{762DA12D-FEB5-4A18-B678-D3A302E3C6CF}" name="Category" totalsRowDxfId="177">
      <calculatedColumnFormula>IF(ISNUMBER(SEARCH("Access Point",E2)),"AP",IF(OR(ISNUMBER(SEARCH("Switch",E2)),ISNUMBER(SEARCH("Control Type",E2))),"Switch","Infra"))</calculatedColumnFormula>
    </tableColumn>
    <tableColumn id="11" xr3:uid="{2619D4FF-D1A5-450E-8A9F-26997073F1CE}" name="Remark" dataDxfId="176" totalsRowDxfId="1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FFF92-7B26-4FB1-8712-D30A9963D7F8}" name="Table26" displayName="Table26" ref="A1:Y97" totalsRowShown="0" headerRowDxfId="174" dataDxfId="173" tableBorderDxfId="172">
  <autoFilter ref="A1:Y97" xr:uid="{6CF23BDB-CD31-4831-905C-80E049DE4659}"/>
  <tableColumns count="25">
    <tableColumn id="1" xr3:uid="{689FCDF1-E369-486E-892C-491104A8F1FF}" name="Node" dataDxfId="171"/>
    <tableColumn id="2" xr3:uid="{66D70997-88C9-401D-9389-6F7CA6B532CE}" name="สถานที่" dataDxfId="170"/>
    <tableColumn id="3" xr3:uid="{77027AD2-3C21-4E0C-B6F7-D804AC7372D0}" name="ชั้น" dataDxfId="169"/>
    <tableColumn id="4" xr3:uid="{6B91FA41-6878-48E9-A469-AB58EEF3596B}" name="ชื่อห้อง" dataDxfId="168"/>
    <tableColumn id="5" xr3:uid="{3A7AAE80-BD99-4C52-9CDA-8A1449CC4E96}" name="ชื่อ Rack" dataDxfId="167"/>
    <tableColumn id="6" xr3:uid="{B41B0BB4-33CB-43AE-93C7-F10AEEA7D099}" name="New Device Type" dataDxfId="166"/>
    <tableColumn id="7" xr3:uid="{E0CA35AB-21AF-4543-85D8-5C5F486288B5}" name="Option" dataDxfId="165"/>
    <tableColumn id="8" xr3:uid="{336ADD65-C59E-450B-9F34-061E151975CA}" name="จำนวน Switch เก่าที่ต้องถอดออก" dataDxfId="164"/>
    <tableColumn id="9" xr3:uid="{67C6E1BB-E315-4E97-B57F-A421DD605EF4}" name="จำนวน Switch ใหม่ที่ติดตั้ง" dataDxfId="163"/>
    <tableColumn id="10" xr3:uid="{1C2A3747-98A9-4266-ABFC-27B4B4A025F9}" name="Outlet ที่ต้องการใช้" dataDxfId="162"/>
    <tableColumn id="11" xr3:uid="{6D0F1874-F08F-4A07-B2C6-F96E12FAD068}" name="Outlet ที่เหลือ" dataDxfId="161"/>
    <tableColumn id="12" xr3:uid="{E0323686-31FC-439D-BE10-2B7699FD7134}" name="Need More Slot" dataDxfId="160">
      <calculatedColumnFormula>J2-K2</calculatedColumnFormula>
    </tableColumn>
    <tableColumn id="13" xr3:uid="{22671964-EBF5-4D75-9DD0-2C3F4B65AE93}" name="ประเภท" dataDxfId="159"/>
    <tableColumn id="14" xr3:uid="{A222687D-C225-4DC2-B703-F4CDE03B364F}" name="ขนาด PDU" dataDxfId="158"/>
    <tableColumn id="15" xr3:uid="{C6C873C2-FA0D-40F2-BE89-092C519A7E2B}" name="ติดตั้ง PDU 6 ช่อง" dataDxfId="157"/>
    <tableColumn id="16" xr3:uid="{9AFA51B9-A004-42BA-B099-0C478DB05786}" name="ติดตั้ง PDU 8 ช่อง" dataDxfId="156"/>
    <tableColumn id="17" xr3:uid="{CB82B466-E270-4806-B25F-9CEBE228C861}" name="ติดตั้ง PDU 10 ช่อง" dataDxfId="155"/>
    <tableColumn id="18" xr3:uid="{2CD036ED-725E-4B89-9812-A74F44FB3920}" name="ติดตั้ง PDU 12 ช่อง" dataDxfId="154"/>
    <tableColumn id="19" xr3:uid="{AB5A040E-C4D5-4E2D-9C2B-5CE66A3C5F73}" name="ติดตั้ง CB" dataDxfId="153"/>
    <tableColumn id="20" xr3:uid="{1EAEB665-5AE9-4658-A1B0-6A5327709583}" name="ใช้ Temp. PDU" dataDxfId="152"/>
    <tableColumn id="21" xr3:uid="{83D2AEB3-F62D-4C60-97AE-9767BCB0DAFA}" name="เปลี่ยนเต้ารับผนัง 2 ช่อง" dataDxfId="151"/>
    <tableColumn id="22" xr3:uid="{A51B8B8C-0264-45B2-B22B-E251E3631E23}" name="ตัดต่อปลั๊กใหม่" dataDxfId="150"/>
    <tableColumn id="23" xr3:uid="{D0F52983-B920-4FB3-A67C-B14107FDF7A6}" name="ตั้งตู้ Rack ใหม่" dataDxfId="149"/>
    <tableColumn id="24" xr3:uid="{0988553E-CF45-40DF-A68E-B3B1C2EA441A}" name="Comment" dataDxfId="148"/>
    <tableColumn id="25" xr3:uid="{9F8E7A83-C70F-4D58-B641-C7E7D519BFAE}" name="Pregress" dataDxfId="1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0CADE7-6E71-4DE1-819C-3A90B52273FC}" name="All_Detail_v29" displayName="All_Detail_v29" ref="A1:M41" totalsRowCount="1" headerRowDxfId="146" dataDxfId="145" tableBorderDxfId="144">
  <autoFilter ref="A1:M40" xr:uid="{71F06F1E-BCF5-49BE-B878-BFDD7A246BE0}"/>
  <sortState xmlns:xlrd2="http://schemas.microsoft.com/office/spreadsheetml/2017/richdata2" ref="A2:M40">
    <sortCondition descending="1" ref="J1:J40"/>
  </sortState>
  <tableColumns count="13">
    <tableColumn id="1" xr3:uid="{AE63A3C3-AD00-49A3-A054-BCB8832F4EDD}" name="No." dataDxfId="143"/>
    <tableColumn id="2" xr3:uid="{F533997D-4429-483D-924A-F0B19075A6FC}" name="Gate" dataDxfId="142" totalsRowDxfId="141"/>
    <tableColumn id="3" xr3:uid="{208C619E-2F41-47C4-8268-90A8B5E4FBA7}" name="Location" dataDxfId="140" totalsRowDxfId="139"/>
    <tableColumn id="9" xr3:uid="{5B285E5A-8C9A-48A0-944E-3100F84D3AA5}" name="Cabling Date (S)" dataDxfId="138" totalsRowDxfId="137"/>
    <tableColumn id="8" xr3:uid="{83393EAF-2D0C-4190-AA80-B6B9967C9706}" name="Cabling Date (A)" dataDxfId="136" totalsRowDxfId="135"/>
    <tableColumn id="14" xr3:uid="{C8882E31-35C3-4FB5-9249-7A96CC08D89B}" name="Qty" totalsRowFunction="sum" dataDxfId="134" totalsRowDxfId="133"/>
    <tableColumn id="13" xr3:uid="{509C8FF7-A1FE-41AA-9DF4-AB86949DF043}" name="Qty. Success" totalsRowFunction="sum" dataDxfId="132" totalsRowDxfId="131"/>
    <tableColumn id="10" xr3:uid="{1C35E777-C53B-4CD9-B5BC-9BA567ABF760}" name="Status" dataDxfId="130" totalsRowDxfId="129"/>
    <tableColumn id="11" xr3:uid="{B02EE094-4534-4876-B916-8435D68E977D}" name="Coring Date (S)" dataDxfId="128" totalsRowDxfId="127"/>
    <tableColumn id="12" xr3:uid="{92E00773-AD74-4DB4-8C06-1CD280578558}" name="Coring Date (A)" dataDxfId="126" totalsRowDxfId="125"/>
    <tableColumn id="15" xr3:uid="{CE62E5F0-B225-4434-BD74-0DA22E1662BF}" name="Qty2" totalsRowFunction="sum" dataDxfId="124" totalsRowDxfId="123"/>
    <tableColumn id="16" xr3:uid="{89578174-2C1C-4413-8EA8-9740DDF0C439}" name="Qty. Success2" totalsRowFunction="sum" dataDxfId="122" totalsRowDxfId="121"/>
    <tableColumn id="17" xr3:uid="{CF414021-7D1D-432C-A016-E9E345F5A773}" name="Status4" dataDxfId="1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60D6AE-5263-4D82-978D-A3239FDFC9DA}" name="Table2245" displayName="Table2245" ref="A1:O57" totalsRowShown="0" headerRowDxfId="119" dataDxfId="118" tableBorderDxfId="117">
  <autoFilter ref="A1:O57" xr:uid="{6CF23BDB-CD31-4831-905C-80E049DE4659}"/>
  <tableColumns count="15">
    <tableColumn id="1" xr3:uid="{94413252-F1B1-4489-B761-081B944E1D3E}" name="Node" dataDxfId="116"/>
    <tableColumn id="2" xr3:uid="{AA8A54E9-E614-49CE-9637-9C2FAB3E76E6}" name="สถานที่" dataDxfId="115"/>
    <tableColumn id="3" xr3:uid="{8F7479F5-3618-4575-9ABF-EB2220BC0B31}" name="ชั้น" dataDxfId="114"/>
    <tableColumn id="4" xr3:uid="{C949AF30-A73E-4C30-A3ED-AB1B6BDBA6D9}" name="ชื่อห้อง" dataDxfId="113"/>
    <tableColumn id="5" xr3:uid="{93008C98-5442-4FF6-9106-32FE51C6023C}" name="ชื่อ Rack" dataDxfId="112"/>
    <tableColumn id="15" xr3:uid="{A692CA0B-4C30-4422-9DCC-39282E6CC409}" name="ติดตั้ง PDU 6 ช่อง" dataDxfId="111"/>
    <tableColumn id="16" xr3:uid="{A8C14469-BC75-4ACB-9832-9EFFC3399F00}" name="ติดตั้ง PDU 8 ช่อง" dataDxfId="110"/>
    <tableColumn id="17" xr3:uid="{AA467E85-9A8E-4A3C-A245-1C7474CF3FB0}" name="ติดตั้ง PDU 10 ช่อง" dataDxfId="109"/>
    <tableColumn id="18" xr3:uid="{2C851E73-B312-40F2-A3EA-60798CCC8596}" name="ติดตั้ง PDU 12 ช่อง" dataDxfId="108"/>
    <tableColumn id="19" xr3:uid="{22A2EB07-9339-4916-A614-4AAECE357ED6}" name="ติดตั้ง CB" dataDxfId="107"/>
    <tableColumn id="20" xr3:uid="{F27CAC36-AE36-40E3-89FC-BBD15088AC2E}" name="ใช้ Temp. PDU" dataDxfId="106"/>
    <tableColumn id="21" xr3:uid="{E4F00513-453E-4EEF-ABA4-D42BF42313AC}" name="เปลี่ยนเต้ารับผนัง 2 ช่อง" dataDxfId="105"/>
    <tableColumn id="22" xr3:uid="{A696AEFC-706A-4248-B15E-55400CABFD18}" name="ตัดต่อปลั๊กใหม่" dataDxfId="104"/>
    <tableColumn id="23" xr3:uid="{D15178BA-C9E4-4C89-ADA2-D9508B99E662}" name="ตั้งตู้ Rack ใหม่" dataDxfId="103"/>
    <tableColumn id="6" xr3:uid="{720DA665-EC46-4154-9BD8-4B779CFB8A88}" name="Pregress" dataDxfId="10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9A771-B76A-41D5-80E5-D3DDF9500E49}" name="Table22" displayName="Table22" ref="A1:O11" totalsRowShown="0" headerRowDxfId="101" dataDxfId="100" tableBorderDxfId="99">
  <autoFilter ref="A1:O11" xr:uid="{6CF23BDB-CD31-4831-905C-80E049DE4659}"/>
  <tableColumns count="15">
    <tableColumn id="1" xr3:uid="{403B4FF8-29FA-446F-A100-A86E41E624C7}" name="Node" dataDxfId="98"/>
    <tableColumn id="2" xr3:uid="{AB4CC6E5-78E6-462E-83A6-772520396063}" name="สถานที่" dataDxfId="97"/>
    <tableColumn id="3" xr3:uid="{0A5C1AE0-08CE-4C1F-A27F-A2996C194A34}" name="ชั้น" dataDxfId="96"/>
    <tableColumn id="4" xr3:uid="{1D9F4BB1-352B-4560-966E-249BD9224DCE}" name="ชื่อห้อง" dataDxfId="95"/>
    <tableColumn id="5" xr3:uid="{E0319B69-9572-4FC3-B737-A45F56966B96}" name="ชื่อ Rack" dataDxfId="94"/>
    <tableColumn id="15" xr3:uid="{152AB712-0895-41E4-A11F-1365AED8334E}" name="ติดตั้ง PDU 6 ช่อง" dataDxfId="93"/>
    <tableColumn id="16" xr3:uid="{46558501-1FFA-4050-9357-6FC885AB4A66}" name="ติดตั้ง PDU 8 ช่อง" dataDxfId="92"/>
    <tableColumn id="17" xr3:uid="{AD072203-6460-4029-ACEC-BDC77F8A3148}" name="ติดตั้ง PDU 10 ช่อง" dataDxfId="91"/>
    <tableColumn id="18" xr3:uid="{65358D80-EFDB-4E75-94D7-1FEEF03BBCD1}" name="ติดตั้ง PDU 12 ช่อง" dataDxfId="90"/>
    <tableColumn id="19" xr3:uid="{5479B677-BC34-487A-A01C-806160948513}" name="ติดตั้ง CB" dataDxfId="89"/>
    <tableColumn id="20" xr3:uid="{9FB5960B-85A6-4EDE-ACC0-7AD7D9D7740D}" name="ใช้ Temp. PDU" dataDxfId="88"/>
    <tableColumn id="21" xr3:uid="{4E621ED5-7A53-401B-9949-F895E9CFD8B1}" name="เปลี่ยนเต้ารับผนัง 2 ช่อง" dataDxfId="87"/>
    <tableColumn id="22" xr3:uid="{4CD5BE66-3B57-45B8-A74A-32630CC06871}" name="ตัดต่อปลั๊กใหม่" dataDxfId="86"/>
    <tableColumn id="23" xr3:uid="{45080B0A-A5A5-4CC7-810C-849D45151058}" name="ตั้งตู้ Rack ใหม่" dataDxfId="85"/>
    <tableColumn id="6" xr3:uid="{4B50B4E5-8761-4566-A26A-0E592B1EFB0D}" name="Pregress" dataDxfId="8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07878D-B309-40E0-8F74-85E99D4023CD}" name="Table224567" displayName="Table224567" ref="A1:O17" totalsRowShown="0" headerRowDxfId="83" dataDxfId="82" tableBorderDxfId="81">
  <autoFilter ref="A1:O17" xr:uid="{6CF23BDB-CD31-4831-905C-80E049DE4659}"/>
  <tableColumns count="15">
    <tableColumn id="1" xr3:uid="{741BBF10-E89B-4C25-8B3B-B968FD445CFC}" name="Node" dataDxfId="80"/>
    <tableColumn id="2" xr3:uid="{9C51F749-BC6B-4A39-80D6-6F5678D2E802}" name="สถานที่" dataDxfId="79"/>
    <tableColumn id="3" xr3:uid="{B0E6A553-A617-4D33-B76B-790D5C0EACD7}" name="ชั้น" dataDxfId="78"/>
    <tableColumn id="4" xr3:uid="{FD0823BB-36A1-461D-8A65-813E0AF81757}" name="ชื่อห้อง" dataDxfId="77"/>
    <tableColumn id="5" xr3:uid="{F32F601D-9D72-4B3E-9273-F14A8CFC9AFF}" name="ชื่อ Rack" dataDxfId="76"/>
    <tableColumn id="15" xr3:uid="{A8D67081-56FA-4E60-B226-EA51FB2E5709}" name="ติดตั้ง PDU 6 ช่อง" dataDxfId="75"/>
    <tableColumn id="16" xr3:uid="{3B8F6DF9-5627-4748-8DF8-89EE135CFE07}" name="ติดตั้ง PDU 8 ช่อง" dataDxfId="74"/>
    <tableColumn id="17" xr3:uid="{EC7C83F4-77D3-4E6A-BB7D-E7D441A2E4FD}" name="ติดตั้ง PDU 10 ช่อง" dataDxfId="73"/>
    <tableColumn id="18" xr3:uid="{CEF38403-7A9E-42F9-B05E-EBDDFE6540CD}" name="ติดตั้ง PDU 12 ช่อง" dataDxfId="72"/>
    <tableColumn id="19" xr3:uid="{EFBF3379-3983-4CF3-8910-7921B94C9A53}" name="ติดตั้ง CB" dataDxfId="71"/>
    <tableColumn id="20" xr3:uid="{ECA0BAFF-31CE-4483-9A15-1EC577841055}" name="ใช้ Temp. PDU" dataDxfId="70"/>
    <tableColumn id="21" xr3:uid="{315F9E20-2AB8-4BC9-BE8F-AB6DA7753913}" name="เปลี่ยนเต้ารับผนัง 2 ช่อง" dataDxfId="69"/>
    <tableColumn id="22" xr3:uid="{1BCCEF58-9983-412C-8106-FD4DFF418041}" name="ตัดต่อปลั๊กใหม่" dataDxfId="68"/>
    <tableColumn id="23" xr3:uid="{5BE98D4F-3338-4DA6-84A4-B487134813EA}" name="ตั้งตู้ Rack ใหม่" dataDxfId="67"/>
    <tableColumn id="6" xr3:uid="{5E18AC31-4952-408A-A538-956727FF98B9}" name="Pregress" dataDxfId="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B33F37-ED97-4CE3-996F-6D360C8BED86}" name="Table22456" displayName="Table22456" ref="A1:O24" totalsRowShown="0" headerRowDxfId="65" dataDxfId="64" tableBorderDxfId="63">
  <autoFilter ref="A1:O24" xr:uid="{6CF23BDB-CD31-4831-905C-80E049DE4659}"/>
  <tableColumns count="15">
    <tableColumn id="1" xr3:uid="{BCD84280-73A5-4A7E-8B7F-436CC53104B5}" name="Node" dataDxfId="62"/>
    <tableColumn id="2" xr3:uid="{315828B9-0FAF-4282-9DD6-FC5325D5145C}" name="สถานที่" dataDxfId="61"/>
    <tableColumn id="3" xr3:uid="{D5CFE40B-A22C-4E1C-AD50-1E744C0BE5C0}" name="ชั้น" dataDxfId="60"/>
    <tableColumn id="4" xr3:uid="{E77141AF-7B5D-4EC7-AE2F-8653A0637B47}" name="ชื่อห้อง" dataDxfId="59"/>
    <tableColumn id="5" xr3:uid="{6FA04936-5B84-4C2B-A2D4-7214AF97BBD2}" name="ชื่อ Rack" dataDxfId="58"/>
    <tableColumn id="15" xr3:uid="{42C9C05A-627C-4C99-A647-A1DA9D7B3926}" name="ติดตั้ง PDU 6 ช่อง" dataDxfId="57"/>
    <tableColumn id="16" xr3:uid="{CF0A77F6-7C29-4637-8317-658A4A1C53D5}" name="ติดตั้ง PDU 8 ช่อง" dataDxfId="56"/>
    <tableColumn id="17" xr3:uid="{AB7C9F37-ED3E-4E10-B724-9CF6ABC0BF54}" name="ติดตั้ง PDU 10 ช่อง" dataDxfId="55"/>
    <tableColumn id="18" xr3:uid="{BD156E82-9E4E-4F01-9DDA-A6ADC6CAEB75}" name="ติดตั้ง PDU 12 ช่อง" dataDxfId="54"/>
    <tableColumn id="19" xr3:uid="{24D03EFE-050C-433D-9EE5-8E22DC9E9542}" name="ติดตั้ง CB" dataDxfId="53"/>
    <tableColumn id="20" xr3:uid="{A2DA4E5F-38E9-4B55-9C84-C142C93480B7}" name="ใช้ Temp. PDU" dataDxfId="52"/>
    <tableColumn id="21" xr3:uid="{3B37D875-4754-4CEA-9901-DD940DD4E92A}" name="เปลี่ยนเต้ารับผนัง 2 ช่อง" dataDxfId="51"/>
    <tableColumn id="22" xr3:uid="{DBDA6459-BFB6-4F7E-A141-315689B8CD30}" name="ตัดต่อปลั๊กใหม่" dataDxfId="50"/>
    <tableColumn id="23" xr3:uid="{9B6D983A-67FE-4DC4-B8D7-603C60EA22EC}" name="ตั้งตู้ Rack ใหม่" dataDxfId="49"/>
    <tableColumn id="6" xr3:uid="{8BA08C3C-923C-4B43-8415-03EB6905931A}" name="Pregress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C392-367C-436C-AF98-BC716EFC3C5B}">
  <sheetPr>
    <tabColor theme="4"/>
  </sheetPr>
  <dimension ref="A1:H36"/>
  <sheetViews>
    <sheetView zoomScale="90" zoomScaleNormal="90" workbookViewId="0">
      <selection activeCell="H29" sqref="H29"/>
    </sheetView>
  </sheetViews>
  <sheetFormatPr defaultColWidth="8.88671875" defaultRowHeight="21"/>
  <cols>
    <col min="1" max="1" width="8.109375" style="57" customWidth="1"/>
    <col min="2" max="2" width="42.6640625" style="57" customWidth="1"/>
    <col min="3" max="3" width="36.5546875" style="57" bestFit="1" customWidth="1"/>
    <col min="4" max="4" width="25.44140625" style="57" bestFit="1" customWidth="1"/>
    <col min="5" max="5" width="20.6640625" style="57" bestFit="1" customWidth="1"/>
    <col min="6" max="6" width="13.5546875" style="57" bestFit="1" customWidth="1"/>
    <col min="7" max="7" width="9.33203125" style="57" customWidth="1"/>
    <col min="8" max="8" width="22.6640625" style="57" customWidth="1"/>
    <col min="9" max="16384" width="8.88671875" style="57"/>
  </cols>
  <sheetData>
    <row r="1" spans="1:1" s="49" customFormat="1" ht="25.8">
      <c r="A1" s="48"/>
    </row>
    <row r="2" spans="1:1" s="49" customFormat="1" ht="23.4">
      <c r="A2" s="50"/>
    </row>
    <row r="3" spans="1:1" s="49" customFormat="1" ht="23.4">
      <c r="A3" s="50"/>
    </row>
    <row r="4" spans="1:1" s="49" customFormat="1" ht="23.4">
      <c r="A4" s="50"/>
    </row>
    <row r="5" spans="1:1" s="49" customFormat="1" ht="23.4">
      <c r="A5" s="50"/>
    </row>
    <row r="6" spans="1:1" s="49" customFormat="1" ht="23.4">
      <c r="A6" s="50"/>
    </row>
    <row r="7" spans="1:1" s="49" customFormat="1" ht="23.4">
      <c r="A7" s="50"/>
    </row>
    <row r="8" spans="1:1" s="49" customFormat="1" ht="23.4">
      <c r="A8" s="50"/>
    </row>
    <row r="9" spans="1:1" s="49" customFormat="1" ht="23.4">
      <c r="A9" s="50"/>
    </row>
    <row r="10" spans="1:1" s="49" customFormat="1" ht="23.4">
      <c r="A10" s="50"/>
    </row>
    <row r="11" spans="1:1" s="49" customFormat="1" ht="23.4">
      <c r="A11" s="50"/>
    </row>
    <row r="12" spans="1:1" s="49" customFormat="1" ht="23.4">
      <c r="A12" s="50"/>
    </row>
    <row r="13" spans="1:1" s="49" customFormat="1" ht="23.4">
      <c r="A13" s="50"/>
    </row>
    <row r="14" spans="1:1" s="49" customFormat="1" ht="23.4">
      <c r="A14" s="50"/>
    </row>
    <row r="15" spans="1:1" s="49" customFormat="1" ht="23.4">
      <c r="A15" s="50"/>
    </row>
    <row r="16" spans="1:1" s="49" customFormat="1" ht="23.4">
      <c r="A16" s="50"/>
    </row>
    <row r="17" spans="1:5" s="49" customFormat="1" ht="23.4">
      <c r="A17" s="50"/>
    </row>
    <row r="18" spans="1:5" s="49" customFormat="1" ht="23.4">
      <c r="A18" s="50"/>
    </row>
    <row r="19" spans="1:5" s="49" customFormat="1" ht="23.4">
      <c r="A19" s="50"/>
    </row>
    <row r="20" spans="1:5" s="49" customFormat="1" ht="23.4">
      <c r="A20" s="50"/>
    </row>
    <row r="21" spans="1:5" s="49" customFormat="1" ht="23.4">
      <c r="A21" s="50"/>
    </row>
    <row r="22" spans="1:5" s="52" customFormat="1">
      <c r="A22" s="51" t="s">
        <v>0</v>
      </c>
      <c r="B22" s="51" t="s">
        <v>1</v>
      </c>
      <c r="C22" s="51" t="s">
        <v>2</v>
      </c>
      <c r="D22" s="51" t="s">
        <v>3</v>
      </c>
      <c r="E22" s="49"/>
    </row>
    <row r="23" spans="1:5">
      <c r="A23" s="53" t="s">
        <v>4</v>
      </c>
      <c r="B23" s="54" t="s">
        <v>5</v>
      </c>
      <c r="C23" s="145">
        <f>'HQ-WL'!N118/'HQ-WL'!M118</f>
        <v>1</v>
      </c>
      <c r="D23" s="56" t="str">
        <f>"ทั้งหมด " &amp;'HQ-WL'!M118 &amp; " จุด - Completed"</f>
        <v>ทั้งหมด 17 จุด - Completed</v>
      </c>
      <c r="E23" s="49"/>
    </row>
    <row r="24" spans="1:5">
      <c r="A24" s="53"/>
      <c r="B24" s="54" t="s">
        <v>6</v>
      </c>
      <c r="C24" s="55">
        <f>'HQ-PW'!O33/'HQ-PW'!B33</f>
        <v>1</v>
      </c>
      <c r="D24" s="56" t="str">
        <f>"ทั้งหมด " &amp;'HQ-PW'!B33 &amp; " จุด - Completed"</f>
        <v>ทั้งหมด 31 จุด - Completed</v>
      </c>
      <c r="E24" s="49"/>
    </row>
    <row r="25" spans="1:5">
      <c r="A25" s="53" t="s">
        <v>7</v>
      </c>
      <c r="B25" s="54" t="s">
        <v>5</v>
      </c>
      <c r="C25" s="55">
        <f>'SVB-WL'!G80/'SVB-WL'!F80</f>
        <v>0.97435897435897434</v>
      </c>
      <c r="D25" s="56" t="str">
        <f>"ทั้งหมด "&amp;'SVB-WL'!F80 &amp; " จุด"</f>
        <v>ทั้งหมด 156 จุด</v>
      </c>
      <c r="E25" s="49"/>
    </row>
    <row r="26" spans="1:5">
      <c r="A26" s="53"/>
      <c r="B26" s="54" t="s">
        <v>6</v>
      </c>
      <c r="C26" s="55">
        <f>'SVB-PW'!Y98/'SVB-PW'!B98</f>
        <v>1</v>
      </c>
      <c r="D26" s="56" t="str">
        <f>"ทั้งหมด " &amp;'SVB-PW'!B98 &amp; " จุด - Completed"</f>
        <v>ทั้งหมด 96 จุด - Completed</v>
      </c>
      <c r="E26" s="49"/>
    </row>
    <row r="27" spans="1:5">
      <c r="A27" s="53" t="s">
        <v>8</v>
      </c>
      <c r="B27" s="54" t="s">
        <v>5</v>
      </c>
      <c r="C27" s="55">
        <f>'HKT-WL'!G46/'HKT-WL'!F46</f>
        <v>1</v>
      </c>
      <c r="D27" s="56" t="str">
        <f>"ทั้งหมด " &amp;'HKT-WL'!F46 &amp; " จุด - Completed"</f>
        <v>ทั้งหมด 15 จุด - Completed</v>
      </c>
      <c r="E27" s="49"/>
    </row>
    <row r="28" spans="1:5">
      <c r="A28" s="53"/>
      <c r="B28" s="54" t="s">
        <v>6</v>
      </c>
      <c r="C28" s="55">
        <f>'HKT-PW'!O58/'HKT-PW'!B58</f>
        <v>1</v>
      </c>
      <c r="D28" s="56" t="str">
        <f>"ทั้งหมด " &amp;'HKT-PW'!B58 &amp; " จุด - Completed"</f>
        <v>ทั้งหมด 56 จุด - Completed</v>
      </c>
      <c r="E28" s="49"/>
    </row>
    <row r="29" spans="1:5">
      <c r="A29" s="53" t="s">
        <v>9</v>
      </c>
      <c r="B29" s="54" t="s">
        <v>5</v>
      </c>
      <c r="C29" s="55">
        <v>1</v>
      </c>
      <c r="D29" s="56" t="str">
        <f>"ทั้งหมด " &amp;'CNX-WL'!F44 &amp; " จุด - Completed"</f>
        <v>ทั้งหมด 0 จุด - Completed</v>
      </c>
      <c r="E29" s="49"/>
    </row>
    <row r="30" spans="1:5">
      <c r="A30" s="53"/>
      <c r="B30" s="54" t="s">
        <v>6</v>
      </c>
      <c r="C30" s="55">
        <f>'CNX-PW'!O12/'CNX-PW'!B12</f>
        <v>1</v>
      </c>
      <c r="D30" s="56" t="str">
        <f>"ทั้งหมด " &amp;'CNX-PW'!B12 &amp; " จุด - Completed"</f>
        <v>ทั้งหมด 10 จุด - Completed</v>
      </c>
      <c r="E30" s="49"/>
    </row>
    <row r="31" spans="1:5">
      <c r="A31" s="53" t="s">
        <v>10</v>
      </c>
      <c r="B31" s="54" t="s">
        <v>5</v>
      </c>
      <c r="C31" s="55">
        <f>'HDY-WL'!G44/'HDY-WL'!F44</f>
        <v>1</v>
      </c>
      <c r="D31" s="56" t="str">
        <f>"ทั้งหมด " &amp;'HDY-WL'!F44 &amp; " จุด - Completed"</f>
        <v>ทั้งหมด 2 จุด - Completed</v>
      </c>
      <c r="E31" s="49"/>
    </row>
    <row r="32" spans="1:5">
      <c r="A32" s="53"/>
      <c r="B32" s="54" t="s">
        <v>6</v>
      </c>
      <c r="C32" s="55">
        <f>'HDY-PW'!O25/'HDY-PW'!B25</f>
        <v>1</v>
      </c>
      <c r="D32" s="56" t="str">
        <f>"ทั้งหมด " &amp;'HDY-PW'!B25 &amp; " จุด - Completed"</f>
        <v>ทั้งหมด 23 จุด - Completed</v>
      </c>
      <c r="E32" s="49"/>
    </row>
    <row r="33" spans="1:8">
      <c r="A33" s="53" t="s">
        <v>11</v>
      </c>
      <c r="B33" s="54" t="s">
        <v>5</v>
      </c>
      <c r="C33" s="55">
        <v>1</v>
      </c>
      <c r="D33" s="56" t="str">
        <f>"ทั้งหมด " &amp;'CEI-WL'!F22 &amp; " จุด - Completed"</f>
        <v>ทั้งหมด 0 จุด - Completed</v>
      </c>
      <c r="E33" s="49"/>
    </row>
    <row r="34" spans="1:8">
      <c r="A34" s="53"/>
      <c r="B34" s="54" t="s">
        <v>6</v>
      </c>
      <c r="C34" s="55">
        <f>'CEI-PW'!O18/'CEI-PW'!B18</f>
        <v>1</v>
      </c>
      <c r="D34" s="56" t="str">
        <f>"ทั้งหมด " &amp;'CEI-PW'!B18 &amp; " จุด - Completed"</f>
        <v>ทั้งหมด 16 จุด - Completed</v>
      </c>
      <c r="E34" s="49"/>
    </row>
    <row r="35" spans="1:8">
      <c r="A35" s="58"/>
      <c r="B35" s="59"/>
      <c r="C35" s="60"/>
      <c r="F35" s="61"/>
      <c r="G35" s="49"/>
      <c r="H35" s="49"/>
    </row>
    <row r="36" spans="1:8">
      <c r="A36" s="58"/>
      <c r="B36" s="59"/>
      <c r="F36" s="61"/>
      <c r="G36" s="49"/>
      <c r="H36" s="49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71DA-ADB6-4B2B-BFC7-E00DB2FE6E50}">
  <sheetPr>
    <tabColor theme="4"/>
  </sheetPr>
  <dimension ref="A1:H42"/>
  <sheetViews>
    <sheetView topLeftCell="A3" zoomScale="90" zoomScaleNormal="90" workbookViewId="0">
      <selection activeCell="D20" sqref="D20"/>
    </sheetView>
  </sheetViews>
  <sheetFormatPr defaultColWidth="8.88671875" defaultRowHeight="21"/>
  <cols>
    <col min="1" max="1" width="8.109375" style="57" customWidth="1"/>
    <col min="2" max="2" width="42.6640625" style="57" customWidth="1"/>
    <col min="3" max="3" width="13.6640625" style="57" bestFit="1" customWidth="1"/>
    <col min="4" max="4" width="22.6640625" style="57" bestFit="1" customWidth="1"/>
    <col min="5" max="5" width="20.6640625" style="57" bestFit="1" customWidth="1"/>
    <col min="6" max="6" width="13.5546875" style="57" bestFit="1" customWidth="1"/>
    <col min="7" max="7" width="9.33203125" style="57" customWidth="1"/>
    <col min="8" max="8" width="22.6640625" style="57" customWidth="1"/>
    <col min="9" max="16384" width="8.88671875" style="57"/>
  </cols>
  <sheetData>
    <row r="1" spans="1:1" s="49" customFormat="1" ht="25.8">
      <c r="A1" s="48"/>
    </row>
    <row r="2" spans="1:1" s="49" customFormat="1" ht="23.4">
      <c r="A2" s="50"/>
    </row>
    <row r="3" spans="1:1" s="49" customFormat="1" ht="23.4">
      <c r="A3" s="50"/>
    </row>
    <row r="4" spans="1:1" s="49" customFormat="1" ht="23.4">
      <c r="A4" s="50"/>
    </row>
    <row r="5" spans="1:1" s="49" customFormat="1" ht="23.4">
      <c r="A5" s="50"/>
    </row>
    <row r="6" spans="1:1" s="49" customFormat="1" ht="23.4">
      <c r="A6" s="50"/>
    </row>
    <row r="7" spans="1:1" s="49" customFormat="1" ht="23.4">
      <c r="A7" s="50"/>
    </row>
    <row r="8" spans="1:1" s="49" customFormat="1" ht="23.4">
      <c r="A8" s="50"/>
    </row>
    <row r="9" spans="1:1" s="49" customFormat="1" ht="23.4">
      <c r="A9" s="50"/>
    </row>
    <row r="10" spans="1:1" s="49" customFormat="1" ht="23.4">
      <c r="A10" s="50"/>
    </row>
    <row r="11" spans="1:1" s="49" customFormat="1" ht="23.4">
      <c r="A11" s="50"/>
    </row>
    <row r="12" spans="1:1" s="49" customFormat="1" ht="23.4">
      <c r="A12" s="50"/>
    </row>
    <row r="13" spans="1:1" s="49" customFormat="1" ht="23.4">
      <c r="A13" s="50"/>
    </row>
    <row r="14" spans="1:1" s="49" customFormat="1" ht="23.4">
      <c r="A14" s="50"/>
    </row>
    <row r="15" spans="1:1" s="49" customFormat="1" ht="23.4">
      <c r="A15" s="50"/>
    </row>
    <row r="16" spans="1:1" s="49" customFormat="1" ht="23.4">
      <c r="A16" s="50"/>
    </row>
    <row r="17" spans="1:5" s="49" customFormat="1" ht="23.4">
      <c r="A17" s="50"/>
    </row>
    <row r="18" spans="1:5" s="49" customFormat="1" ht="23.4">
      <c r="A18" s="50"/>
    </row>
    <row r="19" spans="1:5" s="49" customFormat="1" ht="23.4">
      <c r="A19" s="50"/>
    </row>
    <row r="20" spans="1:5" s="49" customFormat="1" ht="23.4">
      <c r="A20" s="50"/>
    </row>
    <row r="21" spans="1:5" s="49" customFormat="1" ht="23.4">
      <c r="A21" s="50"/>
    </row>
    <row r="22" spans="1:5" s="52" customFormat="1">
      <c r="A22" s="51" t="s">
        <v>0</v>
      </c>
      <c r="B22" s="51" t="s">
        <v>1</v>
      </c>
      <c r="C22" s="51" t="s">
        <v>2</v>
      </c>
      <c r="D22" s="51" t="s">
        <v>3</v>
      </c>
      <c r="E22" s="49"/>
    </row>
    <row r="23" spans="1:5">
      <c r="A23" s="53" t="s">
        <v>4</v>
      </c>
      <c r="B23" s="54" t="s">
        <v>12</v>
      </c>
      <c r="C23" s="55">
        <f>HQ!N90</f>
        <v>0.97409326424870468</v>
      </c>
      <c r="D23" s="56"/>
      <c r="E23" s="49"/>
    </row>
    <row r="24" spans="1:5">
      <c r="A24" s="53"/>
      <c r="B24" s="54" t="s">
        <v>13</v>
      </c>
      <c r="C24" s="55">
        <f>HQ!O90</f>
        <v>0.97409326424870468</v>
      </c>
      <c r="D24" s="56"/>
      <c r="E24" s="49"/>
    </row>
    <row r="25" spans="1:5">
      <c r="A25" s="53"/>
      <c r="B25" s="54" t="s">
        <v>14</v>
      </c>
      <c r="C25" s="55">
        <f>HQ!P90</f>
        <v>0.94818652849740936</v>
      </c>
      <c r="D25" s="56"/>
      <c r="E25" s="49"/>
    </row>
    <row r="26" spans="1:5">
      <c r="A26" s="53" t="s">
        <v>7</v>
      </c>
      <c r="B26" s="54" t="s">
        <v>12</v>
      </c>
      <c r="C26" s="55">
        <f>SVB!M741</f>
        <v>0.28894472361809043</v>
      </c>
      <c r="D26" s="56"/>
      <c r="E26" s="49"/>
    </row>
    <row r="27" spans="1:5">
      <c r="A27" s="53"/>
      <c r="B27" s="54" t="s">
        <v>13</v>
      </c>
      <c r="C27" s="55">
        <f>SVB!N741</f>
        <v>0.28894472361809043</v>
      </c>
      <c r="D27" s="56"/>
      <c r="E27" s="49"/>
    </row>
    <row r="28" spans="1:5">
      <c r="A28" s="53"/>
      <c r="B28" s="54" t="s">
        <v>14</v>
      </c>
      <c r="C28" s="55">
        <f>SVB!O741</f>
        <v>0.28894472361809043</v>
      </c>
      <c r="D28" s="56"/>
      <c r="E28" s="49"/>
    </row>
    <row r="29" spans="1:5">
      <c r="A29" s="53" t="s">
        <v>8</v>
      </c>
      <c r="B29" s="54" t="s">
        <v>12</v>
      </c>
      <c r="C29" s="55">
        <f>'HKT (OLD)'!G96</f>
        <v>2.9702970297029702E-2</v>
      </c>
      <c r="D29" s="56"/>
      <c r="E29" s="49"/>
    </row>
    <row r="30" spans="1:5">
      <c r="A30" s="53"/>
      <c r="B30" s="54" t="s">
        <v>13</v>
      </c>
      <c r="C30" s="55">
        <f>'HKT (OLD)'!H96</f>
        <v>2.9702970297029702E-2</v>
      </c>
      <c r="D30" s="56"/>
      <c r="E30" s="49"/>
    </row>
    <row r="31" spans="1:5">
      <c r="A31" s="53"/>
      <c r="B31" s="54" t="s">
        <v>14</v>
      </c>
      <c r="C31" s="55">
        <f>'HKT (OLD)'!I96</f>
        <v>0</v>
      </c>
      <c r="D31" s="56"/>
      <c r="E31" s="49"/>
    </row>
    <row r="32" spans="1:5">
      <c r="A32" s="53" t="s">
        <v>9</v>
      </c>
      <c r="B32" s="54" t="s">
        <v>12</v>
      </c>
      <c r="C32" s="55">
        <f>CNX!N49</f>
        <v>1</v>
      </c>
      <c r="D32" s="56"/>
      <c r="E32" s="49"/>
    </row>
    <row r="33" spans="1:8">
      <c r="A33" s="53"/>
      <c r="B33" s="54" t="s">
        <v>13</v>
      </c>
      <c r="C33" s="55">
        <f>CNX!O49</f>
        <v>1</v>
      </c>
      <c r="D33" s="56"/>
      <c r="E33" s="49"/>
    </row>
    <row r="34" spans="1:8">
      <c r="A34" s="53"/>
      <c r="B34" s="54" t="s">
        <v>14</v>
      </c>
      <c r="C34" s="55">
        <f>CNX!P49</f>
        <v>1</v>
      </c>
      <c r="D34" s="56"/>
      <c r="E34" s="49"/>
    </row>
    <row r="35" spans="1:8">
      <c r="A35" s="53" t="s">
        <v>10</v>
      </c>
      <c r="B35" s="54" t="s">
        <v>12</v>
      </c>
      <c r="C35" s="55">
        <f>'HDY (OLD)'!F46</f>
        <v>0.33720930232558138</v>
      </c>
      <c r="D35" s="56"/>
      <c r="E35" s="49"/>
    </row>
    <row r="36" spans="1:8">
      <c r="A36" s="53"/>
      <c r="B36" s="54" t="s">
        <v>13</v>
      </c>
      <c r="C36" s="55">
        <f>'HDY (OLD)'!G46</f>
        <v>0.33720930232558138</v>
      </c>
      <c r="D36" s="56"/>
      <c r="E36" s="49"/>
    </row>
    <row r="37" spans="1:8">
      <c r="A37" s="53"/>
      <c r="B37" s="54" t="s">
        <v>14</v>
      </c>
      <c r="C37" s="55">
        <f>'HDY (OLD)'!H46</f>
        <v>0</v>
      </c>
      <c r="D37" s="56"/>
      <c r="E37" s="49"/>
    </row>
    <row r="38" spans="1:8">
      <c r="A38" s="53" t="s">
        <v>11</v>
      </c>
      <c r="B38" s="54" t="s">
        <v>12</v>
      </c>
      <c r="C38" s="55">
        <f>'CEI (Old)'!F35</f>
        <v>2.6315789473684209E-2</v>
      </c>
      <c r="D38" s="56"/>
      <c r="E38" s="49"/>
    </row>
    <row r="39" spans="1:8">
      <c r="A39" s="53"/>
      <c r="B39" s="54" t="s">
        <v>13</v>
      </c>
      <c r="C39" s="55">
        <f>'CEI (Old)'!G35</f>
        <v>0</v>
      </c>
      <c r="D39" s="56"/>
      <c r="E39" s="49"/>
    </row>
    <row r="40" spans="1:8">
      <c r="A40" s="53"/>
      <c r="B40" s="54" t="s">
        <v>14</v>
      </c>
      <c r="C40" s="55">
        <f>'CEI (Old)'!H35</f>
        <v>0</v>
      </c>
      <c r="D40" s="56"/>
      <c r="E40" s="49"/>
    </row>
    <row r="41" spans="1:8">
      <c r="A41" s="58"/>
      <c r="B41" s="59"/>
      <c r="C41" s="60"/>
      <c r="F41" s="61"/>
      <c r="G41" s="49"/>
      <c r="H41" s="49"/>
    </row>
    <row r="42" spans="1:8">
      <c r="A42" s="58"/>
      <c r="B42" s="59"/>
      <c r="F42" s="61"/>
      <c r="G42" s="49"/>
      <c r="H42" s="49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BBF6-95D6-449F-BC77-03F7FD28E2A4}">
  <sheetPr>
    <tabColor theme="4"/>
  </sheetPr>
  <dimension ref="A1:H42"/>
  <sheetViews>
    <sheetView zoomScale="90" zoomScaleNormal="90" workbookViewId="0">
      <selection activeCell="C28" sqref="C28"/>
    </sheetView>
  </sheetViews>
  <sheetFormatPr defaultColWidth="8.88671875" defaultRowHeight="21"/>
  <cols>
    <col min="1" max="1" width="8.109375" style="57" customWidth="1"/>
    <col min="2" max="2" width="42.6640625" style="57" customWidth="1"/>
    <col min="3" max="3" width="13.6640625" style="57" bestFit="1" customWidth="1"/>
    <col min="4" max="4" width="22.6640625" style="57" bestFit="1" customWidth="1"/>
    <col min="5" max="5" width="20.6640625" style="57" bestFit="1" customWidth="1"/>
    <col min="6" max="6" width="13.5546875" style="57" bestFit="1" customWidth="1"/>
    <col min="7" max="7" width="9.33203125" style="57" customWidth="1"/>
    <col min="8" max="8" width="22.6640625" style="57" customWidth="1"/>
    <col min="9" max="16384" width="8.88671875" style="57"/>
  </cols>
  <sheetData>
    <row r="1" spans="1:1" s="49" customFormat="1" ht="25.8">
      <c r="A1" s="48"/>
    </row>
    <row r="2" spans="1:1" s="49" customFormat="1" ht="23.4">
      <c r="A2" s="50"/>
    </row>
    <row r="3" spans="1:1" s="49" customFormat="1" ht="23.4">
      <c r="A3" s="50"/>
    </row>
    <row r="4" spans="1:1" s="49" customFormat="1" ht="23.4">
      <c r="A4" s="50"/>
    </row>
    <row r="5" spans="1:1" s="49" customFormat="1" ht="23.4">
      <c r="A5" s="50"/>
    </row>
    <row r="6" spans="1:1" s="49" customFormat="1" ht="23.4">
      <c r="A6" s="50"/>
    </row>
    <row r="7" spans="1:1" s="49" customFormat="1" ht="23.4">
      <c r="A7" s="50"/>
    </row>
    <row r="8" spans="1:1" s="49" customFormat="1" ht="23.4">
      <c r="A8" s="50"/>
    </row>
    <row r="9" spans="1:1" s="49" customFormat="1" ht="23.4">
      <c r="A9" s="50"/>
    </row>
    <row r="10" spans="1:1" s="49" customFormat="1" ht="23.4">
      <c r="A10" s="50"/>
    </row>
    <row r="11" spans="1:1" s="49" customFormat="1" ht="23.4">
      <c r="A11" s="50"/>
    </row>
    <row r="12" spans="1:1" s="49" customFormat="1" ht="23.4">
      <c r="A12" s="50"/>
    </row>
    <row r="13" spans="1:1" s="49" customFormat="1" ht="23.4">
      <c r="A13" s="50"/>
    </row>
    <row r="14" spans="1:1" s="49" customFormat="1" ht="23.4">
      <c r="A14" s="50"/>
    </row>
    <row r="15" spans="1:1" s="49" customFormat="1" ht="23.4">
      <c r="A15" s="50"/>
    </row>
    <row r="16" spans="1:1" s="49" customFormat="1" ht="23.4">
      <c r="A16" s="50"/>
    </row>
    <row r="17" spans="1:5" s="49" customFormat="1" ht="23.4">
      <c r="A17" s="50"/>
    </row>
    <row r="18" spans="1:5" s="49" customFormat="1" ht="23.4">
      <c r="A18" s="50"/>
    </row>
    <row r="19" spans="1:5" s="49" customFormat="1" ht="23.4">
      <c r="A19" s="50"/>
    </row>
    <row r="20" spans="1:5" s="49" customFormat="1" ht="23.4">
      <c r="A20" s="50"/>
    </row>
    <row r="21" spans="1:5" s="49" customFormat="1" ht="23.4">
      <c r="A21" s="50"/>
    </row>
    <row r="22" spans="1:5" s="52" customFormat="1">
      <c r="A22" s="51" t="s">
        <v>0</v>
      </c>
      <c r="B22" s="51" t="s">
        <v>1</v>
      </c>
      <c r="C22" s="51" t="s">
        <v>2</v>
      </c>
      <c r="D22" s="51" t="s">
        <v>3</v>
      </c>
      <c r="E22" s="49"/>
    </row>
    <row r="23" spans="1:5">
      <c r="A23" s="53" t="s">
        <v>4</v>
      </c>
      <c r="B23" s="54" t="s">
        <v>12</v>
      </c>
      <c r="C23" s="55">
        <f>'HQ-WL'!O119</f>
        <v>1</v>
      </c>
      <c r="D23" s="56"/>
      <c r="E23" s="49"/>
    </row>
    <row r="24" spans="1:5">
      <c r="A24" s="53"/>
      <c r="B24" s="54" t="s">
        <v>13</v>
      </c>
      <c r="C24" s="55">
        <f>'HQ-WL'!P119</f>
        <v>1</v>
      </c>
      <c r="D24" s="56" t="str">
        <f>"ทั้งหมด " &amp;'HQ-WL'!K118 &amp; " ชุด"</f>
        <v>ทั้งหมด 167 ชุด</v>
      </c>
      <c r="E24" s="49"/>
    </row>
    <row r="25" spans="1:5">
      <c r="A25" s="53"/>
      <c r="B25" s="54" t="s">
        <v>14</v>
      </c>
      <c r="C25" s="55">
        <f>'HQ-WL'!Q119</f>
        <v>1</v>
      </c>
      <c r="D25" s="56"/>
      <c r="E25" s="49"/>
    </row>
    <row r="26" spans="1:5">
      <c r="A26" s="53" t="s">
        <v>7</v>
      </c>
      <c r="B26" s="54" t="s">
        <v>12</v>
      </c>
      <c r="C26" s="55">
        <f>'SVB-WL'!I81</f>
        <v>0.1303370786516854</v>
      </c>
      <c r="D26" s="56"/>
      <c r="E26" s="49"/>
    </row>
    <row r="27" spans="1:5">
      <c r="A27" s="53"/>
      <c r="B27" s="54" t="s">
        <v>13</v>
      </c>
      <c r="C27" s="307">
        <f>'SVB-WL'!J81</f>
        <v>0.39775280898876403</v>
      </c>
      <c r="D27" s="56" t="str">
        <f>"ทั้งหมด " &amp;'SVB-WL'!D80 &amp; " ชุด"</f>
        <v>ทั้งหมด 445 ชุด</v>
      </c>
      <c r="E27" s="49"/>
    </row>
    <row r="28" spans="1:5">
      <c r="A28" s="53"/>
      <c r="B28" s="54" t="s">
        <v>14</v>
      </c>
      <c r="C28" s="55">
        <f>'SVB-WL'!K81</f>
        <v>0.1303370786516854</v>
      </c>
      <c r="D28" s="56"/>
      <c r="E28" s="49"/>
    </row>
    <row r="29" spans="1:5">
      <c r="A29" s="53" t="s">
        <v>8</v>
      </c>
      <c r="B29" s="54" t="s">
        <v>12</v>
      </c>
      <c r="C29" s="55">
        <f>'HKT-WL'!H47</f>
        <v>0.86</v>
      </c>
      <c r="D29" s="56"/>
      <c r="E29" s="49"/>
    </row>
    <row r="30" spans="1:5">
      <c r="A30" s="53"/>
      <c r="B30" s="54" t="s">
        <v>13</v>
      </c>
      <c r="C30" s="55">
        <f>'HKT-WL'!I47</f>
        <v>0.86</v>
      </c>
      <c r="D30" s="56" t="str">
        <f>"ทั้งหมด " &amp;'HKT-WL'!D46 &amp; " ชุด"</f>
        <v>ทั้งหมด 50 ชุด</v>
      </c>
      <c r="E30" s="49"/>
    </row>
    <row r="31" spans="1:5">
      <c r="A31" s="53"/>
      <c r="B31" s="54" t="s">
        <v>14</v>
      </c>
      <c r="C31" s="55">
        <f>'HKT-WL'!J47</f>
        <v>0.86</v>
      </c>
      <c r="D31" s="56"/>
      <c r="E31" s="49"/>
    </row>
    <row r="32" spans="1:5">
      <c r="A32" s="53" t="s">
        <v>9</v>
      </c>
      <c r="B32" s="54" t="s">
        <v>12</v>
      </c>
      <c r="C32" s="55">
        <f>'CNX-WL'!H45</f>
        <v>1</v>
      </c>
      <c r="D32" s="56"/>
      <c r="E32" s="49"/>
    </row>
    <row r="33" spans="1:8">
      <c r="A33" s="53"/>
      <c r="B33" s="54" t="s">
        <v>13</v>
      </c>
      <c r="C33" s="55">
        <f>'CNX-WL'!I45</f>
        <v>1</v>
      </c>
      <c r="D33" s="56" t="str">
        <f>"ทั้งหมด " &amp;'CNX-WL'!D44 &amp; " ชุด"</f>
        <v>ทั้งหมด 50 ชุด</v>
      </c>
      <c r="E33" s="49"/>
    </row>
    <row r="34" spans="1:8">
      <c r="A34" s="53"/>
      <c r="B34" s="54" t="s">
        <v>14</v>
      </c>
      <c r="C34" s="55">
        <f>'CNX-WL'!J45</f>
        <v>1</v>
      </c>
      <c r="D34" s="56"/>
      <c r="E34" s="49"/>
    </row>
    <row r="35" spans="1:8">
      <c r="A35" s="53" t="s">
        <v>10</v>
      </c>
      <c r="B35" s="54" t="s">
        <v>12</v>
      </c>
      <c r="C35" s="55">
        <f>'HDY-WL'!H45</f>
        <v>0</v>
      </c>
      <c r="D35" s="56"/>
      <c r="E35" s="49"/>
    </row>
    <row r="36" spans="1:8">
      <c r="A36" s="53"/>
      <c r="B36" s="54" t="s">
        <v>13</v>
      </c>
      <c r="C36" s="55">
        <f>'HDY-WL'!I45</f>
        <v>0</v>
      </c>
      <c r="D36" s="56" t="str">
        <f>"ทั้งหมด " &amp;'HDY-WL'!D44 &amp; " ชุด"</f>
        <v>ทั้งหมด 45 ชุด</v>
      </c>
      <c r="E36" s="49"/>
    </row>
    <row r="37" spans="1:8">
      <c r="A37" s="53"/>
      <c r="B37" s="54" t="s">
        <v>14</v>
      </c>
      <c r="C37" s="55">
        <f>'HDY-WL'!J45</f>
        <v>0</v>
      </c>
      <c r="D37" s="56"/>
      <c r="E37" s="49"/>
    </row>
    <row r="38" spans="1:8">
      <c r="A38" s="53" t="s">
        <v>11</v>
      </c>
      <c r="B38" s="54" t="s">
        <v>12</v>
      </c>
      <c r="C38" s="55">
        <f>'CEI-WL'!H23</f>
        <v>0</v>
      </c>
      <c r="D38" s="56"/>
      <c r="E38" s="49"/>
    </row>
    <row r="39" spans="1:8">
      <c r="A39" s="53"/>
      <c r="B39" s="54" t="s">
        <v>13</v>
      </c>
      <c r="C39" s="55">
        <f>'CEI-WL'!I23</f>
        <v>0</v>
      </c>
      <c r="D39" s="56" t="str">
        <f>"ทั้งหมด " &amp;'CEI-WL'!D22 &amp; " ชุด"</f>
        <v>ทั้งหมด 30 ชุด</v>
      </c>
      <c r="E39" s="49"/>
    </row>
    <row r="40" spans="1:8">
      <c r="A40" s="53"/>
      <c r="B40" s="54" t="s">
        <v>14</v>
      </c>
      <c r="C40" s="55">
        <f>'CEI-WL'!J23</f>
        <v>0</v>
      </c>
      <c r="D40" s="56"/>
      <c r="E40" s="49"/>
    </row>
    <row r="41" spans="1:8">
      <c r="A41" s="58"/>
      <c r="B41" s="59"/>
      <c r="C41" s="60"/>
      <c r="F41" s="61"/>
      <c r="G41" s="49"/>
      <c r="H41" s="49"/>
    </row>
    <row r="42" spans="1:8">
      <c r="A42" s="58"/>
      <c r="B42" s="59"/>
      <c r="F42" s="61"/>
      <c r="G42" s="49"/>
      <c r="H42" s="49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FD31-2E01-4AF4-9806-0C27F692DB33}">
  <sheetPr>
    <pageSetUpPr fitToPage="1"/>
  </sheetPr>
  <dimension ref="A1:V99"/>
  <sheetViews>
    <sheetView zoomScale="60" zoomScaleNormal="60" workbookViewId="0">
      <pane ySplit="2" topLeftCell="A74" activePane="bottomLeft" state="frozen"/>
      <selection pane="bottomLeft" activeCell="D92" sqref="D92"/>
    </sheetView>
  </sheetViews>
  <sheetFormatPr defaultColWidth="120.6640625" defaultRowHeight="24" customHeight="1"/>
  <cols>
    <col min="1" max="1" width="59.109375" style="220" customWidth="1"/>
    <col min="2" max="2" width="22.44140625" style="220" customWidth="1"/>
    <col min="3" max="3" width="8.33203125" style="220" customWidth="1"/>
    <col min="4" max="4" width="67.33203125" style="220" customWidth="1"/>
    <col min="5" max="5" width="24.44140625" style="220" bestFit="1" customWidth="1"/>
    <col min="6" max="6" width="8.44140625" style="188" customWidth="1"/>
    <col min="7" max="7" width="7.6640625" style="188" bestFit="1" customWidth="1"/>
    <col min="8" max="8" width="11.33203125" style="6" hidden="1" customWidth="1"/>
    <col min="9" max="9" width="12.33203125" style="6" hidden="1" customWidth="1"/>
    <col min="10" max="10" width="15" style="6" hidden="1" customWidth="1"/>
    <col min="11" max="11" width="17.109375" style="6" hidden="1" customWidth="1"/>
    <col min="12" max="12" width="14" style="70" customWidth="1"/>
    <col min="13" max="13" width="56.44140625" style="523" customWidth="1"/>
    <col min="14" max="14" width="14.109375" style="188" bestFit="1" customWidth="1"/>
    <col min="15" max="15" width="11.88671875" style="188" bestFit="1" customWidth="1"/>
    <col min="16" max="16" width="10" style="188" bestFit="1" customWidth="1"/>
    <col min="17" max="17" width="7.88671875" style="188" bestFit="1" customWidth="1"/>
    <col min="18" max="18" width="37.109375" style="188" customWidth="1"/>
    <col min="19" max="19" width="9.6640625" style="188" bestFit="1" customWidth="1"/>
    <col min="20" max="20" width="17.6640625" style="214" customWidth="1"/>
    <col min="21" max="21" width="15.109375" style="415" customWidth="1"/>
    <col min="22" max="22" width="18" style="2" customWidth="1"/>
    <col min="23" max="16384" width="120.6640625" style="188"/>
  </cols>
  <sheetData>
    <row r="1" spans="1:22" ht="46.8">
      <c r="A1" s="1018" t="s">
        <v>15</v>
      </c>
      <c r="B1" s="1108" t="s">
        <v>16</v>
      </c>
      <c r="C1" s="1018" t="s">
        <v>17</v>
      </c>
      <c r="D1" s="1018" t="s">
        <v>18</v>
      </c>
      <c r="E1" s="1018" t="s">
        <v>19</v>
      </c>
      <c r="F1" s="1103" t="s">
        <v>20</v>
      </c>
      <c r="G1" s="1103" t="s">
        <v>21</v>
      </c>
      <c r="H1" s="1105" t="s">
        <v>22</v>
      </c>
      <c r="I1" s="1105"/>
      <c r="J1" s="1029" t="s">
        <v>23</v>
      </c>
      <c r="K1" s="1029" t="s">
        <v>24</v>
      </c>
      <c r="L1" s="1029" t="s">
        <v>3</v>
      </c>
      <c r="M1" s="1017" t="s">
        <v>25</v>
      </c>
      <c r="N1" s="1048" t="s">
        <v>26</v>
      </c>
      <c r="O1" s="1009" t="s">
        <v>27</v>
      </c>
      <c r="P1" s="1009" t="s">
        <v>28</v>
      </c>
      <c r="Q1" s="1041" t="s">
        <v>29</v>
      </c>
      <c r="R1" s="1043" t="s">
        <v>30</v>
      </c>
      <c r="S1" s="702" t="s">
        <v>31</v>
      </c>
      <c r="T1" s="525" t="s">
        <v>32</v>
      </c>
      <c r="U1" s="526" t="s">
        <v>33</v>
      </c>
      <c r="V1" s="718" t="s">
        <v>34</v>
      </c>
    </row>
    <row r="2" spans="1:22" ht="23.4">
      <c r="A2" s="1018"/>
      <c r="B2" s="1108"/>
      <c r="C2" s="1018"/>
      <c r="D2" s="1018"/>
      <c r="E2" s="1018"/>
      <c r="F2" s="1104"/>
      <c r="G2" s="1104"/>
      <c r="H2" s="885" t="s">
        <v>35</v>
      </c>
      <c r="I2" s="885" t="s">
        <v>36</v>
      </c>
      <c r="J2" s="1030"/>
      <c r="K2" s="1030"/>
      <c r="L2" s="1030"/>
      <c r="M2" s="1018"/>
      <c r="N2" s="1049"/>
      <c r="O2" s="1010"/>
      <c r="P2" s="1010"/>
      <c r="Q2" s="1042"/>
      <c r="R2" s="1044"/>
      <c r="S2" s="703"/>
      <c r="T2" s="496"/>
      <c r="U2" s="496"/>
      <c r="V2" s="724"/>
    </row>
    <row r="3" spans="1:22" s="523" customFormat="1" ht="21">
      <c r="A3" s="863" t="s">
        <v>37</v>
      </c>
      <c r="B3" s="864" t="s">
        <v>38</v>
      </c>
      <c r="C3" s="1101">
        <v>1</v>
      </c>
      <c r="D3" s="865" t="s">
        <v>39</v>
      </c>
      <c r="E3" s="866" t="s">
        <v>40</v>
      </c>
      <c r="F3" s="867">
        <v>4</v>
      </c>
      <c r="G3" s="868">
        <v>0</v>
      </c>
      <c r="H3" s="1050" t="s">
        <v>41</v>
      </c>
      <c r="I3" s="1050" t="s">
        <v>41</v>
      </c>
      <c r="J3" s="1031"/>
      <c r="K3" s="1057" t="s">
        <v>41</v>
      </c>
      <c r="L3" s="1050" t="s">
        <v>41</v>
      </c>
      <c r="M3" s="1024" t="s">
        <v>42</v>
      </c>
      <c r="N3" s="869">
        <v>0</v>
      </c>
      <c r="O3" s="869">
        <v>0</v>
      </c>
      <c r="P3" s="869">
        <v>0</v>
      </c>
      <c r="Q3" s="230">
        <f t="shared" ref="Q3:Q4" si="0">IF($G3=0,1,(N3+O3+P3)/($G3*3))</f>
        <v>1</v>
      </c>
      <c r="R3" s="486"/>
      <c r="S3" s="8" t="str">
        <f t="shared" ref="S3:S37" si="1">IF(ISNUMBER(SEARCH("Access Point",D3)),"AP",IF(OR(ISNUMBER(SEARCH("Switch",D3)),ISNUMBER(SEARCH("Control Type",D3))),"Switch","Infra"))</f>
        <v>Switch</v>
      </c>
      <c r="T3" s="870"/>
      <c r="U3" s="870"/>
      <c r="V3" s="522"/>
    </row>
    <row r="4" spans="1:22" s="523" customFormat="1" ht="21">
      <c r="A4" s="863" t="s">
        <v>37</v>
      </c>
      <c r="B4" s="864" t="s">
        <v>38</v>
      </c>
      <c r="C4" s="1102"/>
      <c r="D4" s="871" t="s">
        <v>43</v>
      </c>
      <c r="E4" s="872" t="s">
        <v>44</v>
      </c>
      <c r="F4" s="873">
        <v>1</v>
      </c>
      <c r="G4" s="868">
        <v>0</v>
      </c>
      <c r="H4" s="1052"/>
      <c r="I4" s="1052"/>
      <c r="J4" s="1032"/>
      <c r="K4" s="1058"/>
      <c r="L4" s="1051"/>
      <c r="M4" s="1025"/>
      <c r="N4" s="869">
        <v>0</v>
      </c>
      <c r="O4" s="869">
        <v>0</v>
      </c>
      <c r="P4" s="869">
        <v>0</v>
      </c>
      <c r="Q4" s="230">
        <f t="shared" si="0"/>
        <v>1</v>
      </c>
      <c r="R4" s="874"/>
      <c r="S4" s="8" t="str">
        <f t="shared" si="1"/>
        <v>Switch</v>
      </c>
      <c r="T4" s="875"/>
      <c r="U4" s="875"/>
      <c r="V4" s="522"/>
    </row>
    <row r="5" spans="1:22" ht="21" customHeight="1">
      <c r="A5" s="728" t="s">
        <v>37</v>
      </c>
      <c r="B5" s="770" t="s">
        <v>45</v>
      </c>
      <c r="C5" s="1066">
        <v>2</v>
      </c>
      <c r="D5" s="346" t="s">
        <v>46</v>
      </c>
      <c r="E5" s="452" t="s">
        <v>47</v>
      </c>
      <c r="F5" s="453">
        <v>1</v>
      </c>
      <c r="G5" s="454">
        <v>1</v>
      </c>
      <c r="H5" s="1033">
        <v>46056</v>
      </c>
      <c r="I5" s="1033">
        <v>46094</v>
      </c>
      <c r="J5" s="1033">
        <v>46056</v>
      </c>
      <c r="K5" s="1059"/>
      <c r="L5" s="897" t="s">
        <v>48</v>
      </c>
      <c r="M5" s="1014"/>
      <c r="N5" s="455">
        <v>1</v>
      </c>
      <c r="O5" s="455">
        <v>1</v>
      </c>
      <c r="P5" s="455">
        <v>0</v>
      </c>
      <c r="Q5" s="451">
        <f>IF($G5=0,1,(N5+O5+P5)/($G5*3))</f>
        <v>0.66666666666666663</v>
      </c>
      <c r="R5" s="456"/>
      <c r="S5" s="195" t="str">
        <f t="shared" si="1"/>
        <v>Infra</v>
      </c>
      <c r="T5" s="495">
        <f t="shared" ref="T5:T15" si="2">$H$5</f>
        <v>46056</v>
      </c>
      <c r="U5" s="495">
        <f>$J$5</f>
        <v>46056</v>
      </c>
      <c r="V5" s="495">
        <f>$I$5</f>
        <v>46094</v>
      </c>
    </row>
    <row r="6" spans="1:22" ht="21" customHeight="1">
      <c r="A6" s="728" t="s">
        <v>37</v>
      </c>
      <c r="B6" s="770" t="s">
        <v>45</v>
      </c>
      <c r="C6" s="1106"/>
      <c r="D6" s="346" t="s">
        <v>49</v>
      </c>
      <c r="E6" s="452" t="s">
        <v>50</v>
      </c>
      <c r="F6" s="457">
        <v>2</v>
      </c>
      <c r="G6" s="458">
        <v>2</v>
      </c>
      <c r="H6" s="1034"/>
      <c r="I6" s="1034"/>
      <c r="J6" s="1034"/>
      <c r="K6" s="1060"/>
      <c r="L6" s="937" t="s">
        <v>48</v>
      </c>
      <c r="M6" s="1015"/>
      <c r="N6" s="455">
        <v>2</v>
      </c>
      <c r="O6" s="455">
        <v>2</v>
      </c>
      <c r="P6" s="455">
        <v>2</v>
      </c>
      <c r="Q6" s="451">
        <f t="shared" ref="Q6:Q70" si="3">IF($G6=0,1,(N6+O6+P6)/($G6*3))</f>
        <v>1</v>
      </c>
      <c r="R6" s="456"/>
      <c r="S6" s="195" t="str">
        <f t="shared" si="1"/>
        <v>Switch</v>
      </c>
      <c r="T6" s="495">
        <f t="shared" si="2"/>
        <v>46056</v>
      </c>
      <c r="U6" s="495">
        <f t="shared" ref="U6:U16" si="4">$J$5</f>
        <v>46056</v>
      </c>
      <c r="V6" s="495">
        <f t="shared" ref="V6:V16" si="5">$I$5</f>
        <v>46094</v>
      </c>
    </row>
    <row r="7" spans="1:22" ht="21" customHeight="1">
      <c r="A7" s="728" t="s">
        <v>37</v>
      </c>
      <c r="B7" s="770" t="s">
        <v>45</v>
      </c>
      <c r="C7" s="1106"/>
      <c r="D7" s="359" t="s">
        <v>39</v>
      </c>
      <c r="E7" s="452" t="s">
        <v>40</v>
      </c>
      <c r="F7" s="459">
        <v>7</v>
      </c>
      <c r="G7" s="460">
        <v>6</v>
      </c>
      <c r="H7" s="1034"/>
      <c r="I7" s="1034"/>
      <c r="J7" s="1034"/>
      <c r="K7" s="1060"/>
      <c r="L7" s="897" t="s">
        <v>48</v>
      </c>
      <c r="M7" s="1015"/>
      <c r="N7" s="455">
        <v>3</v>
      </c>
      <c r="O7" s="455">
        <v>3</v>
      </c>
      <c r="P7" s="455">
        <v>3</v>
      </c>
      <c r="Q7" s="451">
        <f t="shared" si="3"/>
        <v>0.5</v>
      </c>
      <c r="R7" s="456"/>
      <c r="S7" s="195" t="str">
        <f t="shared" si="1"/>
        <v>Switch</v>
      </c>
      <c r="T7" s="495">
        <f t="shared" si="2"/>
        <v>46056</v>
      </c>
      <c r="U7" s="495">
        <f t="shared" si="4"/>
        <v>46056</v>
      </c>
      <c r="V7" s="495">
        <f t="shared" si="5"/>
        <v>46094</v>
      </c>
    </row>
    <row r="8" spans="1:22" ht="21" customHeight="1">
      <c r="A8" s="728" t="s">
        <v>37</v>
      </c>
      <c r="B8" s="770" t="s">
        <v>45</v>
      </c>
      <c r="C8" s="1107"/>
      <c r="D8" s="377" t="s">
        <v>43</v>
      </c>
      <c r="E8" s="452" t="s">
        <v>44</v>
      </c>
      <c r="F8" s="347">
        <v>1</v>
      </c>
      <c r="G8" s="347">
        <v>1</v>
      </c>
      <c r="H8" s="1034"/>
      <c r="I8" s="1034"/>
      <c r="J8" s="1034"/>
      <c r="K8" s="1060"/>
      <c r="L8" s="897" t="s">
        <v>48</v>
      </c>
      <c r="M8" s="1015"/>
      <c r="N8" s="450">
        <v>0</v>
      </c>
      <c r="O8" s="450">
        <v>0</v>
      </c>
      <c r="P8" s="450">
        <v>0</v>
      </c>
      <c r="Q8" s="451">
        <f t="shared" si="3"/>
        <v>0</v>
      </c>
      <c r="R8" s="456"/>
      <c r="S8" s="195" t="str">
        <f t="shared" si="1"/>
        <v>Switch</v>
      </c>
      <c r="T8" s="495">
        <f t="shared" si="2"/>
        <v>46056</v>
      </c>
      <c r="U8" s="495">
        <f t="shared" si="4"/>
        <v>46056</v>
      </c>
      <c r="V8" s="495">
        <f t="shared" si="5"/>
        <v>46094</v>
      </c>
    </row>
    <row r="9" spans="1:22" ht="21" customHeight="1">
      <c r="A9" s="728" t="s">
        <v>37</v>
      </c>
      <c r="B9" s="770" t="s">
        <v>45</v>
      </c>
      <c r="C9" s="1106"/>
      <c r="D9" s="360" t="s">
        <v>51</v>
      </c>
      <c r="E9" s="452" t="s">
        <v>52</v>
      </c>
      <c r="F9" s="461">
        <v>4</v>
      </c>
      <c r="G9" s="462">
        <v>4</v>
      </c>
      <c r="H9" s="1034"/>
      <c r="I9" s="1034"/>
      <c r="J9" s="1034"/>
      <c r="K9" s="1060"/>
      <c r="L9" s="897" t="s">
        <v>48</v>
      </c>
      <c r="M9" s="1015"/>
      <c r="N9" s="455">
        <v>4</v>
      </c>
      <c r="O9" s="455">
        <v>4</v>
      </c>
      <c r="P9" s="455">
        <v>4</v>
      </c>
      <c r="Q9" s="451">
        <f t="shared" si="3"/>
        <v>1</v>
      </c>
      <c r="R9" s="456"/>
      <c r="S9" s="195" t="str">
        <f t="shared" si="1"/>
        <v>Switch</v>
      </c>
      <c r="T9" s="495">
        <f t="shared" si="2"/>
        <v>46056</v>
      </c>
      <c r="U9" s="495">
        <f t="shared" si="4"/>
        <v>46056</v>
      </c>
      <c r="V9" s="495">
        <f t="shared" si="5"/>
        <v>46094</v>
      </c>
    </row>
    <row r="10" spans="1:22" ht="21" customHeight="1">
      <c r="A10" s="728" t="s">
        <v>37</v>
      </c>
      <c r="B10" s="770" t="s">
        <v>45</v>
      </c>
      <c r="C10" s="1106"/>
      <c r="D10" s="346" t="s">
        <v>53</v>
      </c>
      <c r="E10" s="452" t="s">
        <v>54</v>
      </c>
      <c r="F10" s="453">
        <v>2</v>
      </c>
      <c r="G10" s="454">
        <v>2</v>
      </c>
      <c r="H10" s="1034"/>
      <c r="I10" s="1034"/>
      <c r="J10" s="1034"/>
      <c r="K10" s="1060"/>
      <c r="L10" s="897" t="s">
        <v>48</v>
      </c>
      <c r="M10" s="1015"/>
      <c r="N10" s="455">
        <v>2</v>
      </c>
      <c r="O10" s="455">
        <v>2</v>
      </c>
      <c r="P10" s="455">
        <v>2</v>
      </c>
      <c r="Q10" s="451">
        <f t="shared" si="3"/>
        <v>1</v>
      </c>
      <c r="R10" s="456"/>
      <c r="S10" s="195" t="str">
        <f t="shared" si="1"/>
        <v>Infra</v>
      </c>
      <c r="T10" s="495">
        <f t="shared" si="2"/>
        <v>46056</v>
      </c>
      <c r="U10" s="495">
        <f t="shared" si="4"/>
        <v>46056</v>
      </c>
      <c r="V10" s="495">
        <f t="shared" si="5"/>
        <v>46094</v>
      </c>
    </row>
    <row r="11" spans="1:22" ht="21" customHeight="1">
      <c r="A11" s="728" t="s">
        <v>37</v>
      </c>
      <c r="B11" s="770" t="s">
        <v>45</v>
      </c>
      <c r="C11" s="1106"/>
      <c r="D11" s="346" t="s">
        <v>55</v>
      </c>
      <c r="E11" s="452" t="s">
        <v>56</v>
      </c>
      <c r="F11" s="453">
        <v>3</v>
      </c>
      <c r="G11" s="454">
        <v>3</v>
      </c>
      <c r="H11" s="1034"/>
      <c r="I11" s="1034"/>
      <c r="J11" s="1034"/>
      <c r="K11" s="1060"/>
      <c r="L11" s="897" t="s">
        <v>48</v>
      </c>
      <c r="M11" s="1015"/>
      <c r="N11" s="455">
        <v>3</v>
      </c>
      <c r="O11" s="455">
        <v>3</v>
      </c>
      <c r="P11" s="455">
        <v>3</v>
      </c>
      <c r="Q11" s="451">
        <f t="shared" si="3"/>
        <v>1</v>
      </c>
      <c r="R11" s="456"/>
      <c r="S11" s="195" t="str">
        <f t="shared" si="1"/>
        <v>Infra</v>
      </c>
      <c r="T11" s="495">
        <f t="shared" si="2"/>
        <v>46056</v>
      </c>
      <c r="U11" s="495">
        <f t="shared" si="4"/>
        <v>46056</v>
      </c>
      <c r="V11" s="495">
        <f t="shared" si="5"/>
        <v>46094</v>
      </c>
    </row>
    <row r="12" spans="1:22" ht="21" customHeight="1">
      <c r="A12" s="728" t="s">
        <v>37</v>
      </c>
      <c r="B12" s="770" t="s">
        <v>45</v>
      </c>
      <c r="C12" s="1106"/>
      <c r="D12" s="346" t="s">
        <v>57</v>
      </c>
      <c r="E12" s="452" t="s">
        <v>58</v>
      </c>
      <c r="F12" s="453">
        <v>2</v>
      </c>
      <c r="G12" s="454">
        <v>2</v>
      </c>
      <c r="H12" s="1034"/>
      <c r="I12" s="1034"/>
      <c r="J12" s="1034"/>
      <c r="K12" s="1060"/>
      <c r="L12" s="897" t="s">
        <v>48</v>
      </c>
      <c r="M12" s="1015"/>
      <c r="N12" s="455">
        <v>2</v>
      </c>
      <c r="O12" s="455">
        <v>2</v>
      </c>
      <c r="P12" s="455">
        <v>0</v>
      </c>
      <c r="Q12" s="451">
        <f t="shared" si="3"/>
        <v>0.66666666666666663</v>
      </c>
      <c r="R12" s="480"/>
      <c r="S12" s="195" t="str">
        <f t="shared" si="1"/>
        <v>Infra</v>
      </c>
      <c r="T12" s="495">
        <f t="shared" si="2"/>
        <v>46056</v>
      </c>
      <c r="U12" s="495">
        <f t="shared" si="4"/>
        <v>46056</v>
      </c>
      <c r="V12" s="495">
        <f t="shared" si="5"/>
        <v>46094</v>
      </c>
    </row>
    <row r="13" spans="1:22" ht="21" customHeight="1">
      <c r="A13" s="728" t="s">
        <v>37</v>
      </c>
      <c r="B13" s="770" t="s">
        <v>45</v>
      </c>
      <c r="C13" s="1106"/>
      <c r="D13" s="346" t="s">
        <v>59</v>
      </c>
      <c r="E13" s="452" t="s">
        <v>60</v>
      </c>
      <c r="F13" s="453">
        <v>2</v>
      </c>
      <c r="G13" s="454">
        <v>2</v>
      </c>
      <c r="H13" s="1034"/>
      <c r="I13" s="1034"/>
      <c r="J13" s="1034"/>
      <c r="K13" s="1060"/>
      <c r="L13" s="897" t="s">
        <v>48</v>
      </c>
      <c r="M13" s="1015"/>
      <c r="N13" s="455">
        <v>2</v>
      </c>
      <c r="O13" s="455">
        <v>2</v>
      </c>
      <c r="P13" s="455">
        <v>2</v>
      </c>
      <c r="Q13" s="451">
        <f t="shared" si="3"/>
        <v>1</v>
      </c>
      <c r="R13" s="456"/>
      <c r="S13" s="195" t="str">
        <f t="shared" si="1"/>
        <v>Infra</v>
      </c>
      <c r="T13" s="495">
        <f t="shared" si="2"/>
        <v>46056</v>
      </c>
      <c r="U13" s="495">
        <f t="shared" si="4"/>
        <v>46056</v>
      </c>
      <c r="V13" s="495">
        <f t="shared" si="5"/>
        <v>46094</v>
      </c>
    </row>
    <row r="14" spans="1:22" ht="21" customHeight="1">
      <c r="A14" s="728" t="s">
        <v>37</v>
      </c>
      <c r="B14" s="770" t="s">
        <v>45</v>
      </c>
      <c r="C14" s="1106"/>
      <c r="D14" s="346" t="s">
        <v>61</v>
      </c>
      <c r="E14" s="452" t="s">
        <v>62</v>
      </c>
      <c r="F14" s="453">
        <v>1</v>
      </c>
      <c r="G14" s="454">
        <v>1</v>
      </c>
      <c r="H14" s="1034"/>
      <c r="I14" s="1034"/>
      <c r="J14" s="1034"/>
      <c r="K14" s="1060"/>
      <c r="L14" s="897" t="s">
        <v>48</v>
      </c>
      <c r="M14" s="1015"/>
      <c r="N14" s="455">
        <v>1</v>
      </c>
      <c r="O14" s="455">
        <v>1</v>
      </c>
      <c r="P14" s="455">
        <v>1</v>
      </c>
      <c r="Q14" s="451">
        <f t="shared" si="3"/>
        <v>1</v>
      </c>
      <c r="R14" s="456"/>
      <c r="S14" s="195" t="str">
        <f t="shared" si="1"/>
        <v>Infra</v>
      </c>
      <c r="T14" s="495">
        <f t="shared" si="2"/>
        <v>46056</v>
      </c>
      <c r="U14" s="495">
        <f t="shared" si="4"/>
        <v>46056</v>
      </c>
      <c r="V14" s="495">
        <f t="shared" si="5"/>
        <v>46094</v>
      </c>
    </row>
    <row r="15" spans="1:22" ht="21" customHeight="1">
      <c r="A15" s="728" t="s">
        <v>37</v>
      </c>
      <c r="B15" s="770" t="s">
        <v>45</v>
      </c>
      <c r="C15" s="1106"/>
      <c r="D15" s="346" t="s">
        <v>63</v>
      </c>
      <c r="E15" s="452" t="s">
        <v>64</v>
      </c>
      <c r="F15" s="453">
        <v>2</v>
      </c>
      <c r="G15" s="454">
        <v>2</v>
      </c>
      <c r="H15" s="1034"/>
      <c r="I15" s="1034"/>
      <c r="J15" s="1034"/>
      <c r="K15" s="1060"/>
      <c r="L15" s="897" t="s">
        <v>48</v>
      </c>
      <c r="M15" s="1015"/>
      <c r="N15" s="455">
        <v>2</v>
      </c>
      <c r="O15" s="455">
        <v>2</v>
      </c>
      <c r="P15" s="455">
        <v>2</v>
      </c>
      <c r="Q15" s="451">
        <f t="shared" si="3"/>
        <v>1</v>
      </c>
      <c r="R15" s="463"/>
      <c r="S15" s="195" t="str">
        <f t="shared" si="1"/>
        <v>Switch</v>
      </c>
      <c r="T15" s="495">
        <f t="shared" si="2"/>
        <v>46056</v>
      </c>
      <c r="U15" s="495">
        <f t="shared" si="4"/>
        <v>46056</v>
      </c>
      <c r="V15" s="495">
        <f t="shared" si="5"/>
        <v>46094</v>
      </c>
    </row>
    <row r="16" spans="1:22" ht="21" customHeight="1">
      <c r="A16" s="728" t="s">
        <v>37</v>
      </c>
      <c r="B16" s="770" t="s">
        <v>45</v>
      </c>
      <c r="C16" s="1067"/>
      <c r="D16" s="346" t="s">
        <v>65</v>
      </c>
      <c r="E16" s="452" t="s">
        <v>66</v>
      </c>
      <c r="F16" s="457">
        <v>2</v>
      </c>
      <c r="G16" s="458">
        <v>2</v>
      </c>
      <c r="H16" s="1035"/>
      <c r="I16" s="1035"/>
      <c r="J16" s="1035"/>
      <c r="K16" s="1061"/>
      <c r="L16" s="897" t="s">
        <v>48</v>
      </c>
      <c r="M16" s="1026"/>
      <c r="N16" s="455">
        <v>2</v>
      </c>
      <c r="O16" s="455">
        <v>2</v>
      </c>
      <c r="P16" s="455">
        <v>2</v>
      </c>
      <c r="Q16" s="451">
        <f t="shared" si="3"/>
        <v>1</v>
      </c>
      <c r="R16" s="193"/>
      <c r="S16" s="195" t="str">
        <f t="shared" si="1"/>
        <v>Switch</v>
      </c>
      <c r="T16" s="495">
        <f>$H$5</f>
        <v>46056</v>
      </c>
      <c r="U16" s="495">
        <f t="shared" si="4"/>
        <v>46056</v>
      </c>
      <c r="V16" s="495">
        <f t="shared" si="5"/>
        <v>46094</v>
      </c>
    </row>
    <row r="17" spans="1:22" ht="21" customHeight="1">
      <c r="A17" s="728" t="s">
        <v>37</v>
      </c>
      <c r="B17" s="732" t="s">
        <v>67</v>
      </c>
      <c r="C17" s="1066">
        <v>1</v>
      </c>
      <c r="D17" s="886" t="s">
        <v>39</v>
      </c>
      <c r="E17" s="464" t="s">
        <v>40</v>
      </c>
      <c r="F17" s="347">
        <v>6</v>
      </c>
      <c r="G17" s="347">
        <v>5</v>
      </c>
      <c r="H17" s="1036">
        <v>46064</v>
      </c>
      <c r="I17" s="1036">
        <v>46065</v>
      </c>
      <c r="J17" s="1036">
        <v>46064</v>
      </c>
      <c r="K17" s="1091">
        <v>46064</v>
      </c>
      <c r="L17" s="1052" t="s">
        <v>68</v>
      </c>
      <c r="M17" s="1086" t="s">
        <v>69</v>
      </c>
      <c r="N17" s="455">
        <v>5</v>
      </c>
      <c r="O17" s="455">
        <v>5</v>
      </c>
      <c r="P17" s="455">
        <v>5</v>
      </c>
      <c r="Q17" s="451">
        <f t="shared" si="3"/>
        <v>1</v>
      </c>
      <c r="R17" s="195"/>
      <c r="S17" s="195" t="str">
        <f t="shared" si="1"/>
        <v>Switch</v>
      </c>
      <c r="T17" s="495">
        <f>$H$17</f>
        <v>46064</v>
      </c>
      <c r="U17" s="495">
        <f>$J$17</f>
        <v>46064</v>
      </c>
      <c r="V17" s="495">
        <f>$I$17</f>
        <v>46065</v>
      </c>
    </row>
    <row r="18" spans="1:22" ht="21" customHeight="1">
      <c r="A18" s="728" t="s">
        <v>37</v>
      </c>
      <c r="B18" s="732" t="s">
        <v>67</v>
      </c>
      <c r="C18" s="1067"/>
      <c r="D18" s="886" t="s">
        <v>43</v>
      </c>
      <c r="E18" s="465" t="s">
        <v>44</v>
      </c>
      <c r="F18" s="347">
        <v>5</v>
      </c>
      <c r="G18" s="347">
        <v>5</v>
      </c>
      <c r="H18" s="1036"/>
      <c r="I18" s="1036"/>
      <c r="J18" s="1036"/>
      <c r="K18" s="1092"/>
      <c r="L18" s="1053"/>
      <c r="M18" s="1086"/>
      <c r="N18" s="455">
        <v>5</v>
      </c>
      <c r="O18" s="455">
        <v>5</v>
      </c>
      <c r="P18" s="455">
        <v>5</v>
      </c>
      <c r="Q18" s="451">
        <f t="shared" si="3"/>
        <v>1</v>
      </c>
      <c r="R18" s="195"/>
      <c r="S18" s="195" t="str">
        <f t="shared" si="1"/>
        <v>Switch</v>
      </c>
      <c r="T18" s="495">
        <f>$H$17</f>
        <v>46064</v>
      </c>
      <c r="U18" s="495">
        <f>$J$17</f>
        <v>46064</v>
      </c>
      <c r="V18" s="495">
        <f>$I$17</f>
        <v>46065</v>
      </c>
    </row>
    <row r="19" spans="1:22" ht="21" customHeight="1">
      <c r="A19" s="728" t="s">
        <v>37</v>
      </c>
      <c r="B19" s="789" t="s">
        <v>70</v>
      </c>
      <c r="C19" s="1087">
        <v>2</v>
      </c>
      <c r="D19" s="361" t="s">
        <v>39</v>
      </c>
      <c r="E19" s="466" t="s">
        <v>40</v>
      </c>
      <c r="F19" s="347">
        <v>3</v>
      </c>
      <c r="G19" s="467">
        <v>3</v>
      </c>
      <c r="H19" s="1036">
        <v>46056</v>
      </c>
      <c r="I19" s="1036">
        <v>46057</v>
      </c>
      <c r="J19" s="1036">
        <v>46056</v>
      </c>
      <c r="K19" s="1091">
        <v>46060</v>
      </c>
      <c r="L19" s="1054" t="s">
        <v>68</v>
      </c>
      <c r="M19" s="1089" t="s">
        <v>71</v>
      </c>
      <c r="N19" s="455">
        <v>3</v>
      </c>
      <c r="O19" s="455">
        <v>3</v>
      </c>
      <c r="P19" s="455">
        <v>3</v>
      </c>
      <c r="Q19" s="451">
        <f t="shared" si="3"/>
        <v>1</v>
      </c>
      <c r="R19" s="195"/>
      <c r="S19" s="195" t="str">
        <f t="shared" si="1"/>
        <v>Switch</v>
      </c>
      <c r="T19" s="495">
        <f>$H$19</f>
        <v>46056</v>
      </c>
      <c r="U19" s="495">
        <f>$J$19</f>
        <v>46056</v>
      </c>
      <c r="V19" s="495">
        <f>$I$19</f>
        <v>46057</v>
      </c>
    </row>
    <row r="20" spans="1:22" ht="21" customHeight="1">
      <c r="A20" s="728" t="s">
        <v>37</v>
      </c>
      <c r="B20" s="771" t="s">
        <v>70</v>
      </c>
      <c r="C20" s="1088"/>
      <c r="D20" s="362" t="s">
        <v>43</v>
      </c>
      <c r="E20" s="468" t="s">
        <v>44</v>
      </c>
      <c r="F20" s="459">
        <v>3</v>
      </c>
      <c r="G20" s="512">
        <v>3</v>
      </c>
      <c r="H20" s="1037"/>
      <c r="I20" s="1037"/>
      <c r="J20" s="1037"/>
      <c r="K20" s="1091"/>
      <c r="L20" s="1054"/>
      <c r="M20" s="1090"/>
      <c r="N20" s="455">
        <v>3</v>
      </c>
      <c r="O20" s="455">
        <v>3</v>
      </c>
      <c r="P20" s="455">
        <v>3</v>
      </c>
      <c r="Q20" s="451">
        <f t="shared" si="3"/>
        <v>1</v>
      </c>
      <c r="R20" s="195"/>
      <c r="S20" s="195" t="str">
        <f t="shared" si="1"/>
        <v>Switch</v>
      </c>
      <c r="T20" s="495">
        <f>$H$19</f>
        <v>46056</v>
      </c>
      <c r="U20" s="495">
        <f>$J$19</f>
        <v>46056</v>
      </c>
      <c r="V20" s="495">
        <f>$I$19</f>
        <v>46057</v>
      </c>
    </row>
    <row r="21" spans="1:22" ht="21" customHeight="1">
      <c r="A21" s="728" t="s">
        <v>37</v>
      </c>
      <c r="B21" s="770" t="s">
        <v>72</v>
      </c>
      <c r="C21" s="1066">
        <v>3</v>
      </c>
      <c r="D21" s="357" t="s">
        <v>39</v>
      </c>
      <c r="E21" s="510" t="s">
        <v>40</v>
      </c>
      <c r="F21" s="454">
        <v>1</v>
      </c>
      <c r="G21" s="454">
        <v>1</v>
      </c>
      <c r="H21" s="1016">
        <v>46071</v>
      </c>
      <c r="I21" s="1016">
        <v>46073</v>
      </c>
      <c r="J21" s="1016">
        <v>46071</v>
      </c>
      <c r="K21" s="1016">
        <v>46071</v>
      </c>
      <c r="L21" s="1021" t="s">
        <v>68</v>
      </c>
      <c r="M21" s="1014"/>
      <c r="N21" s="455">
        <v>1</v>
      </c>
      <c r="O21" s="455">
        <v>1</v>
      </c>
      <c r="P21" s="455">
        <v>1</v>
      </c>
      <c r="Q21" s="451">
        <f t="shared" si="3"/>
        <v>1</v>
      </c>
      <c r="R21" s="195"/>
      <c r="S21" s="195" t="str">
        <f t="shared" si="1"/>
        <v>Switch</v>
      </c>
      <c r="T21" s="495">
        <f>$H$21</f>
        <v>46071</v>
      </c>
      <c r="U21" s="495">
        <f>$J$21</f>
        <v>46071</v>
      </c>
      <c r="V21" s="495">
        <f>$I$21</f>
        <v>46073</v>
      </c>
    </row>
    <row r="22" spans="1:22" ht="21" customHeight="1">
      <c r="A22" s="728" t="s">
        <v>37</v>
      </c>
      <c r="B22" s="770" t="s">
        <v>72</v>
      </c>
      <c r="C22" s="1067"/>
      <c r="D22" s="358" t="s">
        <v>43</v>
      </c>
      <c r="E22" s="511" t="s">
        <v>44</v>
      </c>
      <c r="F22" s="454">
        <v>4</v>
      </c>
      <c r="G22" s="454">
        <v>4</v>
      </c>
      <c r="H22" s="1016"/>
      <c r="I22" s="1016"/>
      <c r="J22" s="1016"/>
      <c r="K22" s="1016"/>
      <c r="L22" s="1021"/>
      <c r="M22" s="1015"/>
      <c r="N22" s="922">
        <v>4</v>
      </c>
      <c r="O22" s="922">
        <v>4</v>
      </c>
      <c r="P22" s="922">
        <v>4</v>
      </c>
      <c r="Q22" s="451">
        <f t="shared" si="3"/>
        <v>1</v>
      </c>
      <c r="R22" s="195"/>
      <c r="S22" s="195" t="str">
        <f t="shared" si="1"/>
        <v>Switch</v>
      </c>
      <c r="T22" s="495">
        <f>$H$21</f>
        <v>46071</v>
      </c>
      <c r="U22" s="495">
        <f>$J$21</f>
        <v>46071</v>
      </c>
      <c r="V22" s="495">
        <f>$I$21</f>
        <v>46073</v>
      </c>
    </row>
    <row r="23" spans="1:22" ht="21" customHeight="1">
      <c r="A23" s="728" t="s">
        <v>37</v>
      </c>
      <c r="B23" s="770" t="s">
        <v>73</v>
      </c>
      <c r="C23" s="1099">
        <v>4</v>
      </c>
      <c r="D23" s="357" t="s">
        <v>39</v>
      </c>
      <c r="E23" s="510" t="s">
        <v>40</v>
      </c>
      <c r="F23" s="454">
        <v>0</v>
      </c>
      <c r="G23" s="454">
        <v>1</v>
      </c>
      <c r="H23" s="1019">
        <v>46073</v>
      </c>
      <c r="I23" s="1019">
        <v>46074</v>
      </c>
      <c r="J23" s="1019">
        <v>46073</v>
      </c>
      <c r="K23" s="1019">
        <v>46073</v>
      </c>
      <c r="L23" s="1021" t="s">
        <v>68</v>
      </c>
      <c r="M23" s="1022" t="s">
        <v>74</v>
      </c>
      <c r="N23" s="455">
        <v>1</v>
      </c>
      <c r="O23" s="455">
        <v>1</v>
      </c>
      <c r="P23" s="455">
        <v>1</v>
      </c>
      <c r="Q23" s="451">
        <f t="shared" si="3"/>
        <v>1</v>
      </c>
      <c r="R23" s="516"/>
      <c r="S23" s="195" t="str">
        <f t="shared" si="1"/>
        <v>Switch</v>
      </c>
      <c r="T23" s="495">
        <f>$H$23</f>
        <v>46073</v>
      </c>
      <c r="U23" s="495">
        <f>$J$23</f>
        <v>46073</v>
      </c>
      <c r="V23" s="495">
        <f>$I$23</f>
        <v>46074</v>
      </c>
    </row>
    <row r="24" spans="1:22" ht="41.25" customHeight="1">
      <c r="A24" s="728" t="s">
        <v>37</v>
      </c>
      <c r="B24" s="770" t="s">
        <v>73</v>
      </c>
      <c r="C24" s="1100"/>
      <c r="D24" s="357" t="s">
        <v>43</v>
      </c>
      <c r="E24" s="465" t="s">
        <v>44</v>
      </c>
      <c r="F24" s="513">
        <v>2</v>
      </c>
      <c r="G24" s="514">
        <v>3</v>
      </c>
      <c r="H24" s="1020"/>
      <c r="I24" s="1020"/>
      <c r="J24" s="1020"/>
      <c r="K24" s="1020"/>
      <c r="L24" s="1021"/>
      <c r="M24" s="1023"/>
      <c r="N24" s="455">
        <v>3</v>
      </c>
      <c r="O24" s="455">
        <v>3</v>
      </c>
      <c r="P24" s="455">
        <v>3</v>
      </c>
      <c r="Q24" s="515">
        <f t="shared" si="3"/>
        <v>1</v>
      </c>
      <c r="R24" s="516"/>
      <c r="S24" s="195" t="str">
        <f t="shared" si="1"/>
        <v>Switch</v>
      </c>
      <c r="T24" s="495">
        <f>$H$23</f>
        <v>46073</v>
      </c>
      <c r="U24" s="495">
        <f>$J$23</f>
        <v>46073</v>
      </c>
      <c r="V24" s="495">
        <f>$I$23</f>
        <v>46074</v>
      </c>
    </row>
    <row r="25" spans="1:22" s="523" customFormat="1" ht="42">
      <c r="A25" s="730" t="s">
        <v>75</v>
      </c>
      <c r="B25" s="593" t="s">
        <v>76</v>
      </c>
      <c r="C25" s="589">
        <v>1</v>
      </c>
      <c r="D25" s="594" t="s">
        <v>77</v>
      </c>
      <c r="E25" s="517" t="s">
        <v>64</v>
      </c>
      <c r="F25" s="518">
        <v>2</v>
      </c>
      <c r="G25" s="378">
        <v>2</v>
      </c>
      <c r="H25" s="888">
        <v>46076</v>
      </c>
      <c r="I25" s="888">
        <v>46075</v>
      </c>
      <c r="J25" s="888">
        <v>46076</v>
      </c>
      <c r="K25" s="887">
        <v>46076</v>
      </c>
      <c r="L25" s="896" t="s">
        <v>68</v>
      </c>
      <c r="M25" s="519" t="s">
        <v>78</v>
      </c>
      <c r="N25" s="520">
        <v>2</v>
      </c>
      <c r="O25" s="520">
        <v>2</v>
      </c>
      <c r="P25" s="520">
        <v>2</v>
      </c>
      <c r="Q25" s="521">
        <f t="shared" si="3"/>
        <v>1</v>
      </c>
      <c r="R25" s="8"/>
      <c r="S25" s="195" t="str">
        <f t="shared" si="1"/>
        <v>Switch</v>
      </c>
      <c r="T25" s="522">
        <f>$H$25</f>
        <v>46076</v>
      </c>
      <c r="U25" s="522">
        <f>$J$25</f>
        <v>46076</v>
      </c>
      <c r="V25" s="495">
        <f>$I$25</f>
        <v>46075</v>
      </c>
    </row>
    <row r="26" spans="1:22" ht="21" customHeight="1">
      <c r="A26" s="730" t="s">
        <v>75</v>
      </c>
      <c r="B26" s="782" t="s">
        <v>79</v>
      </c>
      <c r="C26" s="1109">
        <v>5</v>
      </c>
      <c r="D26" s="573" t="s">
        <v>39</v>
      </c>
      <c r="E26" s="464" t="s">
        <v>40</v>
      </c>
      <c r="F26" s="459">
        <v>6</v>
      </c>
      <c r="G26" s="347">
        <v>6</v>
      </c>
      <c r="H26" s="1036">
        <v>46090</v>
      </c>
      <c r="I26" s="1036">
        <v>46092</v>
      </c>
      <c r="J26" s="639">
        <v>46094</v>
      </c>
      <c r="K26" s="639">
        <v>46094</v>
      </c>
      <c r="L26" s="640" t="s">
        <v>68</v>
      </c>
      <c r="M26" s="1014"/>
      <c r="N26" s="455">
        <v>6</v>
      </c>
      <c r="O26" s="455">
        <v>6</v>
      </c>
      <c r="P26" s="455">
        <v>6</v>
      </c>
      <c r="Q26" s="451">
        <f t="shared" si="3"/>
        <v>1</v>
      </c>
      <c r="R26" s="195"/>
      <c r="S26" s="195" t="str">
        <f t="shared" si="1"/>
        <v>Switch</v>
      </c>
      <c r="T26" s="495">
        <f>$H$26</f>
        <v>46090</v>
      </c>
      <c r="U26" s="495">
        <f>$J$26</f>
        <v>46094</v>
      </c>
      <c r="V26" s="495">
        <f>$I$26</f>
        <v>46092</v>
      </c>
    </row>
    <row r="27" spans="1:22" ht="21" customHeight="1">
      <c r="A27" s="730" t="s">
        <v>75</v>
      </c>
      <c r="B27" s="782" t="s">
        <v>79</v>
      </c>
      <c r="C27" s="1110"/>
      <c r="D27" s="574" t="s">
        <v>43</v>
      </c>
      <c r="E27" s="465" t="s">
        <v>44</v>
      </c>
      <c r="F27" s="459">
        <v>1</v>
      </c>
      <c r="G27" s="347">
        <v>1</v>
      </c>
      <c r="H27" s="1036"/>
      <c r="I27" s="1036"/>
      <c r="J27" s="639">
        <v>46090</v>
      </c>
      <c r="K27" s="894">
        <v>46092</v>
      </c>
      <c r="L27" s="640" t="s">
        <v>68</v>
      </c>
      <c r="M27" s="1026"/>
      <c r="N27" s="455">
        <v>1</v>
      </c>
      <c r="O27" s="455">
        <v>1</v>
      </c>
      <c r="P27" s="455">
        <v>1</v>
      </c>
      <c r="Q27" s="451">
        <f t="shared" si="3"/>
        <v>1</v>
      </c>
      <c r="R27" s="195"/>
      <c r="S27" s="195" t="str">
        <f t="shared" si="1"/>
        <v>Switch</v>
      </c>
      <c r="T27" s="495">
        <f>$H$26</f>
        <v>46090</v>
      </c>
      <c r="U27" s="495">
        <f>$J$26</f>
        <v>46094</v>
      </c>
      <c r="V27" s="495">
        <f>$I$26</f>
        <v>46092</v>
      </c>
    </row>
    <row r="28" spans="1:22" ht="21" customHeight="1">
      <c r="A28" s="730" t="s">
        <v>75</v>
      </c>
      <c r="B28" s="783" t="s">
        <v>80</v>
      </c>
      <c r="C28" s="1080">
        <v>2</v>
      </c>
      <c r="D28" s="554" t="s">
        <v>39</v>
      </c>
      <c r="E28" s="464" t="s">
        <v>40</v>
      </c>
      <c r="F28" s="459">
        <v>5</v>
      </c>
      <c r="G28" s="347">
        <v>5</v>
      </c>
      <c r="H28" s="1011">
        <v>46078</v>
      </c>
      <c r="I28" s="1011">
        <v>46081</v>
      </c>
      <c r="J28" s="1011">
        <v>46078</v>
      </c>
      <c r="K28" s="1011">
        <v>46085</v>
      </c>
      <c r="L28" s="1012" t="s">
        <v>68</v>
      </c>
      <c r="M28" s="1024"/>
      <c r="N28" s="455">
        <v>5</v>
      </c>
      <c r="O28" s="455">
        <v>5</v>
      </c>
      <c r="P28" s="455">
        <v>5</v>
      </c>
      <c r="Q28" s="451">
        <f t="shared" si="3"/>
        <v>1</v>
      </c>
      <c r="R28" s="195"/>
      <c r="S28" s="195" t="str">
        <f t="shared" si="1"/>
        <v>Switch</v>
      </c>
      <c r="T28" s="495">
        <f>$H$28</f>
        <v>46078</v>
      </c>
      <c r="U28" s="495">
        <f>$J$28</f>
        <v>46078</v>
      </c>
      <c r="V28" s="495">
        <f>$I$28</f>
        <v>46081</v>
      </c>
    </row>
    <row r="29" spans="1:22" ht="21" customHeight="1">
      <c r="A29" s="730" t="s">
        <v>75</v>
      </c>
      <c r="B29" s="783" t="s">
        <v>80</v>
      </c>
      <c r="C29" s="1081"/>
      <c r="D29" s="555" t="s">
        <v>43</v>
      </c>
      <c r="E29" s="465" t="s">
        <v>44</v>
      </c>
      <c r="F29" s="459">
        <v>1</v>
      </c>
      <c r="G29" s="347">
        <v>1</v>
      </c>
      <c r="H29" s="1038"/>
      <c r="I29" s="1038"/>
      <c r="J29" s="1038"/>
      <c r="K29" s="1011"/>
      <c r="L29" s="1013"/>
      <c r="M29" s="1025"/>
      <c r="N29" s="455">
        <v>1</v>
      </c>
      <c r="O29" s="455">
        <v>1</v>
      </c>
      <c r="P29" s="455">
        <v>1</v>
      </c>
      <c r="Q29" s="451">
        <f t="shared" si="3"/>
        <v>1</v>
      </c>
      <c r="R29" s="195"/>
      <c r="S29" s="195" t="str">
        <f t="shared" si="1"/>
        <v>Switch</v>
      </c>
      <c r="T29" s="495">
        <f>$H$28</f>
        <v>46078</v>
      </c>
      <c r="U29" s="495">
        <f>$J$28</f>
        <v>46078</v>
      </c>
      <c r="V29" s="495">
        <f>$I$28</f>
        <v>46081</v>
      </c>
    </row>
    <row r="30" spans="1:22" ht="21" customHeight="1">
      <c r="A30" s="730" t="s">
        <v>75</v>
      </c>
      <c r="B30" s="784" t="s">
        <v>81</v>
      </c>
      <c r="C30" s="1111">
        <v>4</v>
      </c>
      <c r="D30" s="566" t="s">
        <v>39</v>
      </c>
      <c r="E30" s="464" t="s">
        <v>40</v>
      </c>
      <c r="F30" s="459">
        <v>5</v>
      </c>
      <c r="G30" s="347">
        <v>5</v>
      </c>
      <c r="H30" s="1011">
        <v>46083</v>
      </c>
      <c r="I30" s="1011">
        <v>46086</v>
      </c>
      <c r="J30" s="1039">
        <v>46087</v>
      </c>
      <c r="K30" s="889">
        <v>46087</v>
      </c>
      <c r="L30" s="1055" t="s">
        <v>68</v>
      </c>
      <c r="M30" s="1027" t="s">
        <v>82</v>
      </c>
      <c r="N30" s="455">
        <v>5</v>
      </c>
      <c r="O30" s="455">
        <v>5</v>
      </c>
      <c r="P30" s="455">
        <v>5</v>
      </c>
      <c r="Q30" s="451">
        <f t="shared" si="3"/>
        <v>1</v>
      </c>
      <c r="R30" s="195"/>
      <c r="S30" s="195" t="str">
        <f t="shared" si="1"/>
        <v>Switch</v>
      </c>
      <c r="T30" s="495">
        <f>$H$30</f>
        <v>46083</v>
      </c>
      <c r="U30" s="495">
        <f>$J$30</f>
        <v>46087</v>
      </c>
      <c r="V30" s="495">
        <f>$I$30</f>
        <v>46086</v>
      </c>
    </row>
    <row r="31" spans="1:22" ht="21" customHeight="1">
      <c r="A31" s="730" t="s">
        <v>75</v>
      </c>
      <c r="B31" s="784" t="s">
        <v>81</v>
      </c>
      <c r="C31" s="1112"/>
      <c r="D31" s="567" t="s">
        <v>43</v>
      </c>
      <c r="E31" s="465" t="s">
        <v>44</v>
      </c>
      <c r="F31" s="459">
        <v>1</v>
      </c>
      <c r="G31" s="347">
        <v>2</v>
      </c>
      <c r="H31" s="1038"/>
      <c r="I31" s="1038"/>
      <c r="J31" s="1040"/>
      <c r="K31" s="889">
        <v>46087</v>
      </c>
      <c r="L31" s="1056"/>
      <c r="M31" s="1028"/>
      <c r="N31" s="455">
        <v>2</v>
      </c>
      <c r="O31" s="455">
        <v>2</v>
      </c>
      <c r="P31" s="455">
        <v>2</v>
      </c>
      <c r="Q31" s="451">
        <f t="shared" si="3"/>
        <v>1</v>
      </c>
      <c r="R31" s="195"/>
      <c r="S31" s="195" t="str">
        <f t="shared" si="1"/>
        <v>Switch</v>
      </c>
      <c r="T31" s="495">
        <f>$H$30</f>
        <v>46083</v>
      </c>
      <c r="U31" s="495">
        <f>$J$30</f>
        <v>46087</v>
      </c>
      <c r="V31" s="495">
        <f>$I$30</f>
        <v>46086</v>
      </c>
    </row>
    <row r="32" spans="1:22" ht="21" customHeight="1">
      <c r="A32" s="730" t="s">
        <v>75</v>
      </c>
      <c r="B32" s="785" t="s">
        <v>83</v>
      </c>
      <c r="C32" s="1076">
        <v>1</v>
      </c>
      <c r="D32" s="586" t="s">
        <v>39</v>
      </c>
      <c r="E32" s="464" t="s">
        <v>40</v>
      </c>
      <c r="F32" s="459">
        <v>4</v>
      </c>
      <c r="G32" s="347">
        <v>4</v>
      </c>
      <c r="H32" s="1011">
        <v>46076</v>
      </c>
      <c r="I32" s="1011">
        <v>46079</v>
      </c>
      <c r="J32" s="1011">
        <v>46076</v>
      </c>
      <c r="K32" s="1011">
        <v>46080</v>
      </c>
      <c r="L32" s="1012" t="s">
        <v>68</v>
      </c>
      <c r="M32" s="1027"/>
      <c r="N32" s="455">
        <v>4</v>
      </c>
      <c r="O32" s="455">
        <v>4</v>
      </c>
      <c r="P32" s="455">
        <v>4</v>
      </c>
      <c r="Q32" s="451">
        <f t="shared" si="3"/>
        <v>1</v>
      </c>
      <c r="R32" s="195"/>
      <c r="S32" s="195" t="str">
        <f t="shared" si="1"/>
        <v>Switch</v>
      </c>
      <c r="T32" s="495">
        <f>$H$32</f>
        <v>46076</v>
      </c>
      <c r="U32" s="495">
        <f>$J$32</f>
        <v>46076</v>
      </c>
      <c r="V32" s="495">
        <f>$I$32</f>
        <v>46079</v>
      </c>
    </row>
    <row r="33" spans="1:22" ht="21" customHeight="1">
      <c r="A33" s="730" t="s">
        <v>75</v>
      </c>
      <c r="B33" s="785" t="s">
        <v>83</v>
      </c>
      <c r="C33" s="1077"/>
      <c r="D33" s="587" t="s">
        <v>43</v>
      </c>
      <c r="E33" s="465" t="s">
        <v>44</v>
      </c>
      <c r="F33" s="459">
        <v>1</v>
      </c>
      <c r="G33" s="347">
        <v>1</v>
      </c>
      <c r="H33" s="1038"/>
      <c r="I33" s="1038"/>
      <c r="J33" s="1038"/>
      <c r="K33" s="1011"/>
      <c r="L33" s="1013"/>
      <c r="M33" s="1028"/>
      <c r="N33" s="455">
        <v>1</v>
      </c>
      <c r="O33" s="455">
        <v>1</v>
      </c>
      <c r="P33" s="455">
        <v>1</v>
      </c>
      <c r="Q33" s="451">
        <f t="shared" si="3"/>
        <v>1</v>
      </c>
      <c r="R33" s="195"/>
      <c r="S33" s="195" t="str">
        <f t="shared" si="1"/>
        <v>Switch</v>
      </c>
      <c r="T33" s="495">
        <f>$H$32</f>
        <v>46076</v>
      </c>
      <c r="U33" s="495">
        <f>$J$32</f>
        <v>46076</v>
      </c>
      <c r="V33" s="495">
        <f>$I$32</f>
        <v>46079</v>
      </c>
    </row>
    <row r="34" spans="1:22" ht="21" customHeight="1">
      <c r="A34" s="730" t="s">
        <v>75</v>
      </c>
      <c r="B34" s="786" t="s">
        <v>84</v>
      </c>
      <c r="C34" s="1093">
        <v>3</v>
      </c>
      <c r="D34" s="580" t="s">
        <v>39</v>
      </c>
      <c r="E34" s="464" t="s">
        <v>40</v>
      </c>
      <c r="F34" s="459">
        <v>4</v>
      </c>
      <c r="G34" s="347">
        <v>5</v>
      </c>
      <c r="H34" s="1011">
        <v>46080</v>
      </c>
      <c r="I34" s="1011">
        <v>46083</v>
      </c>
      <c r="J34" s="1039">
        <v>46080</v>
      </c>
      <c r="K34" s="1095">
        <v>46087</v>
      </c>
      <c r="L34" s="1055" t="s">
        <v>68</v>
      </c>
      <c r="M34" s="1027" t="s">
        <v>85</v>
      </c>
      <c r="N34" s="455">
        <v>5</v>
      </c>
      <c r="O34" s="455">
        <v>5</v>
      </c>
      <c r="P34" s="455">
        <v>5</v>
      </c>
      <c r="Q34" s="451">
        <f t="shared" si="3"/>
        <v>1</v>
      </c>
      <c r="R34" s="195"/>
      <c r="S34" s="195" t="str">
        <f t="shared" si="1"/>
        <v>Switch</v>
      </c>
      <c r="T34" s="495">
        <f>$H$34</f>
        <v>46080</v>
      </c>
      <c r="U34" s="495">
        <f>$J$34</f>
        <v>46080</v>
      </c>
      <c r="V34" s="495">
        <f>$I$34</f>
        <v>46083</v>
      </c>
    </row>
    <row r="35" spans="1:22" ht="21" customHeight="1">
      <c r="A35" s="730" t="s">
        <v>75</v>
      </c>
      <c r="B35" s="786" t="s">
        <v>84</v>
      </c>
      <c r="C35" s="1094"/>
      <c r="D35" s="581" t="s">
        <v>43</v>
      </c>
      <c r="E35" s="465" t="s">
        <v>44</v>
      </c>
      <c r="F35" s="459">
        <v>1</v>
      </c>
      <c r="G35" s="347">
        <v>1</v>
      </c>
      <c r="H35" s="1011"/>
      <c r="I35" s="1038"/>
      <c r="J35" s="1039"/>
      <c r="K35" s="1095"/>
      <c r="L35" s="1056"/>
      <c r="M35" s="1028"/>
      <c r="N35" s="455">
        <v>1</v>
      </c>
      <c r="O35" s="455">
        <v>1</v>
      </c>
      <c r="P35" s="455">
        <v>1</v>
      </c>
      <c r="Q35" s="451">
        <f t="shared" si="3"/>
        <v>1</v>
      </c>
      <c r="R35" s="195"/>
      <c r="S35" s="195" t="str">
        <f t="shared" si="1"/>
        <v>Switch</v>
      </c>
      <c r="T35" s="495">
        <f>$H$34</f>
        <v>46080</v>
      </c>
      <c r="U35" s="495">
        <f>$J$34</f>
        <v>46080</v>
      </c>
      <c r="V35" s="495">
        <f>$I$34</f>
        <v>46083</v>
      </c>
    </row>
    <row r="36" spans="1:22" ht="21" customHeight="1">
      <c r="A36" s="730" t="s">
        <v>75</v>
      </c>
      <c r="B36" s="556" t="s">
        <v>80</v>
      </c>
      <c r="C36" s="557">
        <v>2</v>
      </c>
      <c r="D36" s="554" t="s">
        <v>39</v>
      </c>
      <c r="E36" s="464" t="s">
        <v>40</v>
      </c>
      <c r="F36" s="459">
        <v>3</v>
      </c>
      <c r="G36" s="483">
        <v>4</v>
      </c>
      <c r="H36" s="889">
        <v>46078</v>
      </c>
      <c r="I36" s="491">
        <v>46081</v>
      </c>
      <c r="J36" s="889">
        <v>46078</v>
      </c>
      <c r="K36" s="889">
        <v>46087</v>
      </c>
      <c r="L36" s="489" t="s">
        <v>68</v>
      </c>
      <c r="M36" s="607" t="s">
        <v>86</v>
      </c>
      <c r="N36" s="455">
        <v>4</v>
      </c>
      <c r="O36" s="455">
        <v>4</v>
      </c>
      <c r="P36" s="455">
        <v>4</v>
      </c>
      <c r="Q36" s="451">
        <f t="shared" si="3"/>
        <v>1</v>
      </c>
      <c r="R36" s="195"/>
      <c r="S36" s="195" t="str">
        <f t="shared" si="1"/>
        <v>Switch</v>
      </c>
      <c r="T36" s="495">
        <f>$H$36</f>
        <v>46078</v>
      </c>
      <c r="U36" s="495">
        <f>$J$36</f>
        <v>46078</v>
      </c>
      <c r="V36" s="495">
        <f>$I$36</f>
        <v>46081</v>
      </c>
    </row>
    <row r="37" spans="1:22" ht="21" customHeight="1">
      <c r="A37" s="730" t="s">
        <v>75</v>
      </c>
      <c r="B37" s="786" t="s">
        <v>84</v>
      </c>
      <c r="C37" s="1093">
        <v>3</v>
      </c>
      <c r="D37" s="580" t="s">
        <v>39</v>
      </c>
      <c r="E37" s="464" t="s">
        <v>40</v>
      </c>
      <c r="F37" s="459">
        <v>3</v>
      </c>
      <c r="G37" s="483">
        <v>3</v>
      </c>
      <c r="H37" s="1016">
        <v>46080</v>
      </c>
      <c r="I37" s="1097">
        <v>46083</v>
      </c>
      <c r="J37" s="1096">
        <v>46080</v>
      </c>
      <c r="K37" s="1095">
        <v>46087</v>
      </c>
      <c r="L37" s="1055" t="s">
        <v>68</v>
      </c>
      <c r="M37" s="1027" t="s">
        <v>87</v>
      </c>
      <c r="N37" s="455">
        <v>3</v>
      </c>
      <c r="O37" s="455">
        <v>3</v>
      </c>
      <c r="P37" s="455">
        <v>3</v>
      </c>
      <c r="Q37" s="451">
        <f t="shared" si="3"/>
        <v>1</v>
      </c>
      <c r="R37" s="195"/>
      <c r="S37" s="195" t="str">
        <f t="shared" si="1"/>
        <v>Switch</v>
      </c>
      <c r="T37" s="495">
        <f>$H$37</f>
        <v>46080</v>
      </c>
      <c r="U37" s="495">
        <f>$J$37</f>
        <v>46080</v>
      </c>
      <c r="V37" s="495">
        <f>$I$37</f>
        <v>46083</v>
      </c>
    </row>
    <row r="38" spans="1:22" ht="21" customHeight="1">
      <c r="A38" s="730" t="s">
        <v>75</v>
      </c>
      <c r="B38" s="786" t="s">
        <v>84</v>
      </c>
      <c r="C38" s="1094"/>
      <c r="D38" s="581" t="s">
        <v>43</v>
      </c>
      <c r="E38" s="465" t="s">
        <v>44</v>
      </c>
      <c r="F38" s="459">
        <v>1</v>
      </c>
      <c r="G38" s="483">
        <v>1</v>
      </c>
      <c r="H38" s="1016"/>
      <c r="I38" s="1098"/>
      <c r="J38" s="1096"/>
      <c r="K38" s="1095"/>
      <c r="L38" s="1056"/>
      <c r="M38" s="1028"/>
      <c r="N38" s="455">
        <v>1</v>
      </c>
      <c r="O38" s="455">
        <v>1</v>
      </c>
      <c r="P38" s="455">
        <v>1</v>
      </c>
      <c r="Q38" s="451">
        <f t="shared" si="3"/>
        <v>1</v>
      </c>
      <c r="R38" s="195"/>
      <c r="S38" s="195" t="str">
        <f>IF(ISNUMBER(SEARCH("Access Point",D38)),"AP",IF(OR(ISNUMBER(SEARCH("Switch",D38)),ISNUMBER(SEARCH("Control Type",D38))),"Switch","Infra"))</f>
        <v>Switch</v>
      </c>
      <c r="T38" s="495">
        <f>$H$37</f>
        <v>46080</v>
      </c>
      <c r="U38" s="495">
        <f>$J$37</f>
        <v>46080</v>
      </c>
      <c r="V38" s="495">
        <f>$I$39</f>
        <v>46092</v>
      </c>
    </row>
    <row r="39" spans="1:22" ht="21" customHeight="1">
      <c r="A39" s="730" t="s">
        <v>75</v>
      </c>
      <c r="B39" s="575" t="s">
        <v>79</v>
      </c>
      <c r="C39" s="576">
        <v>5</v>
      </c>
      <c r="D39" s="573" t="s">
        <v>39</v>
      </c>
      <c r="E39" s="464" t="s">
        <v>40</v>
      </c>
      <c r="F39" s="459">
        <v>3</v>
      </c>
      <c r="G39" s="347">
        <v>3</v>
      </c>
      <c r="H39" s="881">
        <v>46090</v>
      </c>
      <c r="I39" s="881">
        <v>46092</v>
      </c>
      <c r="J39" s="894">
        <v>46090</v>
      </c>
      <c r="K39" s="894">
        <v>46092</v>
      </c>
      <c r="L39" s="489" t="s">
        <v>68</v>
      </c>
      <c r="M39" s="469" t="s">
        <v>88</v>
      </c>
      <c r="N39" s="455">
        <v>3</v>
      </c>
      <c r="O39" s="455">
        <v>3</v>
      </c>
      <c r="P39" s="455">
        <v>3</v>
      </c>
      <c r="Q39" s="451">
        <f t="shared" si="3"/>
        <v>1</v>
      </c>
      <c r="R39" s="195"/>
      <c r="S39" s="195" t="str">
        <f t="shared" ref="S39:S89" si="6">IF(ISNUMBER(SEARCH("Access Point",D39)),"AP",IF(OR(ISNUMBER(SEARCH("Switch",D39)),ISNUMBER(SEARCH("Control Type",D39))),"Switch","Infra"))</f>
        <v>Switch</v>
      </c>
      <c r="T39" s="495">
        <f>$H$39</f>
        <v>46090</v>
      </c>
      <c r="U39" s="495">
        <f>$J$39</f>
        <v>46090</v>
      </c>
      <c r="V39" s="495">
        <f>$I$40</f>
        <v>46098</v>
      </c>
    </row>
    <row r="40" spans="1:22" ht="21" customHeight="1">
      <c r="A40" s="730" t="s">
        <v>75</v>
      </c>
      <c r="B40" s="787" t="s">
        <v>89</v>
      </c>
      <c r="C40" s="1078">
        <v>6</v>
      </c>
      <c r="D40" s="622" t="s">
        <v>39</v>
      </c>
      <c r="E40" s="464" t="s">
        <v>40</v>
      </c>
      <c r="F40" s="459">
        <v>2</v>
      </c>
      <c r="G40" s="483">
        <v>3</v>
      </c>
      <c r="H40" s="889">
        <v>46097</v>
      </c>
      <c r="I40" s="889">
        <v>46098</v>
      </c>
      <c r="J40" s="891">
        <v>46097</v>
      </c>
      <c r="K40" s="891">
        <v>46098</v>
      </c>
      <c r="L40" s="893" t="s">
        <v>68</v>
      </c>
      <c r="M40" s="1027"/>
      <c r="N40" s="455">
        <v>3</v>
      </c>
      <c r="O40" s="455">
        <v>3</v>
      </c>
      <c r="P40" s="455">
        <v>3</v>
      </c>
      <c r="Q40" s="451">
        <f t="shared" si="3"/>
        <v>1</v>
      </c>
      <c r="R40" s="195"/>
      <c r="S40" s="195" t="str">
        <f t="shared" si="6"/>
        <v>Switch</v>
      </c>
      <c r="T40" s="495">
        <f>$H$40</f>
        <v>46097</v>
      </c>
      <c r="U40" s="495">
        <f>$J$40</f>
        <v>46097</v>
      </c>
      <c r="V40" s="495">
        <f>$I$41</f>
        <v>46098</v>
      </c>
    </row>
    <row r="41" spans="1:22" ht="21" customHeight="1">
      <c r="A41" s="730" t="s">
        <v>75</v>
      </c>
      <c r="B41" s="787" t="s">
        <v>89</v>
      </c>
      <c r="C41" s="1079"/>
      <c r="D41" s="623" t="s">
        <v>43</v>
      </c>
      <c r="E41" s="465" t="s">
        <v>44</v>
      </c>
      <c r="F41" s="459">
        <v>1</v>
      </c>
      <c r="G41" s="483">
        <v>1</v>
      </c>
      <c r="H41" s="889">
        <v>46097</v>
      </c>
      <c r="I41" s="889">
        <v>46098</v>
      </c>
      <c r="J41" s="644">
        <v>46094</v>
      </c>
      <c r="K41" s="644">
        <v>46094</v>
      </c>
      <c r="L41" s="640" t="s">
        <v>68</v>
      </c>
      <c r="M41" s="1026"/>
      <c r="N41" s="455">
        <v>1</v>
      </c>
      <c r="O41" s="455">
        <v>1</v>
      </c>
      <c r="P41" s="455">
        <v>1</v>
      </c>
      <c r="Q41" s="451">
        <f t="shared" si="3"/>
        <v>1</v>
      </c>
      <c r="R41" s="195"/>
      <c r="S41" s="195" t="str">
        <f t="shared" si="6"/>
        <v>Switch</v>
      </c>
      <c r="T41" s="495">
        <f>$H$40</f>
        <v>46097</v>
      </c>
      <c r="U41" s="495">
        <f>$J$41</f>
        <v>46094</v>
      </c>
      <c r="V41" s="495">
        <f>$I$41</f>
        <v>46098</v>
      </c>
    </row>
    <row r="42" spans="1:22" ht="21" customHeight="1">
      <c r="A42" s="730" t="s">
        <v>75</v>
      </c>
      <c r="B42" s="588" t="s">
        <v>83</v>
      </c>
      <c r="C42" s="589">
        <v>1</v>
      </c>
      <c r="D42" s="590" t="s">
        <v>39</v>
      </c>
      <c r="E42" s="464" t="s">
        <v>40</v>
      </c>
      <c r="F42" s="459">
        <v>2</v>
      </c>
      <c r="G42" s="347">
        <v>2</v>
      </c>
      <c r="H42" s="894">
        <v>46076</v>
      </c>
      <c r="I42" s="891">
        <v>46079</v>
      </c>
      <c r="J42" s="894">
        <v>46076</v>
      </c>
      <c r="K42" s="585">
        <v>46078</v>
      </c>
      <c r="L42" s="890" t="s">
        <v>68</v>
      </c>
      <c r="M42" s="469" t="s">
        <v>90</v>
      </c>
      <c r="N42" s="455">
        <v>2</v>
      </c>
      <c r="O42" s="455">
        <v>2</v>
      </c>
      <c r="P42" s="455">
        <v>2</v>
      </c>
      <c r="Q42" s="451">
        <f t="shared" si="3"/>
        <v>1</v>
      </c>
      <c r="R42" s="195"/>
      <c r="S42" s="195" t="str">
        <f t="shared" si="6"/>
        <v>Switch</v>
      </c>
      <c r="T42" s="495">
        <f>$H$42</f>
        <v>46076</v>
      </c>
      <c r="U42" s="495">
        <f>$J$42</f>
        <v>46076</v>
      </c>
      <c r="V42" s="495">
        <f>$I$42</f>
        <v>46079</v>
      </c>
    </row>
    <row r="43" spans="1:22" ht="21" customHeight="1">
      <c r="A43" s="730" t="s">
        <v>75</v>
      </c>
      <c r="B43" s="568" t="s">
        <v>81</v>
      </c>
      <c r="C43" s="569">
        <v>4</v>
      </c>
      <c r="D43" s="570" t="s">
        <v>39</v>
      </c>
      <c r="E43" s="464" t="s">
        <v>40</v>
      </c>
      <c r="F43" s="459">
        <v>2</v>
      </c>
      <c r="G43" s="347">
        <v>1</v>
      </c>
      <c r="H43" s="894">
        <v>46083</v>
      </c>
      <c r="I43" s="492">
        <v>46086</v>
      </c>
      <c r="J43" s="894">
        <v>46087</v>
      </c>
      <c r="K43" s="894">
        <v>46087</v>
      </c>
      <c r="L43" s="595" t="s">
        <v>68</v>
      </c>
      <c r="M43" s="469" t="s">
        <v>91</v>
      </c>
      <c r="N43" s="455">
        <v>1</v>
      </c>
      <c r="O43" s="455">
        <v>1</v>
      </c>
      <c r="P43" s="455">
        <v>1</v>
      </c>
      <c r="Q43" s="451">
        <f t="shared" si="3"/>
        <v>1</v>
      </c>
      <c r="R43" s="195"/>
      <c r="S43" s="195" t="str">
        <f t="shared" si="6"/>
        <v>Switch</v>
      </c>
      <c r="T43" s="495">
        <f>$H$43</f>
        <v>46083</v>
      </c>
      <c r="U43" s="495">
        <f>$J$43</f>
        <v>46087</v>
      </c>
      <c r="V43" s="495">
        <f>$I$43</f>
        <v>46086</v>
      </c>
    </row>
    <row r="44" spans="1:22" ht="21" customHeight="1">
      <c r="A44" s="730" t="s">
        <v>75</v>
      </c>
      <c r="B44" s="788" t="s">
        <v>92</v>
      </c>
      <c r="C44" s="1084">
        <v>7</v>
      </c>
      <c r="D44" s="627" t="s">
        <v>39</v>
      </c>
      <c r="E44" s="464" t="s">
        <v>40</v>
      </c>
      <c r="F44" s="459">
        <v>1</v>
      </c>
      <c r="G44" s="347">
        <v>1</v>
      </c>
      <c r="H44" s="1011">
        <v>46097</v>
      </c>
      <c r="I44" s="1011">
        <v>46098</v>
      </c>
      <c r="J44" s="1011">
        <v>46100</v>
      </c>
      <c r="K44" s="1011">
        <v>46101</v>
      </c>
      <c r="L44" s="1012" t="s">
        <v>68</v>
      </c>
      <c r="M44" s="1027"/>
      <c r="N44" s="455">
        <v>1</v>
      </c>
      <c r="O44" s="455">
        <v>1</v>
      </c>
      <c r="P44" s="455">
        <v>1</v>
      </c>
      <c r="Q44" s="451">
        <f t="shared" si="3"/>
        <v>1</v>
      </c>
      <c r="R44" s="195"/>
      <c r="S44" s="195" t="str">
        <f t="shared" si="6"/>
        <v>Switch</v>
      </c>
      <c r="T44" s="495">
        <f>$H$44</f>
        <v>46097</v>
      </c>
      <c r="U44" s="495">
        <f>$J$44</f>
        <v>46100</v>
      </c>
      <c r="V44" s="495">
        <f>$I$44</f>
        <v>46098</v>
      </c>
    </row>
    <row r="45" spans="1:22" ht="21" customHeight="1">
      <c r="A45" s="730" t="s">
        <v>75</v>
      </c>
      <c r="B45" s="788" t="s">
        <v>92</v>
      </c>
      <c r="C45" s="1085"/>
      <c r="D45" s="628" t="s">
        <v>43</v>
      </c>
      <c r="E45" s="465" t="s">
        <v>44</v>
      </c>
      <c r="F45" s="459">
        <v>2</v>
      </c>
      <c r="G45" s="347">
        <v>2</v>
      </c>
      <c r="H45" s="1038"/>
      <c r="I45" s="1038"/>
      <c r="J45" s="1038"/>
      <c r="K45" s="1038"/>
      <c r="L45" s="1013"/>
      <c r="M45" s="1028"/>
      <c r="N45" s="455">
        <v>2</v>
      </c>
      <c r="O45" s="455">
        <v>2</v>
      </c>
      <c r="P45" s="455">
        <v>2</v>
      </c>
      <c r="Q45" s="451">
        <f t="shared" si="3"/>
        <v>1</v>
      </c>
      <c r="R45" s="195"/>
      <c r="S45" s="195" t="str">
        <f t="shared" si="6"/>
        <v>Switch</v>
      </c>
      <c r="T45" s="495">
        <f>$H$44</f>
        <v>46097</v>
      </c>
      <c r="U45" s="495">
        <f>$J$44</f>
        <v>46100</v>
      </c>
      <c r="V45" s="495">
        <f>$I$44</f>
        <v>46098</v>
      </c>
    </row>
    <row r="46" spans="1:22" ht="21" customHeight="1">
      <c r="A46" s="730" t="s">
        <v>75</v>
      </c>
      <c r="B46" s="783" t="s">
        <v>93</v>
      </c>
      <c r="C46" s="1080">
        <v>2</v>
      </c>
      <c r="D46" s="554" t="s">
        <v>39</v>
      </c>
      <c r="E46" s="464" t="s">
        <v>40</v>
      </c>
      <c r="F46" s="459">
        <v>2</v>
      </c>
      <c r="G46" s="609">
        <v>0</v>
      </c>
      <c r="H46" s="1011">
        <v>46078</v>
      </c>
      <c r="I46" s="1011">
        <v>46081</v>
      </c>
      <c r="J46" s="1011">
        <v>46078</v>
      </c>
      <c r="K46" s="1011">
        <v>46080</v>
      </c>
      <c r="L46" s="1012" t="s">
        <v>68</v>
      </c>
      <c r="M46" s="1082" t="s">
        <v>94</v>
      </c>
      <c r="N46" s="455">
        <v>0</v>
      </c>
      <c r="O46" s="455">
        <v>0</v>
      </c>
      <c r="P46" s="455">
        <v>0</v>
      </c>
      <c r="Q46" s="451">
        <f t="shared" si="3"/>
        <v>1</v>
      </c>
      <c r="R46" s="195"/>
      <c r="S46" s="195" t="str">
        <f t="shared" si="6"/>
        <v>Switch</v>
      </c>
      <c r="T46" s="495">
        <f>$H$46</f>
        <v>46078</v>
      </c>
      <c r="U46" s="495">
        <f>$J$46</f>
        <v>46078</v>
      </c>
      <c r="V46" s="495">
        <f>$I$46</f>
        <v>46081</v>
      </c>
    </row>
    <row r="47" spans="1:22" ht="21" customHeight="1">
      <c r="A47" s="730" t="s">
        <v>75</v>
      </c>
      <c r="B47" s="783" t="s">
        <v>93</v>
      </c>
      <c r="C47" s="1081"/>
      <c r="D47" s="558" t="s">
        <v>43</v>
      </c>
      <c r="E47" s="465" t="s">
        <v>44</v>
      </c>
      <c r="F47" s="470">
        <v>3</v>
      </c>
      <c r="G47" s="347">
        <v>4</v>
      </c>
      <c r="H47" s="1038"/>
      <c r="I47" s="1038"/>
      <c r="J47" s="1038"/>
      <c r="K47" s="1038"/>
      <c r="L47" s="1013"/>
      <c r="M47" s="1083"/>
      <c r="N47" s="618">
        <v>4</v>
      </c>
      <c r="O47" s="618">
        <v>4</v>
      </c>
      <c r="P47" s="618">
        <v>4</v>
      </c>
      <c r="Q47" s="451">
        <f t="shared" si="3"/>
        <v>1</v>
      </c>
      <c r="R47" s="904"/>
      <c r="S47" s="195" t="str">
        <f t="shared" si="6"/>
        <v>Switch</v>
      </c>
      <c r="T47" s="495">
        <f>$H$46</f>
        <v>46078</v>
      </c>
      <c r="U47" s="495">
        <f>$J$46</f>
        <v>46078</v>
      </c>
      <c r="V47" s="495">
        <f>$I$46</f>
        <v>46081</v>
      </c>
    </row>
    <row r="48" spans="1:22" ht="21" customHeight="1">
      <c r="A48" s="730" t="s">
        <v>75</v>
      </c>
      <c r="B48" s="785" t="s">
        <v>95</v>
      </c>
      <c r="C48" s="1076">
        <v>1</v>
      </c>
      <c r="D48" s="586" t="s">
        <v>39</v>
      </c>
      <c r="E48" s="464" t="s">
        <v>40</v>
      </c>
      <c r="F48" s="459">
        <v>1</v>
      </c>
      <c r="G48" s="347">
        <v>1</v>
      </c>
      <c r="H48" s="1011">
        <v>46076</v>
      </c>
      <c r="I48" s="1011">
        <v>46079</v>
      </c>
      <c r="J48" s="1011">
        <v>46076</v>
      </c>
      <c r="K48" s="1074">
        <v>46078</v>
      </c>
      <c r="L48" s="1012" t="s">
        <v>68</v>
      </c>
      <c r="M48" s="1027"/>
      <c r="N48" s="455">
        <v>1</v>
      </c>
      <c r="O48" s="455">
        <v>1</v>
      </c>
      <c r="P48" s="455">
        <v>1</v>
      </c>
      <c r="Q48" s="451">
        <f t="shared" si="3"/>
        <v>1</v>
      </c>
      <c r="R48" s="195"/>
      <c r="S48" s="195" t="str">
        <f t="shared" si="6"/>
        <v>Switch</v>
      </c>
      <c r="T48" s="495">
        <f>$H$48</f>
        <v>46076</v>
      </c>
      <c r="U48" s="495">
        <f>$J$48</f>
        <v>46076</v>
      </c>
      <c r="V48" s="495">
        <f>$I$48</f>
        <v>46079</v>
      </c>
    </row>
    <row r="49" spans="1:22" ht="21" customHeight="1">
      <c r="A49" s="730" t="s">
        <v>75</v>
      </c>
      <c r="B49" s="785" t="s">
        <v>95</v>
      </c>
      <c r="C49" s="1077"/>
      <c r="D49" s="591" t="s">
        <v>43</v>
      </c>
      <c r="E49" s="465" t="s">
        <v>44</v>
      </c>
      <c r="F49" s="470">
        <v>2</v>
      </c>
      <c r="G49" s="347">
        <v>2</v>
      </c>
      <c r="H49" s="1038"/>
      <c r="I49" s="1038"/>
      <c r="J49" s="1038"/>
      <c r="K49" s="1075"/>
      <c r="L49" s="1013"/>
      <c r="M49" s="1028"/>
      <c r="N49" s="455">
        <v>2</v>
      </c>
      <c r="O49" s="455">
        <v>2</v>
      </c>
      <c r="P49" s="455">
        <v>2</v>
      </c>
      <c r="Q49" s="451">
        <f t="shared" si="3"/>
        <v>1</v>
      </c>
      <c r="R49" s="195"/>
      <c r="S49" s="195" t="str">
        <f t="shared" si="6"/>
        <v>Switch</v>
      </c>
      <c r="T49" s="495">
        <f>$H$48</f>
        <v>46076</v>
      </c>
      <c r="U49" s="495">
        <f>$J$48</f>
        <v>46076</v>
      </c>
      <c r="V49" s="495">
        <f>$I$48</f>
        <v>46079</v>
      </c>
    </row>
    <row r="50" spans="1:22" ht="42" customHeight="1">
      <c r="A50" s="730" t="s">
        <v>75</v>
      </c>
      <c r="B50" s="577" t="s">
        <v>96</v>
      </c>
      <c r="C50" s="578">
        <v>5</v>
      </c>
      <c r="D50" s="579" t="s">
        <v>43</v>
      </c>
      <c r="E50" s="465" t="s">
        <v>44</v>
      </c>
      <c r="F50" s="563">
        <v>9</v>
      </c>
      <c r="G50" s="347">
        <v>8</v>
      </c>
      <c r="H50" s="894">
        <v>46092</v>
      </c>
      <c r="I50" s="894">
        <v>46094</v>
      </c>
      <c r="J50" s="894">
        <v>46092</v>
      </c>
      <c r="K50" s="894">
        <v>46092</v>
      </c>
      <c r="L50" s="489" t="s">
        <v>68</v>
      </c>
      <c r="M50" s="469" t="s">
        <v>97</v>
      </c>
      <c r="N50" s="455">
        <v>8</v>
      </c>
      <c r="O50" s="455">
        <v>8</v>
      </c>
      <c r="P50" s="455">
        <v>8</v>
      </c>
      <c r="Q50" s="637">
        <f t="shared" si="3"/>
        <v>1</v>
      </c>
      <c r="R50" s="195"/>
      <c r="S50" s="195" t="str">
        <f t="shared" si="6"/>
        <v>Switch</v>
      </c>
      <c r="T50" s="495">
        <f>$H$50</f>
        <v>46092</v>
      </c>
      <c r="U50" s="495">
        <f>$J$50</f>
        <v>46092</v>
      </c>
      <c r="V50" s="495">
        <f>$I$50</f>
        <v>46094</v>
      </c>
    </row>
    <row r="51" spans="1:22" ht="21" customHeight="1">
      <c r="A51" s="730" t="s">
        <v>75</v>
      </c>
      <c r="B51" s="559" t="s">
        <v>98</v>
      </c>
      <c r="C51" s="560">
        <v>2</v>
      </c>
      <c r="D51" s="561" t="s">
        <v>43</v>
      </c>
      <c r="E51" s="562" t="s">
        <v>44</v>
      </c>
      <c r="F51" s="629">
        <v>6</v>
      </c>
      <c r="G51" s="564">
        <v>5</v>
      </c>
      <c r="H51" s="882">
        <v>46078</v>
      </c>
      <c r="I51" s="892">
        <v>46081</v>
      </c>
      <c r="J51" s="894">
        <v>46078</v>
      </c>
      <c r="K51" s="894">
        <v>46080</v>
      </c>
      <c r="L51" s="489" t="s">
        <v>68</v>
      </c>
      <c r="M51" s="608" t="s">
        <v>99</v>
      </c>
      <c r="N51" s="618">
        <v>5</v>
      </c>
      <c r="O51" s="618">
        <v>5</v>
      </c>
      <c r="P51" s="618">
        <v>5</v>
      </c>
      <c r="Q51" s="638">
        <f t="shared" si="3"/>
        <v>1</v>
      </c>
      <c r="R51" s="195"/>
      <c r="S51" s="195" t="str">
        <f t="shared" si="6"/>
        <v>Switch</v>
      </c>
      <c r="T51" s="495">
        <f>$H$51</f>
        <v>46078</v>
      </c>
      <c r="U51" s="495">
        <f>$J$51</f>
        <v>46078</v>
      </c>
      <c r="V51" s="495">
        <f>$I51</f>
        <v>46081</v>
      </c>
    </row>
    <row r="52" spans="1:22" ht="21" customHeight="1">
      <c r="A52" s="730" t="s">
        <v>75</v>
      </c>
      <c r="B52" s="582" t="s">
        <v>100</v>
      </c>
      <c r="C52" s="583">
        <v>3</v>
      </c>
      <c r="D52" s="584" t="s">
        <v>43</v>
      </c>
      <c r="E52" s="465" t="s">
        <v>44</v>
      </c>
      <c r="F52" s="563">
        <v>6</v>
      </c>
      <c r="G52" s="564">
        <v>6</v>
      </c>
      <c r="H52" s="894">
        <v>46080</v>
      </c>
      <c r="I52" s="491">
        <v>46083</v>
      </c>
      <c r="J52" s="894">
        <v>46080</v>
      </c>
      <c r="K52" s="553">
        <v>46084</v>
      </c>
      <c r="L52" s="489" t="s">
        <v>68</v>
      </c>
      <c r="M52" s="469"/>
      <c r="N52" s="455">
        <v>6</v>
      </c>
      <c r="O52" s="455">
        <v>6</v>
      </c>
      <c r="P52" s="455">
        <v>6</v>
      </c>
      <c r="Q52" s="451">
        <f t="shared" si="3"/>
        <v>1</v>
      </c>
      <c r="R52" s="195"/>
      <c r="S52" s="195" t="str">
        <f t="shared" si="6"/>
        <v>Switch</v>
      </c>
      <c r="T52" s="495">
        <f>$H$52</f>
        <v>46080</v>
      </c>
      <c r="U52" s="495">
        <f>$J$52</f>
        <v>46080</v>
      </c>
      <c r="V52" s="495">
        <f t="shared" ref="V52:V57" si="7">$I52</f>
        <v>46083</v>
      </c>
    </row>
    <row r="53" spans="1:22" ht="21" customHeight="1">
      <c r="A53" s="730" t="s">
        <v>75</v>
      </c>
      <c r="B53" s="568" t="s">
        <v>101</v>
      </c>
      <c r="C53" s="571">
        <v>4</v>
      </c>
      <c r="D53" s="572" t="s">
        <v>43</v>
      </c>
      <c r="E53" s="465" t="s">
        <v>44</v>
      </c>
      <c r="F53" s="563">
        <v>6</v>
      </c>
      <c r="G53" s="347">
        <v>6</v>
      </c>
      <c r="H53" s="894">
        <v>46083</v>
      </c>
      <c r="I53" s="492">
        <v>46086</v>
      </c>
      <c r="J53" s="894">
        <v>46085</v>
      </c>
      <c r="K53" s="894">
        <v>46085</v>
      </c>
      <c r="L53" s="489" t="s">
        <v>68</v>
      </c>
      <c r="M53" s="469"/>
      <c r="N53" s="455">
        <v>6</v>
      </c>
      <c r="O53" s="455">
        <v>6</v>
      </c>
      <c r="P53" s="455">
        <v>6</v>
      </c>
      <c r="Q53" s="451">
        <f t="shared" si="3"/>
        <v>1</v>
      </c>
      <c r="R53" s="195"/>
      <c r="S53" s="195" t="str">
        <f t="shared" si="6"/>
        <v>Switch</v>
      </c>
      <c r="T53" s="495">
        <f>$H$53</f>
        <v>46083</v>
      </c>
      <c r="U53" s="495">
        <f>$J$53</f>
        <v>46085</v>
      </c>
      <c r="V53" s="495">
        <f t="shared" si="7"/>
        <v>46086</v>
      </c>
    </row>
    <row r="54" spans="1:22" ht="21" customHeight="1">
      <c r="A54" s="730" t="s">
        <v>75</v>
      </c>
      <c r="B54" s="588" t="s">
        <v>102</v>
      </c>
      <c r="C54" s="589">
        <v>1</v>
      </c>
      <c r="D54" s="592" t="s">
        <v>43</v>
      </c>
      <c r="E54" s="465" t="s">
        <v>44</v>
      </c>
      <c r="F54" s="513">
        <v>3</v>
      </c>
      <c r="G54" s="347">
        <v>3</v>
      </c>
      <c r="H54" s="894">
        <v>46076</v>
      </c>
      <c r="I54" s="491">
        <v>46079</v>
      </c>
      <c r="J54" s="894">
        <v>46076</v>
      </c>
      <c r="K54" s="553">
        <v>46078</v>
      </c>
      <c r="L54" s="489" t="s">
        <v>68</v>
      </c>
      <c r="M54" s="469" t="s">
        <v>103</v>
      </c>
      <c r="N54" s="455">
        <v>3</v>
      </c>
      <c r="O54" s="455">
        <v>3</v>
      </c>
      <c r="P54" s="455">
        <v>3</v>
      </c>
      <c r="Q54" s="451">
        <f t="shared" si="3"/>
        <v>1</v>
      </c>
      <c r="R54" s="195"/>
      <c r="S54" s="195" t="str">
        <f t="shared" si="6"/>
        <v>Switch</v>
      </c>
      <c r="T54" s="495">
        <f>$H$54</f>
        <v>46076</v>
      </c>
      <c r="U54" s="495">
        <f>$J$54</f>
        <v>46076</v>
      </c>
      <c r="V54" s="495">
        <f t="shared" si="7"/>
        <v>46079</v>
      </c>
    </row>
    <row r="55" spans="1:22" ht="21" customHeight="1">
      <c r="A55" s="730" t="s">
        <v>75</v>
      </c>
      <c r="B55" s="619" t="s">
        <v>104</v>
      </c>
      <c r="C55" s="620">
        <v>6</v>
      </c>
      <c r="D55" s="621" t="s">
        <v>43</v>
      </c>
      <c r="E55" s="465" t="s">
        <v>44</v>
      </c>
      <c r="F55" s="563">
        <v>2</v>
      </c>
      <c r="G55" s="347">
        <v>2</v>
      </c>
      <c r="H55" s="894">
        <v>46097</v>
      </c>
      <c r="I55" s="894">
        <v>46098</v>
      </c>
      <c r="J55" s="894">
        <v>46097</v>
      </c>
      <c r="K55" s="894">
        <v>46098</v>
      </c>
      <c r="L55" s="489" t="s">
        <v>68</v>
      </c>
      <c r="M55" s="469"/>
      <c r="N55" s="455">
        <v>2</v>
      </c>
      <c r="O55" s="455">
        <v>2</v>
      </c>
      <c r="P55" s="455">
        <v>2</v>
      </c>
      <c r="Q55" s="451">
        <f t="shared" si="3"/>
        <v>1</v>
      </c>
      <c r="R55" s="195"/>
      <c r="S55" s="195" t="str">
        <f t="shared" si="6"/>
        <v>Switch</v>
      </c>
      <c r="T55" s="495">
        <f>$H$55</f>
        <v>46097</v>
      </c>
      <c r="U55" s="495">
        <f>$J$55</f>
        <v>46097</v>
      </c>
      <c r="V55" s="495">
        <f t="shared" si="7"/>
        <v>46098</v>
      </c>
    </row>
    <row r="56" spans="1:22" ht="21" customHeight="1">
      <c r="A56" s="730" t="s">
        <v>75</v>
      </c>
      <c r="B56" s="624" t="s">
        <v>92</v>
      </c>
      <c r="C56" s="625">
        <v>7</v>
      </c>
      <c r="D56" s="626" t="s">
        <v>43</v>
      </c>
      <c r="E56" s="465" t="s">
        <v>44</v>
      </c>
      <c r="F56" s="513">
        <v>2</v>
      </c>
      <c r="G56" s="347">
        <v>2</v>
      </c>
      <c r="H56" s="894">
        <v>46097</v>
      </c>
      <c r="I56" s="894">
        <v>46098</v>
      </c>
      <c r="J56" s="894">
        <v>46100</v>
      </c>
      <c r="K56" s="894">
        <v>46101</v>
      </c>
      <c r="L56" s="489" t="s">
        <v>68</v>
      </c>
      <c r="M56" s="469" t="s">
        <v>105</v>
      </c>
      <c r="N56" s="455">
        <v>2</v>
      </c>
      <c r="O56" s="455">
        <v>2</v>
      </c>
      <c r="P56" s="455">
        <v>2</v>
      </c>
      <c r="Q56" s="451">
        <f t="shared" si="3"/>
        <v>1</v>
      </c>
      <c r="R56" s="195"/>
      <c r="S56" s="195" t="str">
        <f t="shared" si="6"/>
        <v>Switch</v>
      </c>
      <c r="T56" s="495">
        <f>$H$56</f>
        <v>46097</v>
      </c>
      <c r="U56" s="495">
        <f>$J$56</f>
        <v>46100</v>
      </c>
      <c r="V56" s="495">
        <f t="shared" si="7"/>
        <v>46098</v>
      </c>
    </row>
    <row r="57" spans="1:22" ht="21" customHeight="1">
      <c r="A57" s="730" t="s">
        <v>75</v>
      </c>
      <c r="B57" s="582" t="s">
        <v>106</v>
      </c>
      <c r="C57" s="583">
        <v>3</v>
      </c>
      <c r="D57" s="584" t="s">
        <v>43</v>
      </c>
      <c r="E57" s="465" t="s">
        <v>44</v>
      </c>
      <c r="F57" s="563">
        <v>1</v>
      </c>
      <c r="G57" s="564">
        <v>1</v>
      </c>
      <c r="H57" s="894">
        <v>46080</v>
      </c>
      <c r="I57" s="491">
        <v>46083</v>
      </c>
      <c r="J57" s="894">
        <v>46080</v>
      </c>
      <c r="K57" s="553">
        <v>46084</v>
      </c>
      <c r="L57" s="489" t="s">
        <v>68</v>
      </c>
      <c r="M57" s="469"/>
      <c r="N57" s="455">
        <v>1</v>
      </c>
      <c r="O57" s="455">
        <v>1</v>
      </c>
      <c r="P57" s="455">
        <v>1</v>
      </c>
      <c r="Q57" s="451">
        <f t="shared" si="3"/>
        <v>1</v>
      </c>
      <c r="R57" s="195"/>
      <c r="S57" s="195" t="str">
        <f t="shared" si="6"/>
        <v>Switch</v>
      </c>
      <c r="T57" s="495">
        <f>$H$57</f>
        <v>46080</v>
      </c>
      <c r="U57" s="495">
        <f>$J$57</f>
        <v>46080</v>
      </c>
      <c r="V57" s="495">
        <f t="shared" si="7"/>
        <v>46083</v>
      </c>
    </row>
    <row r="58" spans="1:22" ht="21" customHeight="1">
      <c r="A58" s="729" t="s">
        <v>107</v>
      </c>
      <c r="B58" s="772" t="s">
        <v>108</v>
      </c>
      <c r="C58" s="1072">
        <v>1</v>
      </c>
      <c r="D58" s="698" t="s">
        <v>39</v>
      </c>
      <c r="E58" s="464" t="s">
        <v>40</v>
      </c>
      <c r="F58" s="459">
        <v>3</v>
      </c>
      <c r="G58" s="347">
        <v>3</v>
      </c>
      <c r="H58" s="1045">
        <v>46105</v>
      </c>
      <c r="I58" s="1045">
        <v>46092</v>
      </c>
      <c r="J58" s="1045">
        <v>46102</v>
      </c>
      <c r="K58" s="1045">
        <v>46106</v>
      </c>
      <c r="L58" s="1047" t="s">
        <v>68</v>
      </c>
      <c r="M58" s="1027" t="s">
        <v>109</v>
      </c>
      <c r="N58" s="455">
        <v>3</v>
      </c>
      <c r="O58" s="455">
        <v>3</v>
      </c>
      <c r="P58" s="455">
        <v>3</v>
      </c>
      <c r="Q58" s="451">
        <f t="shared" si="3"/>
        <v>1</v>
      </c>
      <c r="R58" s="195"/>
      <c r="S58" s="195" t="str">
        <f t="shared" si="6"/>
        <v>Switch</v>
      </c>
      <c r="T58" s="495">
        <f>$H$58</f>
        <v>46105</v>
      </c>
      <c r="U58" s="495">
        <f>$J$58</f>
        <v>46102</v>
      </c>
      <c r="V58" s="495">
        <f>$I$58</f>
        <v>46092</v>
      </c>
    </row>
    <row r="59" spans="1:22" ht="21" customHeight="1">
      <c r="A59" s="729" t="s">
        <v>107</v>
      </c>
      <c r="B59" s="772" t="s">
        <v>108</v>
      </c>
      <c r="C59" s="1073"/>
      <c r="D59" s="699" t="s">
        <v>43</v>
      </c>
      <c r="E59" s="465" t="s">
        <v>44</v>
      </c>
      <c r="F59" s="459">
        <v>1</v>
      </c>
      <c r="G59" s="347">
        <v>1</v>
      </c>
      <c r="H59" s="1038"/>
      <c r="I59" s="1038"/>
      <c r="J59" s="1038"/>
      <c r="K59" s="1038"/>
      <c r="L59" s="1013"/>
      <c r="M59" s="1028"/>
      <c r="N59" s="455">
        <v>1</v>
      </c>
      <c r="O59" s="455">
        <v>1</v>
      </c>
      <c r="P59" s="455">
        <v>1</v>
      </c>
      <c r="Q59" s="451">
        <f t="shared" si="3"/>
        <v>1</v>
      </c>
      <c r="R59" s="195"/>
      <c r="S59" s="195" t="str">
        <f t="shared" si="6"/>
        <v>Switch</v>
      </c>
      <c r="T59" s="495">
        <f>$H$58</f>
        <v>46105</v>
      </c>
      <c r="U59" s="495">
        <f>$J$58</f>
        <v>46102</v>
      </c>
      <c r="V59" s="495">
        <f>$I$58</f>
        <v>46092</v>
      </c>
    </row>
    <row r="60" spans="1:22" ht="21" customHeight="1">
      <c r="A60" s="729" t="s">
        <v>107</v>
      </c>
      <c r="B60" s="772" t="s">
        <v>110</v>
      </c>
      <c r="C60" s="1072">
        <v>1</v>
      </c>
      <c r="D60" s="698" t="s">
        <v>39</v>
      </c>
      <c r="E60" s="464" t="s">
        <v>40</v>
      </c>
      <c r="F60" s="459">
        <v>1</v>
      </c>
      <c r="G60" s="347">
        <v>2</v>
      </c>
      <c r="H60" s="1011">
        <v>46105</v>
      </c>
      <c r="I60" s="1011">
        <v>46092</v>
      </c>
      <c r="J60" s="1011">
        <v>46102</v>
      </c>
      <c r="K60" s="1011">
        <v>46102</v>
      </c>
      <c r="L60" s="1012" t="s">
        <v>68</v>
      </c>
      <c r="M60" s="1027" t="s">
        <v>111</v>
      </c>
      <c r="N60" s="455">
        <v>2</v>
      </c>
      <c r="O60" s="455">
        <v>2</v>
      </c>
      <c r="P60" s="455">
        <v>2</v>
      </c>
      <c r="Q60" s="451">
        <f t="shared" si="3"/>
        <v>1</v>
      </c>
      <c r="R60" s="195"/>
      <c r="S60" s="195" t="str">
        <f t="shared" si="6"/>
        <v>Switch</v>
      </c>
      <c r="T60" s="495">
        <f>$H$60</f>
        <v>46105</v>
      </c>
      <c r="U60" s="495">
        <f>$J$60</f>
        <v>46102</v>
      </c>
      <c r="V60" s="495">
        <f>$I$60</f>
        <v>46092</v>
      </c>
    </row>
    <row r="61" spans="1:22" ht="21" customHeight="1">
      <c r="A61" s="729" t="s">
        <v>107</v>
      </c>
      <c r="B61" s="772" t="s">
        <v>110</v>
      </c>
      <c r="C61" s="1073"/>
      <c r="D61" s="699" t="s">
        <v>43</v>
      </c>
      <c r="E61" s="464" t="s">
        <v>44</v>
      </c>
      <c r="F61" s="459">
        <v>1</v>
      </c>
      <c r="G61" s="347">
        <v>1</v>
      </c>
      <c r="H61" s="1038"/>
      <c r="I61" s="1038"/>
      <c r="J61" s="1038"/>
      <c r="K61" s="1038"/>
      <c r="L61" s="1013"/>
      <c r="M61" s="1028"/>
      <c r="N61" s="455">
        <v>1</v>
      </c>
      <c r="O61" s="455">
        <v>1</v>
      </c>
      <c r="P61" s="455">
        <v>1</v>
      </c>
      <c r="Q61" s="451">
        <f t="shared" si="3"/>
        <v>1</v>
      </c>
      <c r="R61" s="195"/>
      <c r="S61" s="195" t="str">
        <f t="shared" si="6"/>
        <v>Switch</v>
      </c>
      <c r="T61" s="495">
        <f>$H$60</f>
        <v>46105</v>
      </c>
      <c r="U61" s="495">
        <f>$J$60</f>
        <v>46102</v>
      </c>
      <c r="V61" s="495">
        <f>$I$60</f>
        <v>46092</v>
      </c>
    </row>
    <row r="62" spans="1:22" ht="21" customHeight="1">
      <c r="A62" s="729" t="s">
        <v>107</v>
      </c>
      <c r="B62" s="772" t="s">
        <v>112</v>
      </c>
      <c r="C62" s="1072">
        <v>2</v>
      </c>
      <c r="D62" s="698" t="s">
        <v>39</v>
      </c>
      <c r="E62" s="464" t="s">
        <v>40</v>
      </c>
      <c r="F62" s="459">
        <v>1</v>
      </c>
      <c r="G62" s="347">
        <v>2</v>
      </c>
      <c r="H62" s="1011">
        <v>46106</v>
      </c>
      <c r="I62" s="1011">
        <v>46092</v>
      </c>
      <c r="J62" s="1011">
        <v>46104</v>
      </c>
      <c r="K62" s="1011">
        <v>46104</v>
      </c>
      <c r="L62" s="1012" t="s">
        <v>68</v>
      </c>
      <c r="M62" s="1027" t="s">
        <v>113</v>
      </c>
      <c r="N62" s="455">
        <v>2</v>
      </c>
      <c r="O62" s="455">
        <v>2</v>
      </c>
      <c r="P62" s="455">
        <v>2</v>
      </c>
      <c r="Q62" s="451">
        <f t="shared" si="3"/>
        <v>1</v>
      </c>
      <c r="R62" s="195"/>
      <c r="S62" s="195" t="str">
        <f t="shared" si="6"/>
        <v>Switch</v>
      </c>
      <c r="T62" s="495">
        <f>$H$62</f>
        <v>46106</v>
      </c>
      <c r="U62" s="495">
        <f>$J$62</f>
        <v>46104</v>
      </c>
      <c r="V62" s="495">
        <f>$I$62</f>
        <v>46092</v>
      </c>
    </row>
    <row r="63" spans="1:22" ht="21" customHeight="1">
      <c r="A63" s="729" t="s">
        <v>107</v>
      </c>
      <c r="B63" s="772" t="s">
        <v>112</v>
      </c>
      <c r="C63" s="1073"/>
      <c r="D63" s="699" t="s">
        <v>43</v>
      </c>
      <c r="E63" s="464" t="s">
        <v>44</v>
      </c>
      <c r="F63" s="459">
        <v>1</v>
      </c>
      <c r="G63" s="347">
        <v>0</v>
      </c>
      <c r="H63" s="1038"/>
      <c r="I63" s="1038"/>
      <c r="J63" s="1038"/>
      <c r="K63" s="1038"/>
      <c r="L63" s="1013"/>
      <c r="M63" s="1028"/>
      <c r="N63" s="455">
        <v>0</v>
      </c>
      <c r="O63" s="455">
        <v>0</v>
      </c>
      <c r="P63" s="455">
        <v>0</v>
      </c>
      <c r="Q63" s="451">
        <f t="shared" si="3"/>
        <v>1</v>
      </c>
      <c r="R63" s="195"/>
      <c r="S63" s="195" t="str">
        <f t="shared" si="6"/>
        <v>Switch</v>
      </c>
      <c r="T63" s="495">
        <f>$H$62</f>
        <v>46106</v>
      </c>
      <c r="U63" s="495">
        <f>$J$62</f>
        <v>46104</v>
      </c>
      <c r="V63" s="495">
        <f>$I$62</f>
        <v>46092</v>
      </c>
    </row>
    <row r="64" spans="1:22" ht="21" customHeight="1">
      <c r="A64" s="729" t="s">
        <v>114</v>
      </c>
      <c r="B64" s="773" t="s">
        <v>115</v>
      </c>
      <c r="C64" s="1064">
        <v>2</v>
      </c>
      <c r="D64" s="707" t="s">
        <v>39</v>
      </c>
      <c r="E64" s="464" t="s">
        <v>40</v>
      </c>
      <c r="F64" s="459">
        <v>4</v>
      </c>
      <c r="G64" s="347">
        <v>4</v>
      </c>
      <c r="H64" s="1011">
        <v>46113</v>
      </c>
      <c r="I64" s="1011">
        <v>46093</v>
      </c>
      <c r="J64" s="1011">
        <v>46113</v>
      </c>
      <c r="K64" s="1011">
        <v>46113</v>
      </c>
      <c r="L64" s="1012" t="s">
        <v>68</v>
      </c>
      <c r="M64" s="1027" t="s">
        <v>116</v>
      </c>
      <c r="N64" s="455">
        <v>4</v>
      </c>
      <c r="O64" s="455">
        <v>4</v>
      </c>
      <c r="P64" s="455">
        <v>4</v>
      </c>
      <c r="Q64" s="451">
        <f t="shared" si="3"/>
        <v>1</v>
      </c>
      <c r="R64" s="195"/>
      <c r="S64" s="195" t="str">
        <f t="shared" si="6"/>
        <v>Switch</v>
      </c>
      <c r="T64" s="495">
        <f>$H$64</f>
        <v>46113</v>
      </c>
      <c r="U64" s="495">
        <f>$J$64</f>
        <v>46113</v>
      </c>
      <c r="V64" s="495">
        <f>$I$64</f>
        <v>46093</v>
      </c>
    </row>
    <row r="65" spans="1:22" ht="21" customHeight="1">
      <c r="A65" s="729" t="s">
        <v>114</v>
      </c>
      <c r="B65" s="773" t="s">
        <v>115</v>
      </c>
      <c r="C65" s="1065"/>
      <c r="D65" s="708" t="s">
        <v>43</v>
      </c>
      <c r="E65" s="465" t="s">
        <v>44</v>
      </c>
      <c r="F65" s="459">
        <v>2</v>
      </c>
      <c r="G65" s="347">
        <v>2</v>
      </c>
      <c r="H65" s="1038"/>
      <c r="I65" s="1038"/>
      <c r="J65" s="1038"/>
      <c r="K65" s="1038"/>
      <c r="L65" s="1013"/>
      <c r="M65" s="1028"/>
      <c r="N65" s="455">
        <v>2</v>
      </c>
      <c r="O65" s="455">
        <v>2</v>
      </c>
      <c r="P65" s="455">
        <v>2</v>
      </c>
      <c r="Q65" s="451">
        <f t="shared" si="3"/>
        <v>1</v>
      </c>
      <c r="R65" s="195"/>
      <c r="S65" s="195" t="str">
        <f t="shared" si="6"/>
        <v>Switch</v>
      </c>
      <c r="T65" s="495">
        <f>$H$64</f>
        <v>46113</v>
      </c>
      <c r="U65" s="495">
        <f>$J$64</f>
        <v>46113</v>
      </c>
      <c r="V65" s="495">
        <f>$I$64</f>
        <v>46093</v>
      </c>
    </row>
    <row r="66" spans="1:22" ht="21" customHeight="1">
      <c r="A66" s="729" t="s">
        <v>114</v>
      </c>
      <c r="B66" s="773" t="s">
        <v>117</v>
      </c>
      <c r="C66" s="1064">
        <v>2</v>
      </c>
      <c r="D66" s="707" t="s">
        <v>39</v>
      </c>
      <c r="E66" s="464" t="s">
        <v>40</v>
      </c>
      <c r="F66" s="459">
        <v>3</v>
      </c>
      <c r="G66" s="347">
        <v>2</v>
      </c>
      <c r="H66" s="1011">
        <v>46113</v>
      </c>
      <c r="I66" s="1011">
        <v>46093</v>
      </c>
      <c r="J66" s="1011">
        <v>46113</v>
      </c>
      <c r="K66" s="1011">
        <v>46113</v>
      </c>
      <c r="L66" s="1012" t="s">
        <v>68</v>
      </c>
      <c r="M66" s="1027" t="s">
        <v>118</v>
      </c>
      <c r="N66" s="455">
        <v>2</v>
      </c>
      <c r="O66" s="455">
        <v>2</v>
      </c>
      <c r="P66" s="455">
        <v>2</v>
      </c>
      <c r="Q66" s="451">
        <f t="shared" si="3"/>
        <v>1</v>
      </c>
      <c r="R66" s="195"/>
      <c r="S66" s="195" t="str">
        <f t="shared" si="6"/>
        <v>Switch</v>
      </c>
      <c r="T66" s="495">
        <f>$H$66</f>
        <v>46113</v>
      </c>
      <c r="U66" s="495">
        <f>$J$66</f>
        <v>46113</v>
      </c>
      <c r="V66" s="495">
        <f>$I$66</f>
        <v>46093</v>
      </c>
    </row>
    <row r="67" spans="1:22" ht="21" customHeight="1">
      <c r="A67" s="729" t="s">
        <v>114</v>
      </c>
      <c r="B67" s="773" t="s">
        <v>117</v>
      </c>
      <c r="C67" s="1065"/>
      <c r="D67" s="708" t="s">
        <v>43</v>
      </c>
      <c r="E67" s="465" t="s">
        <v>44</v>
      </c>
      <c r="F67" s="459">
        <v>2</v>
      </c>
      <c r="G67" s="347">
        <v>1</v>
      </c>
      <c r="H67" s="1038"/>
      <c r="I67" s="1038"/>
      <c r="J67" s="1038"/>
      <c r="K67" s="1038"/>
      <c r="L67" s="1013"/>
      <c r="M67" s="1028"/>
      <c r="N67" s="455">
        <v>1</v>
      </c>
      <c r="O67" s="455">
        <v>1</v>
      </c>
      <c r="P67" s="455">
        <v>1</v>
      </c>
      <c r="Q67" s="451">
        <f t="shared" si="3"/>
        <v>1</v>
      </c>
      <c r="R67" s="195"/>
      <c r="S67" s="195" t="str">
        <f t="shared" si="6"/>
        <v>Switch</v>
      </c>
      <c r="T67" s="495">
        <f>$H$66</f>
        <v>46113</v>
      </c>
      <c r="U67" s="495">
        <f>$J$66</f>
        <v>46113</v>
      </c>
      <c r="V67" s="495">
        <f>$I$66</f>
        <v>46093</v>
      </c>
    </row>
    <row r="68" spans="1:22" ht="21" customHeight="1">
      <c r="A68" s="725" t="s">
        <v>119</v>
      </c>
      <c r="B68" s="726" t="s">
        <v>120</v>
      </c>
      <c r="C68" s="364">
        <v>1</v>
      </c>
      <c r="D68" s="357" t="s">
        <v>39</v>
      </c>
      <c r="E68" s="464" t="s">
        <v>40</v>
      </c>
      <c r="F68" s="459">
        <v>2</v>
      </c>
      <c r="G68" s="727">
        <v>3</v>
      </c>
      <c r="H68" s="894">
        <v>46108</v>
      </c>
      <c r="I68" s="491">
        <v>46094</v>
      </c>
      <c r="J68" s="894"/>
      <c r="K68" s="488"/>
      <c r="L68" s="489" t="s">
        <v>68</v>
      </c>
      <c r="M68" s="469" t="s">
        <v>121</v>
      </c>
      <c r="N68" s="455">
        <v>3</v>
      </c>
      <c r="O68" s="455">
        <v>3</v>
      </c>
      <c r="P68" s="455">
        <v>3</v>
      </c>
      <c r="Q68" s="451">
        <f t="shared" si="3"/>
        <v>1</v>
      </c>
      <c r="R68" s="195"/>
      <c r="S68" s="195" t="str">
        <f t="shared" si="6"/>
        <v>Switch</v>
      </c>
      <c r="T68" s="495">
        <f>$H$68</f>
        <v>46108</v>
      </c>
      <c r="U68" s="495">
        <f>$J$68</f>
        <v>0</v>
      </c>
      <c r="V68" s="495">
        <f>$I$68</f>
        <v>46094</v>
      </c>
    </row>
    <row r="69" spans="1:22" ht="21" customHeight="1">
      <c r="A69" s="363" t="s">
        <v>122</v>
      </c>
      <c r="B69" s="710" t="s">
        <v>70</v>
      </c>
      <c r="C69" s="711">
        <v>1</v>
      </c>
      <c r="D69" s="707" t="s">
        <v>39</v>
      </c>
      <c r="E69" s="464" t="s">
        <v>40</v>
      </c>
      <c r="F69" s="459">
        <v>1</v>
      </c>
      <c r="G69" s="347">
        <v>1</v>
      </c>
      <c r="H69" s="894">
        <v>46108</v>
      </c>
      <c r="I69" s="491">
        <v>46094</v>
      </c>
      <c r="J69" s="894">
        <v>46113</v>
      </c>
      <c r="K69" s="488"/>
      <c r="L69" s="489" t="s">
        <v>68</v>
      </c>
      <c r="M69" s="469"/>
      <c r="N69" s="455">
        <v>1</v>
      </c>
      <c r="O69" s="455">
        <v>1</v>
      </c>
      <c r="P69" s="455">
        <v>1</v>
      </c>
      <c r="Q69" s="451">
        <f t="shared" si="3"/>
        <v>1</v>
      </c>
      <c r="R69" s="195"/>
      <c r="S69" s="195" t="str">
        <f t="shared" si="6"/>
        <v>Switch</v>
      </c>
      <c r="T69" s="495">
        <f>$H$69</f>
        <v>46108</v>
      </c>
      <c r="U69" s="495">
        <f>$J$69</f>
        <v>46113</v>
      </c>
      <c r="V69" s="495">
        <f>$I$69</f>
        <v>46094</v>
      </c>
    </row>
    <row r="70" spans="1:22" ht="21" customHeight="1">
      <c r="A70" s="729" t="s">
        <v>123</v>
      </c>
      <c r="B70" s="770" t="s">
        <v>124</v>
      </c>
      <c r="C70" s="1066">
        <v>1</v>
      </c>
      <c r="D70" s="357" t="s">
        <v>39</v>
      </c>
      <c r="E70" s="464" t="s">
        <v>40</v>
      </c>
      <c r="F70" s="459">
        <v>1</v>
      </c>
      <c r="G70" s="347">
        <v>1</v>
      </c>
      <c r="H70" s="1011">
        <v>46108</v>
      </c>
      <c r="I70" s="1011">
        <v>46094</v>
      </c>
      <c r="J70" s="1011">
        <v>46106</v>
      </c>
      <c r="K70" s="1011">
        <v>46107</v>
      </c>
      <c r="L70" s="1012" t="s">
        <v>68</v>
      </c>
      <c r="M70" s="1027" t="s">
        <v>125</v>
      </c>
      <c r="N70" s="455">
        <v>1</v>
      </c>
      <c r="O70" s="455">
        <v>1</v>
      </c>
      <c r="P70" s="455">
        <v>1</v>
      </c>
      <c r="Q70" s="451">
        <f t="shared" si="3"/>
        <v>1</v>
      </c>
      <c r="R70" s="195"/>
      <c r="S70" s="195" t="str">
        <f t="shared" si="6"/>
        <v>Switch</v>
      </c>
      <c r="T70" s="495">
        <f>$H$70</f>
        <v>46108</v>
      </c>
      <c r="U70" s="495">
        <f>$J$70</f>
        <v>46106</v>
      </c>
      <c r="V70" s="495">
        <f>$I$70</f>
        <v>46094</v>
      </c>
    </row>
    <row r="71" spans="1:22" ht="21" customHeight="1">
      <c r="A71" s="729" t="s">
        <v>123</v>
      </c>
      <c r="B71" s="770" t="s">
        <v>124</v>
      </c>
      <c r="C71" s="1067"/>
      <c r="D71" s="358" t="s">
        <v>43</v>
      </c>
      <c r="E71" s="465" t="s">
        <v>44</v>
      </c>
      <c r="F71" s="459">
        <v>1</v>
      </c>
      <c r="G71" s="347">
        <v>1</v>
      </c>
      <c r="H71" s="1038"/>
      <c r="I71" s="1038"/>
      <c r="J71" s="1038"/>
      <c r="K71" s="1038"/>
      <c r="L71" s="1013"/>
      <c r="M71" s="1028"/>
      <c r="N71" s="455">
        <v>1</v>
      </c>
      <c r="O71" s="455">
        <v>1</v>
      </c>
      <c r="P71" s="455">
        <v>1</v>
      </c>
      <c r="Q71" s="451">
        <f t="shared" ref="Q71:Q83" si="8">IF($G71=0,1,(N71+O71+P71)/($G71*3))</f>
        <v>1</v>
      </c>
      <c r="R71" s="195"/>
      <c r="S71" s="195" t="str">
        <f t="shared" si="6"/>
        <v>Switch</v>
      </c>
      <c r="T71" s="495">
        <f>$H$70</f>
        <v>46108</v>
      </c>
      <c r="U71" s="495">
        <f>$J$70</f>
        <v>46106</v>
      </c>
      <c r="V71" s="495">
        <f>$I$70</f>
        <v>46094</v>
      </c>
    </row>
    <row r="72" spans="1:22" ht="21" customHeight="1">
      <c r="A72" s="729" t="s">
        <v>126</v>
      </c>
      <c r="B72" s="770" t="s">
        <v>127</v>
      </c>
      <c r="C72" s="1066">
        <v>1</v>
      </c>
      <c r="D72" s="357" t="s">
        <v>39</v>
      </c>
      <c r="E72" s="464" t="s">
        <v>40</v>
      </c>
      <c r="F72" s="459">
        <v>1</v>
      </c>
      <c r="G72" s="347">
        <v>1</v>
      </c>
      <c r="H72" s="1011">
        <v>46115</v>
      </c>
      <c r="I72" s="1011">
        <v>46094</v>
      </c>
      <c r="J72" s="1071">
        <v>46108</v>
      </c>
      <c r="K72" s="1071">
        <v>46108</v>
      </c>
      <c r="L72" s="1012" t="s">
        <v>68</v>
      </c>
      <c r="M72" s="1027" t="s">
        <v>128</v>
      </c>
      <c r="N72" s="455">
        <v>1</v>
      </c>
      <c r="O72" s="455">
        <v>1</v>
      </c>
      <c r="P72" s="455">
        <v>1</v>
      </c>
      <c r="Q72" s="451">
        <f t="shared" si="8"/>
        <v>1</v>
      </c>
      <c r="R72" s="195"/>
      <c r="S72" s="195" t="str">
        <f t="shared" si="6"/>
        <v>Switch</v>
      </c>
      <c r="T72" s="495">
        <f>$H$72</f>
        <v>46115</v>
      </c>
      <c r="U72" s="495">
        <f>$J$72</f>
        <v>46108</v>
      </c>
      <c r="V72" s="495">
        <f>$I$72</f>
        <v>46094</v>
      </c>
    </row>
    <row r="73" spans="1:22" ht="21" customHeight="1">
      <c r="A73" s="729" t="s">
        <v>126</v>
      </c>
      <c r="B73" s="770" t="s">
        <v>127</v>
      </c>
      <c r="C73" s="1067"/>
      <c r="D73" s="358" t="s">
        <v>43</v>
      </c>
      <c r="E73" s="465" t="s">
        <v>44</v>
      </c>
      <c r="F73" s="459">
        <v>1</v>
      </c>
      <c r="G73" s="347">
        <v>1</v>
      </c>
      <c r="H73" s="1038"/>
      <c r="I73" s="1038"/>
      <c r="J73" s="1038"/>
      <c r="K73" s="1038"/>
      <c r="L73" s="1013"/>
      <c r="M73" s="1028"/>
      <c r="N73" s="455">
        <v>1</v>
      </c>
      <c r="O73" s="455">
        <v>1</v>
      </c>
      <c r="P73" s="455">
        <v>1</v>
      </c>
      <c r="Q73" s="451">
        <f t="shared" si="8"/>
        <v>1</v>
      </c>
      <c r="R73" s="195"/>
      <c r="S73" s="195" t="str">
        <f t="shared" si="6"/>
        <v>Switch</v>
      </c>
      <c r="T73" s="495">
        <f>$H$72</f>
        <v>46115</v>
      </c>
      <c r="U73" s="495">
        <f>$J$72</f>
        <v>46108</v>
      </c>
      <c r="V73" s="495">
        <f>$I$72</f>
        <v>46094</v>
      </c>
    </row>
    <row r="74" spans="1:22" ht="21" customHeight="1">
      <c r="A74" s="729" t="s">
        <v>129</v>
      </c>
      <c r="B74" s="770" t="s">
        <v>130</v>
      </c>
      <c r="C74" s="1066">
        <v>1</v>
      </c>
      <c r="D74" s="357" t="s">
        <v>39</v>
      </c>
      <c r="E74" s="464" t="s">
        <v>40</v>
      </c>
      <c r="F74" s="459">
        <v>1</v>
      </c>
      <c r="G74" s="347">
        <v>1</v>
      </c>
      <c r="H74" s="1011">
        <v>46118</v>
      </c>
      <c r="I74" s="1011">
        <v>46094</v>
      </c>
      <c r="J74" s="1011">
        <v>46108</v>
      </c>
      <c r="K74" s="1011">
        <v>46108</v>
      </c>
      <c r="L74" s="1012" t="s">
        <v>68</v>
      </c>
      <c r="M74" s="1027"/>
      <c r="N74" s="455">
        <v>1</v>
      </c>
      <c r="O74" s="455">
        <v>1</v>
      </c>
      <c r="P74" s="455">
        <v>1</v>
      </c>
      <c r="Q74" s="451">
        <f t="shared" si="8"/>
        <v>1</v>
      </c>
      <c r="R74" s="195"/>
      <c r="S74" s="195" t="str">
        <f t="shared" si="6"/>
        <v>Switch</v>
      </c>
      <c r="T74" s="495">
        <f>$H$74</f>
        <v>46118</v>
      </c>
      <c r="U74" s="495">
        <f>$J$74</f>
        <v>46108</v>
      </c>
      <c r="V74" s="495">
        <f>$I$74</f>
        <v>46094</v>
      </c>
    </row>
    <row r="75" spans="1:22" ht="21" customHeight="1">
      <c r="A75" s="729" t="s">
        <v>129</v>
      </c>
      <c r="B75" s="770" t="s">
        <v>130</v>
      </c>
      <c r="C75" s="1067"/>
      <c r="D75" s="358" t="s">
        <v>43</v>
      </c>
      <c r="E75" s="465" t="s">
        <v>44</v>
      </c>
      <c r="F75" s="459">
        <v>1</v>
      </c>
      <c r="G75" s="347">
        <v>1</v>
      </c>
      <c r="H75" s="1038"/>
      <c r="I75" s="1038"/>
      <c r="J75" s="1038"/>
      <c r="K75" s="1038"/>
      <c r="L75" s="1013"/>
      <c r="M75" s="1028"/>
      <c r="N75" s="455">
        <v>1</v>
      </c>
      <c r="O75" s="455">
        <v>1</v>
      </c>
      <c r="P75" s="455">
        <v>1</v>
      </c>
      <c r="Q75" s="451">
        <f t="shared" si="8"/>
        <v>1</v>
      </c>
      <c r="R75" s="195"/>
      <c r="S75" s="195" t="str">
        <f t="shared" si="6"/>
        <v>Switch</v>
      </c>
      <c r="T75" s="495">
        <f>$H$74</f>
        <v>46118</v>
      </c>
      <c r="U75" s="495">
        <f>$J$74</f>
        <v>46108</v>
      </c>
      <c r="V75" s="495">
        <f>$I$74</f>
        <v>46094</v>
      </c>
    </row>
    <row r="76" spans="1:22" ht="21" customHeight="1">
      <c r="A76" s="729" t="s">
        <v>131</v>
      </c>
      <c r="B76" s="770" t="s">
        <v>130</v>
      </c>
      <c r="C76" s="1066">
        <v>1</v>
      </c>
      <c r="D76" s="357" t="s">
        <v>39</v>
      </c>
      <c r="E76" s="464" t="s">
        <v>40</v>
      </c>
      <c r="F76" s="459">
        <v>1</v>
      </c>
      <c r="G76" s="347">
        <v>1</v>
      </c>
      <c r="H76" s="1011">
        <v>46118</v>
      </c>
      <c r="I76" s="1011">
        <v>46094</v>
      </c>
      <c r="J76" s="1011">
        <v>46108</v>
      </c>
      <c r="K76" s="1011">
        <v>46108</v>
      </c>
      <c r="L76" s="1012" t="s">
        <v>68</v>
      </c>
      <c r="M76" s="1027"/>
      <c r="N76" s="455">
        <v>1</v>
      </c>
      <c r="O76" s="455">
        <v>1</v>
      </c>
      <c r="P76" s="455">
        <v>1</v>
      </c>
      <c r="Q76" s="451">
        <f t="shared" si="8"/>
        <v>1</v>
      </c>
      <c r="R76" s="195"/>
      <c r="S76" s="195" t="str">
        <f t="shared" si="6"/>
        <v>Switch</v>
      </c>
      <c r="T76" s="495">
        <f>$H$76</f>
        <v>46118</v>
      </c>
      <c r="U76" s="495">
        <f>$J$76</f>
        <v>46108</v>
      </c>
      <c r="V76" s="495">
        <f>$I$76</f>
        <v>46094</v>
      </c>
    </row>
    <row r="77" spans="1:22" ht="21" customHeight="1">
      <c r="A77" s="729" t="s">
        <v>131</v>
      </c>
      <c r="B77" s="770" t="s">
        <v>130</v>
      </c>
      <c r="C77" s="1067"/>
      <c r="D77" s="358" t="s">
        <v>43</v>
      </c>
      <c r="E77" s="465" t="s">
        <v>44</v>
      </c>
      <c r="F77" s="459">
        <v>1</v>
      </c>
      <c r="G77" s="347">
        <v>1</v>
      </c>
      <c r="H77" s="1038"/>
      <c r="I77" s="1038"/>
      <c r="J77" s="1038"/>
      <c r="K77" s="1038"/>
      <c r="L77" s="1013"/>
      <c r="M77" s="1028"/>
      <c r="N77" s="455">
        <v>1</v>
      </c>
      <c r="O77" s="455">
        <v>1</v>
      </c>
      <c r="P77" s="455">
        <v>1</v>
      </c>
      <c r="Q77" s="451">
        <f t="shared" si="8"/>
        <v>1</v>
      </c>
      <c r="R77" s="195"/>
      <c r="S77" s="195" t="str">
        <f t="shared" si="6"/>
        <v>Switch</v>
      </c>
      <c r="T77" s="495">
        <f>$H$76</f>
        <v>46118</v>
      </c>
      <c r="U77" s="495">
        <f>$J$76</f>
        <v>46108</v>
      </c>
      <c r="V77" s="495">
        <f>$I$76</f>
        <v>46094</v>
      </c>
    </row>
    <row r="78" spans="1:22" ht="21" customHeight="1">
      <c r="A78" s="363" t="s">
        <v>132</v>
      </c>
      <c r="B78" s="886" t="s">
        <v>133</v>
      </c>
      <c r="C78" s="364">
        <v>1</v>
      </c>
      <c r="D78" s="357" t="s">
        <v>39</v>
      </c>
      <c r="E78" s="464" t="s">
        <v>40</v>
      </c>
      <c r="F78" s="459">
        <v>1</v>
      </c>
      <c r="G78" s="347">
        <v>1</v>
      </c>
      <c r="H78" s="894">
        <v>46119</v>
      </c>
      <c r="I78" s="491">
        <v>46094</v>
      </c>
      <c r="J78" s="894"/>
      <c r="K78" s="488"/>
      <c r="L78" s="489"/>
      <c r="M78" s="469"/>
      <c r="N78" s="455">
        <v>0</v>
      </c>
      <c r="O78" s="455">
        <v>0</v>
      </c>
      <c r="P78" s="455">
        <v>0</v>
      </c>
      <c r="Q78" s="194">
        <f t="shared" si="8"/>
        <v>0</v>
      </c>
      <c r="R78" s="195"/>
      <c r="S78" s="195" t="str">
        <f t="shared" si="6"/>
        <v>Switch</v>
      </c>
      <c r="T78" s="495">
        <f>$H$78</f>
        <v>46119</v>
      </c>
      <c r="U78" s="495">
        <f>$J$78</f>
        <v>0</v>
      </c>
      <c r="V78" s="495">
        <f>$I$78</f>
        <v>46094</v>
      </c>
    </row>
    <row r="79" spans="1:22" ht="21" customHeight="1">
      <c r="A79" s="729" t="s">
        <v>134</v>
      </c>
      <c r="B79" s="770" t="s">
        <v>70</v>
      </c>
      <c r="C79" s="1066">
        <v>1</v>
      </c>
      <c r="D79" s="357" t="s">
        <v>39</v>
      </c>
      <c r="E79" s="464" t="s">
        <v>40</v>
      </c>
      <c r="F79" s="459">
        <v>1</v>
      </c>
      <c r="G79" s="347">
        <v>1</v>
      </c>
      <c r="H79" s="1011">
        <v>46119</v>
      </c>
      <c r="I79" s="1011">
        <v>46094</v>
      </c>
      <c r="J79" s="1011">
        <v>46112</v>
      </c>
      <c r="K79" s="1011">
        <v>46112</v>
      </c>
      <c r="L79" s="1012" t="s">
        <v>68</v>
      </c>
      <c r="M79" s="1027" t="s">
        <v>135</v>
      </c>
      <c r="N79" s="455">
        <v>1</v>
      </c>
      <c r="O79" s="455">
        <v>1</v>
      </c>
      <c r="P79" s="455">
        <v>1</v>
      </c>
      <c r="Q79" s="194">
        <f t="shared" si="8"/>
        <v>1</v>
      </c>
      <c r="R79" s="195"/>
      <c r="S79" s="195" t="str">
        <f t="shared" si="6"/>
        <v>Switch</v>
      </c>
      <c r="T79" s="495">
        <f>$H$79</f>
        <v>46119</v>
      </c>
      <c r="U79" s="495">
        <f>$J$79</f>
        <v>46112</v>
      </c>
      <c r="V79" s="495">
        <f>$I$79</f>
        <v>46094</v>
      </c>
    </row>
    <row r="80" spans="1:22" ht="21" customHeight="1">
      <c r="A80" s="729" t="s">
        <v>134</v>
      </c>
      <c r="B80" s="770" t="s">
        <v>70</v>
      </c>
      <c r="C80" s="1067"/>
      <c r="D80" s="358" t="s">
        <v>43</v>
      </c>
      <c r="E80" s="465" t="s">
        <v>44</v>
      </c>
      <c r="F80" s="459">
        <v>1</v>
      </c>
      <c r="G80" s="347">
        <v>1</v>
      </c>
      <c r="H80" s="1038"/>
      <c r="I80" s="1038"/>
      <c r="J80" s="1038"/>
      <c r="K80" s="1038"/>
      <c r="L80" s="1013"/>
      <c r="M80" s="1028"/>
      <c r="N80" s="455">
        <v>1</v>
      </c>
      <c r="O80" s="455">
        <v>1</v>
      </c>
      <c r="P80" s="455">
        <v>1</v>
      </c>
      <c r="Q80" s="194">
        <f t="shared" si="8"/>
        <v>1</v>
      </c>
      <c r="R80" s="195"/>
      <c r="S80" s="195" t="str">
        <f t="shared" si="6"/>
        <v>Switch</v>
      </c>
      <c r="T80" s="495">
        <f>$H$79</f>
        <v>46119</v>
      </c>
      <c r="U80" s="495">
        <f>$J$79</f>
        <v>46112</v>
      </c>
      <c r="V80" s="495">
        <f>$I$79</f>
        <v>46094</v>
      </c>
    </row>
    <row r="81" spans="1:22" ht="21" customHeight="1">
      <c r="A81" s="729" t="s">
        <v>134</v>
      </c>
      <c r="B81" s="886" t="s">
        <v>136</v>
      </c>
      <c r="C81" s="347">
        <v>1</v>
      </c>
      <c r="D81" s="357" t="s">
        <v>43</v>
      </c>
      <c r="E81" s="465" t="s">
        <v>44</v>
      </c>
      <c r="F81" s="459">
        <v>1</v>
      </c>
      <c r="G81" s="347">
        <v>1</v>
      </c>
      <c r="H81" s="894">
        <v>46120</v>
      </c>
      <c r="I81" s="491">
        <v>46094</v>
      </c>
      <c r="J81" s="894">
        <v>46112</v>
      </c>
      <c r="K81" s="894">
        <v>46112</v>
      </c>
      <c r="L81" s="489" t="s">
        <v>68</v>
      </c>
      <c r="M81" s="469" t="s">
        <v>137</v>
      </c>
      <c r="N81" s="455">
        <v>1</v>
      </c>
      <c r="O81" s="455">
        <v>1</v>
      </c>
      <c r="P81" s="455">
        <v>1</v>
      </c>
      <c r="Q81" s="194">
        <f t="shared" si="8"/>
        <v>1</v>
      </c>
      <c r="R81" s="195"/>
      <c r="S81" s="195" t="str">
        <f t="shared" si="6"/>
        <v>Switch</v>
      </c>
      <c r="T81" s="495">
        <f>$H$81</f>
        <v>46120</v>
      </c>
      <c r="U81" s="495">
        <f>$J$81</f>
        <v>46112</v>
      </c>
      <c r="V81" s="495">
        <f>$I$81</f>
        <v>46094</v>
      </c>
    </row>
    <row r="82" spans="1:22" ht="21" customHeight="1">
      <c r="A82" s="729" t="s">
        <v>138</v>
      </c>
      <c r="B82" s="700" t="s">
        <v>110</v>
      </c>
      <c r="C82" s="701">
        <v>1</v>
      </c>
      <c r="D82" s="698" t="s">
        <v>43</v>
      </c>
      <c r="E82" s="465" t="s">
        <v>44</v>
      </c>
      <c r="F82" s="459">
        <v>2</v>
      </c>
      <c r="G82" s="347">
        <v>2</v>
      </c>
      <c r="H82" s="894">
        <v>46120</v>
      </c>
      <c r="I82" s="491">
        <v>46094</v>
      </c>
      <c r="J82" s="894">
        <v>46102</v>
      </c>
      <c r="K82" s="894">
        <v>46102</v>
      </c>
      <c r="L82" s="489" t="s">
        <v>68</v>
      </c>
      <c r="M82" s="469" t="s">
        <v>139</v>
      </c>
      <c r="N82" s="455">
        <v>2</v>
      </c>
      <c r="O82" s="455">
        <v>2</v>
      </c>
      <c r="P82" s="455">
        <v>2</v>
      </c>
      <c r="Q82" s="194">
        <f t="shared" si="8"/>
        <v>1</v>
      </c>
      <c r="R82" s="195"/>
      <c r="S82" s="195" t="str">
        <f t="shared" si="6"/>
        <v>Switch</v>
      </c>
      <c r="T82" s="495">
        <f>$H$82</f>
        <v>46120</v>
      </c>
      <c r="U82" s="495">
        <f>$J$82</f>
        <v>46102</v>
      </c>
      <c r="V82" s="495">
        <f>$I$82</f>
        <v>46094</v>
      </c>
    </row>
    <row r="83" spans="1:22" ht="42" customHeight="1">
      <c r="A83" s="729" t="s">
        <v>138</v>
      </c>
      <c r="B83" s="700" t="s">
        <v>140</v>
      </c>
      <c r="C83" s="701">
        <v>2</v>
      </c>
      <c r="D83" s="698" t="s">
        <v>43</v>
      </c>
      <c r="E83" s="465" t="s">
        <v>44</v>
      </c>
      <c r="F83" s="563">
        <v>4</v>
      </c>
      <c r="G83" s="347">
        <v>4</v>
      </c>
      <c r="H83" s="894">
        <v>46122</v>
      </c>
      <c r="I83" s="491">
        <f>H83+2</f>
        <v>46124</v>
      </c>
      <c r="J83" s="894">
        <v>46102</v>
      </c>
      <c r="K83" s="894">
        <v>46102</v>
      </c>
      <c r="L83" s="489" t="s">
        <v>68</v>
      </c>
      <c r="M83" s="469" t="s">
        <v>139</v>
      </c>
      <c r="N83" s="455">
        <v>4</v>
      </c>
      <c r="O83" s="455">
        <v>4</v>
      </c>
      <c r="P83" s="455">
        <v>4</v>
      </c>
      <c r="Q83" s="194">
        <f t="shared" si="8"/>
        <v>1</v>
      </c>
      <c r="R83" s="195"/>
      <c r="S83" s="195" t="str">
        <f t="shared" si="6"/>
        <v>Switch</v>
      </c>
      <c r="T83" s="495">
        <f>$H$83</f>
        <v>46122</v>
      </c>
      <c r="U83" s="495">
        <f>$J$83</f>
        <v>46102</v>
      </c>
      <c r="V83" s="495">
        <f>$I$83</f>
        <v>46124</v>
      </c>
    </row>
    <row r="84" spans="1:22" ht="21" customHeight="1">
      <c r="A84" s="730" t="s">
        <v>141</v>
      </c>
      <c r="B84" s="774" t="s">
        <v>142</v>
      </c>
      <c r="C84" s="364">
        <v>1</v>
      </c>
      <c r="D84" s="357" t="s">
        <v>39</v>
      </c>
      <c r="E84" s="464" t="s">
        <v>40</v>
      </c>
      <c r="F84" s="513">
        <v>0</v>
      </c>
      <c r="G84" s="347">
        <v>1</v>
      </c>
      <c r="H84" s="1045">
        <v>46122</v>
      </c>
      <c r="I84" s="1045">
        <f>H84+2</f>
        <v>46124</v>
      </c>
      <c r="J84" s="1045">
        <v>46113</v>
      </c>
      <c r="K84" s="1068"/>
      <c r="L84" s="1047" t="s">
        <v>143</v>
      </c>
      <c r="M84" s="1062" t="s">
        <v>144</v>
      </c>
      <c r="N84" s="455">
        <v>1</v>
      </c>
      <c r="O84" s="455">
        <v>1</v>
      </c>
      <c r="P84" s="455">
        <v>0</v>
      </c>
      <c r="Q84" s="194">
        <f>IF($G84=0,1,(N84+O84+P84)/($G84*3))</f>
        <v>0.66666666666666663</v>
      </c>
      <c r="R84" s="195" t="s">
        <v>145</v>
      </c>
      <c r="S84" s="195" t="str">
        <f t="shared" si="6"/>
        <v>Switch</v>
      </c>
      <c r="T84" s="495">
        <f>$H$83</f>
        <v>46122</v>
      </c>
      <c r="U84" s="495">
        <f>$J$83</f>
        <v>46102</v>
      </c>
      <c r="V84" s="495">
        <f>$I$84</f>
        <v>46124</v>
      </c>
    </row>
    <row r="85" spans="1:22" ht="42" customHeight="1">
      <c r="A85" s="730" t="s">
        <v>141</v>
      </c>
      <c r="B85" s="774" t="s">
        <v>142</v>
      </c>
      <c r="C85" s="347">
        <v>1</v>
      </c>
      <c r="D85" s="357" t="s">
        <v>43</v>
      </c>
      <c r="E85" s="465" t="s">
        <v>44</v>
      </c>
      <c r="F85" s="459">
        <v>1</v>
      </c>
      <c r="G85" s="347">
        <v>1</v>
      </c>
      <c r="H85" s="1046"/>
      <c r="I85" s="1046"/>
      <c r="J85" s="1046"/>
      <c r="K85" s="1069"/>
      <c r="L85" s="1070"/>
      <c r="M85" s="1063"/>
      <c r="N85" s="455">
        <v>1</v>
      </c>
      <c r="O85" s="455">
        <v>1</v>
      </c>
      <c r="P85" s="455">
        <v>0</v>
      </c>
      <c r="Q85" s="194">
        <f t="shared" ref="Q85:Q89" si="9">IF($G85=0,1,(N85+O85+P85)/($G85*3))</f>
        <v>0.66666666666666663</v>
      </c>
      <c r="R85" s="195" t="s">
        <v>145</v>
      </c>
      <c r="S85" s="195" t="str">
        <f t="shared" si="6"/>
        <v>Switch</v>
      </c>
      <c r="T85" s="495">
        <f>$H$84</f>
        <v>46122</v>
      </c>
      <c r="U85" s="495">
        <f>$J$84</f>
        <v>46113</v>
      </c>
      <c r="V85" s="495">
        <f>$I$84</f>
        <v>46124</v>
      </c>
    </row>
    <row r="86" spans="1:22" ht="21" customHeight="1">
      <c r="A86" s="365" t="s">
        <v>146</v>
      </c>
      <c r="B86" s="366"/>
      <c r="C86" s="366"/>
      <c r="D86" s="366"/>
      <c r="E86" s="471"/>
      <c r="F86" s="366"/>
      <c r="G86" s="366"/>
      <c r="H86" s="493"/>
      <c r="I86" s="493"/>
      <c r="J86" s="493"/>
      <c r="K86" s="490"/>
      <c r="L86" s="490"/>
      <c r="M86" s="472"/>
      <c r="N86" s="473"/>
      <c r="O86" s="473"/>
      <c r="P86" s="473"/>
      <c r="Q86" s="474"/>
      <c r="R86" s="473"/>
      <c r="S86" s="473"/>
      <c r="T86" s="473"/>
      <c r="U86" s="473"/>
      <c r="V86" s="473"/>
    </row>
    <row r="87" spans="1:22" ht="21" customHeight="1">
      <c r="A87" s="731" t="s">
        <v>114</v>
      </c>
      <c r="B87" s="773" t="s">
        <v>147</v>
      </c>
      <c r="C87" s="1064">
        <v>2</v>
      </c>
      <c r="D87" s="709" t="s">
        <v>39</v>
      </c>
      <c r="E87" s="464" t="s">
        <v>40</v>
      </c>
      <c r="F87" s="475" t="s">
        <v>41</v>
      </c>
      <c r="G87" s="347">
        <v>1</v>
      </c>
      <c r="H87" s="1045">
        <v>46113</v>
      </c>
      <c r="I87" s="1045">
        <v>46093</v>
      </c>
      <c r="J87" s="1045">
        <v>46113</v>
      </c>
      <c r="K87" s="1045">
        <v>46113</v>
      </c>
      <c r="L87" s="1047" t="s">
        <v>68</v>
      </c>
      <c r="M87" s="1027" t="s">
        <v>148</v>
      </c>
      <c r="N87" s="455">
        <v>1</v>
      </c>
      <c r="O87" s="455">
        <v>1</v>
      </c>
      <c r="P87" s="455">
        <v>1</v>
      </c>
      <c r="Q87" s="194">
        <f t="shared" si="9"/>
        <v>1</v>
      </c>
      <c r="R87" s="195"/>
      <c r="S87" s="195" t="str">
        <f t="shared" si="6"/>
        <v>Switch</v>
      </c>
      <c r="T87" s="495">
        <f>$H$87</f>
        <v>46113</v>
      </c>
      <c r="U87" s="495">
        <f>$J$87</f>
        <v>46113</v>
      </c>
      <c r="V87" s="495">
        <f>$I$87</f>
        <v>46093</v>
      </c>
    </row>
    <row r="88" spans="1:22" ht="21" customHeight="1">
      <c r="A88" s="731" t="s">
        <v>114</v>
      </c>
      <c r="B88" s="773" t="s">
        <v>147</v>
      </c>
      <c r="C88" s="1065"/>
      <c r="D88" s="708" t="s">
        <v>43</v>
      </c>
      <c r="E88" s="476" t="s">
        <v>44</v>
      </c>
      <c r="F88" s="477" t="s">
        <v>41</v>
      </c>
      <c r="G88" s="347">
        <v>2</v>
      </c>
      <c r="H88" s="1046"/>
      <c r="I88" s="1046"/>
      <c r="J88" s="1046"/>
      <c r="K88" s="1046"/>
      <c r="L88" s="1013"/>
      <c r="M88" s="1028"/>
      <c r="N88" s="455">
        <v>2</v>
      </c>
      <c r="O88" s="455">
        <v>2</v>
      </c>
      <c r="P88" s="455">
        <v>2</v>
      </c>
      <c r="Q88" s="194">
        <f t="shared" si="9"/>
        <v>1</v>
      </c>
      <c r="R88" s="195"/>
      <c r="S88" s="195" t="str">
        <f t="shared" si="6"/>
        <v>Switch</v>
      </c>
      <c r="T88" s="495">
        <f>$H$87</f>
        <v>46113</v>
      </c>
      <c r="U88" s="495">
        <f>$J$87</f>
        <v>46113</v>
      </c>
      <c r="V88" s="495">
        <f>$I$87</f>
        <v>46093</v>
      </c>
    </row>
    <row r="89" spans="1:22" s="523" customFormat="1" ht="42" customHeight="1">
      <c r="A89" s="610" t="s">
        <v>75</v>
      </c>
      <c r="B89" s="611" t="s">
        <v>149</v>
      </c>
      <c r="C89" s="612">
        <v>2</v>
      </c>
      <c r="D89" s="613" t="s">
        <v>39</v>
      </c>
      <c r="E89" s="614" t="s">
        <v>40</v>
      </c>
      <c r="F89" s="615" t="s">
        <v>41</v>
      </c>
      <c r="G89" s="616">
        <v>1</v>
      </c>
      <c r="H89" s="494">
        <v>46078</v>
      </c>
      <c r="I89" s="494">
        <v>46081</v>
      </c>
      <c r="J89" s="494"/>
      <c r="K89" s="494">
        <v>46080</v>
      </c>
      <c r="L89" s="489" t="s">
        <v>68</v>
      </c>
      <c r="M89" s="607" t="s">
        <v>148</v>
      </c>
      <c r="N89" s="617">
        <v>1</v>
      </c>
      <c r="O89" s="617">
        <v>1</v>
      </c>
      <c r="P89" s="617">
        <v>1</v>
      </c>
      <c r="Q89" s="7">
        <f t="shared" si="9"/>
        <v>1</v>
      </c>
      <c r="R89" s="8"/>
      <c r="S89" s="195" t="str">
        <f t="shared" si="6"/>
        <v>Switch</v>
      </c>
      <c r="T89" s="522">
        <f>$H$89</f>
        <v>46078</v>
      </c>
      <c r="U89" s="522">
        <f>$J$89</f>
        <v>0</v>
      </c>
      <c r="V89" s="495">
        <f>$I$89</f>
        <v>46081</v>
      </c>
    </row>
    <row r="90" spans="1:22" ht="21" customHeight="1">
      <c r="E90" s="478" t="s">
        <v>150</v>
      </c>
      <c r="F90" s="188">
        <f>SUM(F3:F89)</f>
        <v>193</v>
      </c>
      <c r="G90" s="188">
        <f>SUM(G3:G89)</f>
        <v>193</v>
      </c>
      <c r="M90" s="188"/>
      <c r="N90" s="218">
        <f>SUM(N3:N89)/G90</f>
        <v>0.97409326424870468</v>
      </c>
      <c r="O90" s="218">
        <f>SUM(O3:O89)/G90</f>
        <v>0.97409326424870468</v>
      </c>
      <c r="P90" s="218">
        <f>SUM(P3:P89)/G90</f>
        <v>0.94818652849740936</v>
      </c>
      <c r="Q90" s="219"/>
      <c r="V90" s="188"/>
    </row>
    <row r="91" spans="1:22" ht="21">
      <c r="M91" s="188"/>
      <c r="N91" s="479">
        <f>SUM(N3:N89)</f>
        <v>188</v>
      </c>
      <c r="O91" s="479">
        <f>SUM(O3:O89)</f>
        <v>188</v>
      </c>
      <c r="P91" s="479">
        <f>SUM(P3:P89)</f>
        <v>183</v>
      </c>
      <c r="Q91" s="479"/>
      <c r="R91" s="188">
        <v>360</v>
      </c>
      <c r="V91" s="188"/>
    </row>
    <row r="92" spans="1:22" ht="21">
      <c r="M92" s="915" t="s">
        <v>151</v>
      </c>
      <c r="R92" s="697">
        <f>P91+'HQ-WL'!Q118</f>
        <v>350</v>
      </c>
      <c r="T92" s="766">
        <f>R92/R91</f>
        <v>0.97222222222222221</v>
      </c>
      <c r="V92" s="188"/>
    </row>
    <row r="93" spans="1:22" ht="21">
      <c r="M93" s="481">
        <f>SUM(P17:P89)</f>
        <v>162</v>
      </c>
      <c r="V93" s="188"/>
    </row>
    <row r="94" spans="1:22" ht="21">
      <c r="M94" s="482">
        <f>M93/170</f>
        <v>0.95294117647058818</v>
      </c>
      <c r="V94" s="188"/>
    </row>
    <row r="95" spans="1:22" ht="24" customHeight="1">
      <c r="N95" s="188">
        <v>170</v>
      </c>
      <c r="V95" s="188"/>
    </row>
    <row r="96" spans="1:22" ht="24" customHeight="1">
      <c r="N96" s="697">
        <f>N95-M93</f>
        <v>8</v>
      </c>
      <c r="V96" s="188"/>
    </row>
    <row r="97" spans="22:22" ht="24" customHeight="1">
      <c r="V97" s="188"/>
    </row>
    <row r="98" spans="22:22" ht="24" customHeight="1">
      <c r="V98" s="188"/>
    </row>
    <row r="99" spans="22:22" ht="24" customHeight="1">
      <c r="V99" s="188"/>
    </row>
  </sheetData>
  <autoFilter ref="A1:U96" xr:uid="{EE30FD31-2E01-4AF4-9806-0C27F692DB33}">
    <filterColumn colId="7" showButton="0"/>
  </autoFilter>
  <mergeCells count="202">
    <mergeCell ref="H23:H24"/>
    <mergeCell ref="I23:I24"/>
    <mergeCell ref="C26:C27"/>
    <mergeCell ref="H26:H27"/>
    <mergeCell ref="I26:I27"/>
    <mergeCell ref="C32:C33"/>
    <mergeCell ref="H32:H33"/>
    <mergeCell ref="I32:I33"/>
    <mergeCell ref="C30:C31"/>
    <mergeCell ref="H30:H31"/>
    <mergeCell ref="I30:I31"/>
    <mergeCell ref="C28:C29"/>
    <mergeCell ref="H28:H29"/>
    <mergeCell ref="I28:I29"/>
    <mergeCell ref="A1:A2"/>
    <mergeCell ref="C21:C22"/>
    <mergeCell ref="H21:H22"/>
    <mergeCell ref="C3:C4"/>
    <mergeCell ref="H3:H4"/>
    <mergeCell ref="G1:G2"/>
    <mergeCell ref="H1:I1"/>
    <mergeCell ref="I3:I4"/>
    <mergeCell ref="C5:C16"/>
    <mergeCell ref="H5:H16"/>
    <mergeCell ref="I5:I16"/>
    <mergeCell ref="C17:C18"/>
    <mergeCell ref="I21:I22"/>
    <mergeCell ref="H17:H18"/>
    <mergeCell ref="I17:I18"/>
    <mergeCell ref="B1:B2"/>
    <mergeCell ref="C1:C2"/>
    <mergeCell ref="D1:D2"/>
    <mergeCell ref="E1:E2"/>
    <mergeCell ref="F1:F2"/>
    <mergeCell ref="M17:M18"/>
    <mergeCell ref="C19:C20"/>
    <mergeCell ref="H19:H20"/>
    <mergeCell ref="I19:I20"/>
    <mergeCell ref="M19:M20"/>
    <mergeCell ref="K17:K18"/>
    <mergeCell ref="K19:K20"/>
    <mergeCell ref="J17:J18"/>
    <mergeCell ref="M37:M38"/>
    <mergeCell ref="C34:C35"/>
    <mergeCell ref="H34:H35"/>
    <mergeCell ref="I34:I35"/>
    <mergeCell ref="M34:M35"/>
    <mergeCell ref="K34:K35"/>
    <mergeCell ref="K37:K38"/>
    <mergeCell ref="L34:L35"/>
    <mergeCell ref="L37:L38"/>
    <mergeCell ref="J34:J35"/>
    <mergeCell ref="J37:J38"/>
    <mergeCell ref="C37:C38"/>
    <mergeCell ref="H37:H38"/>
    <mergeCell ref="I37:I38"/>
    <mergeCell ref="J32:J33"/>
    <mergeCell ref="C23:C24"/>
    <mergeCell ref="M44:M45"/>
    <mergeCell ref="C40:C41"/>
    <mergeCell ref="M40:M41"/>
    <mergeCell ref="K44:K45"/>
    <mergeCell ref="L44:L45"/>
    <mergeCell ref="J44:J45"/>
    <mergeCell ref="C46:C47"/>
    <mergeCell ref="H46:H47"/>
    <mergeCell ref="I46:I47"/>
    <mergeCell ref="M46:M47"/>
    <mergeCell ref="K46:K47"/>
    <mergeCell ref="L46:L47"/>
    <mergeCell ref="C44:C45"/>
    <mergeCell ref="H44:H45"/>
    <mergeCell ref="I44:I45"/>
    <mergeCell ref="J46:J47"/>
    <mergeCell ref="J48:J49"/>
    <mergeCell ref="J58:J59"/>
    <mergeCell ref="J60:J61"/>
    <mergeCell ref="C62:C63"/>
    <mergeCell ref="H62:H63"/>
    <mergeCell ref="I62:I63"/>
    <mergeCell ref="M62:M63"/>
    <mergeCell ref="C60:C61"/>
    <mergeCell ref="H60:H61"/>
    <mergeCell ref="I60:I61"/>
    <mergeCell ref="M60:M61"/>
    <mergeCell ref="C58:C59"/>
    <mergeCell ref="H58:H59"/>
    <mergeCell ref="I58:I59"/>
    <mergeCell ref="M58:M59"/>
    <mergeCell ref="K48:K49"/>
    <mergeCell ref="K58:K59"/>
    <mergeCell ref="K60:K61"/>
    <mergeCell ref="L48:L49"/>
    <mergeCell ref="L58:L59"/>
    <mergeCell ref="L60:L61"/>
    <mergeCell ref="H48:H49"/>
    <mergeCell ref="I48:I49"/>
    <mergeCell ref="C48:C49"/>
    <mergeCell ref="C70:C71"/>
    <mergeCell ref="H70:H71"/>
    <mergeCell ref="I70:I71"/>
    <mergeCell ref="M70:M71"/>
    <mergeCell ref="C66:C67"/>
    <mergeCell ref="H66:H67"/>
    <mergeCell ref="I66:I67"/>
    <mergeCell ref="M66:M67"/>
    <mergeCell ref="K62:K63"/>
    <mergeCell ref="K64:K65"/>
    <mergeCell ref="K66:K67"/>
    <mergeCell ref="K70:K71"/>
    <mergeCell ref="L62:L63"/>
    <mergeCell ref="L64:L65"/>
    <mergeCell ref="L66:L67"/>
    <mergeCell ref="J62:J63"/>
    <mergeCell ref="J64:J65"/>
    <mergeCell ref="J66:J67"/>
    <mergeCell ref="J70:J71"/>
    <mergeCell ref="I64:I65"/>
    <mergeCell ref="M64:M65"/>
    <mergeCell ref="C64:C65"/>
    <mergeCell ref="H64:H65"/>
    <mergeCell ref="C74:C75"/>
    <mergeCell ref="H74:H75"/>
    <mergeCell ref="I74:I75"/>
    <mergeCell ref="M74:M75"/>
    <mergeCell ref="C72:C73"/>
    <mergeCell ref="H72:H73"/>
    <mergeCell ref="I72:I73"/>
    <mergeCell ref="K72:K73"/>
    <mergeCell ref="K74:K75"/>
    <mergeCell ref="J72:J73"/>
    <mergeCell ref="J74:J75"/>
    <mergeCell ref="I87:I88"/>
    <mergeCell ref="M87:M88"/>
    <mergeCell ref="C87:C88"/>
    <mergeCell ref="H87:H88"/>
    <mergeCell ref="M76:M77"/>
    <mergeCell ref="C79:C80"/>
    <mergeCell ref="H79:H80"/>
    <mergeCell ref="I79:I80"/>
    <mergeCell ref="M79:M80"/>
    <mergeCell ref="C76:C77"/>
    <mergeCell ref="H76:H77"/>
    <mergeCell ref="I76:I77"/>
    <mergeCell ref="K76:K77"/>
    <mergeCell ref="K79:K80"/>
    <mergeCell ref="H84:H85"/>
    <mergeCell ref="I84:I85"/>
    <mergeCell ref="K84:K85"/>
    <mergeCell ref="J87:J88"/>
    <mergeCell ref="J84:J85"/>
    <mergeCell ref="L84:L85"/>
    <mergeCell ref="J76:J77"/>
    <mergeCell ref="J79:J80"/>
    <mergeCell ref="Q1:Q2"/>
    <mergeCell ref="R1:R2"/>
    <mergeCell ref="L70:L71"/>
    <mergeCell ref="L72:L73"/>
    <mergeCell ref="L74:L75"/>
    <mergeCell ref="L76:L77"/>
    <mergeCell ref="L79:L80"/>
    <mergeCell ref="K87:K88"/>
    <mergeCell ref="L87:L88"/>
    <mergeCell ref="N1:N2"/>
    <mergeCell ref="O1:O2"/>
    <mergeCell ref="L1:L2"/>
    <mergeCell ref="L3:L4"/>
    <mergeCell ref="L17:L18"/>
    <mergeCell ref="L19:L20"/>
    <mergeCell ref="L21:L22"/>
    <mergeCell ref="L28:L29"/>
    <mergeCell ref="L30:L31"/>
    <mergeCell ref="K1:K2"/>
    <mergeCell ref="K3:K4"/>
    <mergeCell ref="K5:K16"/>
    <mergeCell ref="M72:M73"/>
    <mergeCell ref="M48:M49"/>
    <mergeCell ref="M84:M85"/>
    <mergeCell ref="P1:P2"/>
    <mergeCell ref="K32:K33"/>
    <mergeCell ref="L32:L33"/>
    <mergeCell ref="K28:K29"/>
    <mergeCell ref="M21:M22"/>
    <mergeCell ref="K21:K22"/>
    <mergeCell ref="M1:M2"/>
    <mergeCell ref="J23:J24"/>
    <mergeCell ref="K23:K24"/>
    <mergeCell ref="L23:L24"/>
    <mergeCell ref="M23:M24"/>
    <mergeCell ref="M28:M29"/>
    <mergeCell ref="M26:M27"/>
    <mergeCell ref="M32:M33"/>
    <mergeCell ref="M30:M31"/>
    <mergeCell ref="M3:M4"/>
    <mergeCell ref="M5:M16"/>
    <mergeCell ref="J1:J2"/>
    <mergeCell ref="J3:J4"/>
    <mergeCell ref="J5:J16"/>
    <mergeCell ref="J19:J20"/>
    <mergeCell ref="J21:J22"/>
    <mergeCell ref="J28:J29"/>
    <mergeCell ref="J30:J31"/>
  </mergeCells>
  <phoneticPr fontId="72" type="noConversion"/>
  <conditionalFormatting sqref="L3:L89">
    <cfRule type="cellIs" dxfId="47" priority="1" operator="equal">
      <formula>"On Plan"</formula>
    </cfRule>
    <cfRule type="cellIs" dxfId="46" priority="2" operator="equal">
      <formula>"Pending"</formula>
    </cfRule>
    <cfRule type="cellIs" dxfId="45" priority="3" operator="equal">
      <formula>"Complete"</formula>
    </cfRule>
    <cfRule type="cellIs" dxfId="44" priority="4" operator="equal">
      <formula>"In Progress"</formula>
    </cfRule>
  </conditionalFormatting>
  <dataValidations count="2">
    <dataValidation type="list" allowBlank="1" showInputMessage="1" showErrorMessage="1" sqref="L3:L4 L86:L89 L36:L84" xr:uid="{C4A0D791-6D5E-4BEE-B693-1622C6338C0E}">
      <formula1>"In Progress,Pending,Complete"</formula1>
    </dataValidation>
    <dataValidation type="list" allowBlank="1" showInputMessage="1" showErrorMessage="1" sqref="L5:L35" xr:uid="{63479120-6AB7-4BBA-8C43-8819678514F4}">
      <formula1>"In Progress,Pending,Complete,On Plan"</formula1>
    </dataValidation>
  </dataValidations>
  <pageMargins left="0.7" right="0.7" top="0.75" bottom="0.75" header="0.3" footer="0.3"/>
  <pageSetup paperSize="8" scale="49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87EF-76F1-4666-A8A8-EC5A3B7C052D}">
  <dimension ref="A1:T120"/>
  <sheetViews>
    <sheetView zoomScale="91" zoomScaleNormal="91" workbookViewId="0">
      <pane ySplit="1" topLeftCell="A111" activePane="bottomLeft" state="frozen"/>
      <selection pane="bottomLeft" activeCell="I121" sqref="I121"/>
    </sheetView>
  </sheetViews>
  <sheetFormatPr defaultColWidth="71.44140625" defaultRowHeight="24" customHeight="1"/>
  <cols>
    <col min="1" max="1" width="36.33203125" style="66" bestFit="1" customWidth="1"/>
    <col min="2" max="2" width="8.33203125" style="65" customWidth="1"/>
    <col min="3" max="3" width="35.5546875" style="63" customWidth="1"/>
    <col min="4" max="4" width="9" style="64" bestFit="1" customWidth="1"/>
    <col min="5" max="5" width="8.44140625" style="64" bestFit="1" customWidth="1"/>
    <col min="6" max="6" width="9.5546875" style="64" bestFit="1" customWidth="1"/>
    <col min="7" max="7" width="12.33203125" style="64" customWidth="1"/>
    <col min="8" max="8" width="25.33203125" style="63" customWidth="1"/>
    <col min="9" max="9" width="18" style="63" customWidth="1"/>
    <col min="10" max="10" width="13.88671875" style="63" customWidth="1"/>
    <col min="11" max="11" width="9" style="64" bestFit="1" customWidth="1"/>
    <col min="12" max="12" width="8.44140625" style="64" bestFit="1" customWidth="1"/>
    <col min="13" max="13" width="9.5546875" style="64" bestFit="1" customWidth="1"/>
    <col min="14" max="14" width="12.33203125" style="64" customWidth="1"/>
    <col min="15" max="15" width="14.109375" style="64" bestFit="1" customWidth="1"/>
    <col min="16" max="16" width="11.6640625" style="64" bestFit="1" customWidth="1"/>
    <col min="17" max="17" width="9.88671875" style="64" bestFit="1" customWidth="1"/>
    <col min="18" max="18" width="13.6640625" style="64" customWidth="1"/>
    <col min="19" max="19" width="39" style="64" customWidth="1"/>
    <col min="20" max="20" width="17.6640625" style="214" customWidth="1"/>
    <col min="21" max="16384" width="71.44140625" style="62"/>
  </cols>
  <sheetData>
    <row r="1" spans="1:20" ht="21">
      <c r="A1" s="379" t="s">
        <v>15</v>
      </c>
      <c r="B1" s="883" t="s">
        <v>17</v>
      </c>
      <c r="C1" s="898" t="s">
        <v>16</v>
      </c>
      <c r="D1" s="885" t="s">
        <v>152</v>
      </c>
      <c r="E1" s="895" t="s">
        <v>153</v>
      </c>
      <c r="F1" s="895" t="s">
        <v>154</v>
      </c>
      <c r="G1" s="895" t="s">
        <v>155</v>
      </c>
      <c r="H1" s="912" t="s">
        <v>156</v>
      </c>
      <c r="I1" s="485" t="s">
        <v>23</v>
      </c>
      <c r="J1" s="485" t="s">
        <v>24</v>
      </c>
      <c r="K1" s="885" t="s">
        <v>152</v>
      </c>
      <c r="L1" s="895" t="s">
        <v>153</v>
      </c>
      <c r="M1" s="895" t="s">
        <v>154</v>
      </c>
      <c r="N1" s="895" t="s">
        <v>155</v>
      </c>
      <c r="O1" s="3" t="s">
        <v>26</v>
      </c>
      <c r="P1" s="3" t="s">
        <v>27</v>
      </c>
      <c r="Q1" s="3" t="s">
        <v>28</v>
      </c>
      <c r="R1" s="4" t="s">
        <v>29</v>
      </c>
      <c r="S1" s="5" t="s">
        <v>30</v>
      </c>
      <c r="T1" s="525" t="s">
        <v>32</v>
      </c>
    </row>
    <row r="2" spans="1:20" ht="21">
      <c r="A2" s="1121" t="s">
        <v>75</v>
      </c>
      <c r="B2" s="1120">
        <v>1</v>
      </c>
      <c r="C2" s="73" t="s">
        <v>157</v>
      </c>
      <c r="D2" s="8">
        <v>1</v>
      </c>
      <c r="E2" s="8">
        <v>1</v>
      </c>
      <c r="F2" s="380">
        <v>0</v>
      </c>
      <c r="G2" s="880" t="s">
        <v>158</v>
      </c>
      <c r="H2" s="1113">
        <v>244403</v>
      </c>
      <c r="I2" s="484"/>
      <c r="J2" s="484"/>
      <c r="K2" s="8">
        <v>1</v>
      </c>
      <c r="L2" s="8">
        <v>1</v>
      </c>
      <c r="M2" s="380">
        <v>0</v>
      </c>
      <c r="N2" s="880" t="s">
        <v>158</v>
      </c>
      <c r="O2" s="8">
        <v>1</v>
      </c>
      <c r="P2" s="8">
        <v>1</v>
      </c>
      <c r="Q2" s="8">
        <v>1</v>
      </c>
      <c r="R2" s="7">
        <f t="shared" ref="R2:R33" si="0">ROUNDUP(((O2+P2+Q2)/3)/K2*100%,2)</f>
        <v>1</v>
      </c>
      <c r="S2" s="8"/>
      <c r="T2" s="495">
        <f>$H$2</f>
        <v>244403</v>
      </c>
    </row>
    <row r="3" spans="1:20" ht="21">
      <c r="A3" s="1121"/>
      <c r="B3" s="1120"/>
      <c r="C3" s="73" t="s">
        <v>159</v>
      </c>
      <c r="D3" s="8">
        <v>1</v>
      </c>
      <c r="E3" s="8">
        <v>1</v>
      </c>
      <c r="F3" s="380">
        <v>0</v>
      </c>
      <c r="G3" s="880" t="s">
        <v>158</v>
      </c>
      <c r="H3" s="1114"/>
      <c r="I3" s="73"/>
      <c r="J3" s="73"/>
      <c r="K3" s="8">
        <v>1</v>
      </c>
      <c r="L3" s="8">
        <v>1</v>
      </c>
      <c r="M3" s="380">
        <v>0</v>
      </c>
      <c r="N3" s="880" t="s">
        <v>158</v>
      </c>
      <c r="O3" s="8">
        <v>1</v>
      </c>
      <c r="P3" s="8">
        <v>1</v>
      </c>
      <c r="Q3" s="8">
        <v>1</v>
      </c>
      <c r="R3" s="7">
        <f t="shared" si="0"/>
        <v>1</v>
      </c>
      <c r="S3" s="378"/>
      <c r="T3" s="495">
        <f t="shared" ref="T3:T10" si="1">$H$2</f>
        <v>244403</v>
      </c>
    </row>
    <row r="4" spans="1:20" ht="21">
      <c r="A4" s="1121"/>
      <c r="B4" s="1120"/>
      <c r="C4" s="73" t="s">
        <v>160</v>
      </c>
      <c r="D4" s="8">
        <v>1</v>
      </c>
      <c r="E4" s="8">
        <v>1</v>
      </c>
      <c r="F4" s="380">
        <v>0</v>
      </c>
      <c r="G4" s="880" t="s">
        <v>158</v>
      </c>
      <c r="H4" s="1114"/>
      <c r="I4" s="73"/>
      <c r="J4" s="73"/>
      <c r="K4" s="8">
        <v>1</v>
      </c>
      <c r="L4" s="8">
        <v>1</v>
      </c>
      <c r="M4" s="380">
        <v>0</v>
      </c>
      <c r="N4" s="880" t="s">
        <v>158</v>
      </c>
      <c r="O4" s="8">
        <v>1</v>
      </c>
      <c r="P4" s="8">
        <v>1</v>
      </c>
      <c r="Q4" s="8">
        <v>1</v>
      </c>
      <c r="R4" s="7">
        <f t="shared" si="0"/>
        <v>1</v>
      </c>
      <c r="S4" s="378"/>
      <c r="T4" s="495">
        <f t="shared" si="1"/>
        <v>244403</v>
      </c>
    </row>
    <row r="5" spans="1:20" ht="21">
      <c r="A5" s="1121"/>
      <c r="B5" s="1120"/>
      <c r="C5" s="73" t="s">
        <v>161</v>
      </c>
      <c r="D5" s="8">
        <v>1</v>
      </c>
      <c r="E5" s="8">
        <v>1</v>
      </c>
      <c r="F5" s="380">
        <v>0</v>
      </c>
      <c r="G5" s="880" t="s">
        <v>158</v>
      </c>
      <c r="H5" s="1114"/>
      <c r="I5" s="73"/>
      <c r="J5" s="73"/>
      <c r="K5" s="8">
        <v>1</v>
      </c>
      <c r="L5" s="8">
        <v>1</v>
      </c>
      <c r="M5" s="380">
        <v>0</v>
      </c>
      <c r="N5" s="880" t="s">
        <v>158</v>
      </c>
      <c r="O5" s="8">
        <v>1</v>
      </c>
      <c r="P5" s="8">
        <v>1</v>
      </c>
      <c r="Q5" s="8">
        <v>1</v>
      </c>
      <c r="R5" s="7">
        <f t="shared" si="0"/>
        <v>1</v>
      </c>
      <c r="S5" s="378"/>
      <c r="T5" s="495">
        <f t="shared" si="1"/>
        <v>244403</v>
      </c>
    </row>
    <row r="6" spans="1:20" ht="21">
      <c r="A6" s="1121"/>
      <c r="B6" s="1120"/>
      <c r="C6" s="73" t="s">
        <v>162</v>
      </c>
      <c r="D6" s="8">
        <v>1</v>
      </c>
      <c r="E6" s="8">
        <v>1</v>
      </c>
      <c r="F6" s="380">
        <v>0</v>
      </c>
      <c r="G6" s="880" t="s">
        <v>158</v>
      </c>
      <c r="H6" s="1114"/>
      <c r="I6" s="73"/>
      <c r="J6" s="73"/>
      <c r="K6" s="8">
        <v>1</v>
      </c>
      <c r="L6" s="8">
        <v>1</v>
      </c>
      <c r="M6" s="380">
        <v>0</v>
      </c>
      <c r="N6" s="880" t="s">
        <v>158</v>
      </c>
      <c r="O6" s="8">
        <v>1</v>
      </c>
      <c r="P6" s="8">
        <v>1</v>
      </c>
      <c r="Q6" s="8">
        <v>1</v>
      </c>
      <c r="R6" s="7">
        <f t="shared" si="0"/>
        <v>1</v>
      </c>
      <c r="S6" s="378"/>
      <c r="T6" s="495">
        <f t="shared" si="1"/>
        <v>244403</v>
      </c>
    </row>
    <row r="7" spans="1:20" ht="21">
      <c r="A7" s="1121"/>
      <c r="B7" s="1120"/>
      <c r="C7" s="73" t="s">
        <v>163</v>
      </c>
      <c r="D7" s="8">
        <v>1</v>
      </c>
      <c r="E7" s="8">
        <v>1</v>
      </c>
      <c r="F7" s="380">
        <v>0</v>
      </c>
      <c r="G7" s="880" t="s">
        <v>158</v>
      </c>
      <c r="H7" s="1114"/>
      <c r="I7" s="73"/>
      <c r="J7" s="73"/>
      <c r="K7" s="8">
        <v>1</v>
      </c>
      <c r="L7" s="8">
        <v>1</v>
      </c>
      <c r="M7" s="380">
        <v>0</v>
      </c>
      <c r="N7" s="880" t="s">
        <v>158</v>
      </c>
      <c r="O7" s="8">
        <v>1</v>
      </c>
      <c r="P7" s="8">
        <v>1</v>
      </c>
      <c r="Q7" s="8">
        <v>1</v>
      </c>
      <c r="R7" s="7">
        <f t="shared" si="0"/>
        <v>1</v>
      </c>
      <c r="S7" s="378"/>
      <c r="T7" s="495">
        <f t="shared" si="1"/>
        <v>244403</v>
      </c>
    </row>
    <row r="8" spans="1:20" ht="21">
      <c r="A8" s="1121"/>
      <c r="B8" s="1120"/>
      <c r="C8" s="73" t="s">
        <v>164</v>
      </c>
      <c r="D8" s="8">
        <v>1</v>
      </c>
      <c r="E8" s="8">
        <v>1</v>
      </c>
      <c r="F8" s="380">
        <v>0</v>
      </c>
      <c r="G8" s="880" t="s">
        <v>158</v>
      </c>
      <c r="H8" s="1114"/>
      <c r="I8" s="73"/>
      <c r="J8" s="73"/>
      <c r="K8" s="8">
        <v>1</v>
      </c>
      <c r="L8" s="8">
        <v>1</v>
      </c>
      <c r="M8" s="380">
        <v>0</v>
      </c>
      <c r="N8" s="880" t="s">
        <v>158</v>
      </c>
      <c r="O8" s="8">
        <v>1</v>
      </c>
      <c r="P8" s="8">
        <v>1</v>
      </c>
      <c r="Q8" s="8">
        <v>1</v>
      </c>
      <c r="R8" s="7">
        <f t="shared" si="0"/>
        <v>1</v>
      </c>
      <c r="S8" s="378"/>
      <c r="T8" s="495">
        <f t="shared" si="1"/>
        <v>244403</v>
      </c>
    </row>
    <row r="9" spans="1:20" ht="21">
      <c r="A9" s="1121"/>
      <c r="B9" s="1120"/>
      <c r="C9" s="73" t="s">
        <v>165</v>
      </c>
      <c r="D9" s="8">
        <v>1</v>
      </c>
      <c r="E9" s="8">
        <v>1</v>
      </c>
      <c r="F9" s="380">
        <v>0</v>
      </c>
      <c r="G9" s="880" t="s">
        <v>158</v>
      </c>
      <c r="H9" s="1114"/>
      <c r="I9" s="73"/>
      <c r="J9" s="73"/>
      <c r="K9" s="8">
        <v>1</v>
      </c>
      <c r="L9" s="8">
        <v>1</v>
      </c>
      <c r="M9" s="380">
        <v>0</v>
      </c>
      <c r="N9" s="880" t="s">
        <v>158</v>
      </c>
      <c r="O9" s="8">
        <v>1</v>
      </c>
      <c r="P9" s="8">
        <v>1</v>
      </c>
      <c r="Q9" s="8">
        <v>1</v>
      </c>
      <c r="R9" s="7">
        <f t="shared" si="0"/>
        <v>1</v>
      </c>
      <c r="S9" s="378"/>
      <c r="T9" s="495">
        <f t="shared" si="1"/>
        <v>244403</v>
      </c>
    </row>
    <row r="10" spans="1:20" ht="21">
      <c r="A10" s="1121"/>
      <c r="B10" s="1120"/>
      <c r="C10" s="73" t="s">
        <v>166</v>
      </c>
      <c r="D10" s="8">
        <v>1</v>
      </c>
      <c r="E10" s="8">
        <v>1</v>
      </c>
      <c r="F10" s="380">
        <v>0</v>
      </c>
      <c r="G10" s="880" t="s">
        <v>158</v>
      </c>
      <c r="H10" s="1115"/>
      <c r="I10" s="73"/>
      <c r="J10" s="73"/>
      <c r="K10" s="8">
        <v>1</v>
      </c>
      <c r="L10" s="8">
        <v>1</v>
      </c>
      <c r="M10" s="380">
        <v>0</v>
      </c>
      <c r="N10" s="880" t="s">
        <v>158</v>
      </c>
      <c r="O10" s="8">
        <v>1</v>
      </c>
      <c r="P10" s="8">
        <v>1</v>
      </c>
      <c r="Q10" s="8">
        <v>1</v>
      </c>
      <c r="R10" s="7">
        <f t="shared" si="0"/>
        <v>1</v>
      </c>
      <c r="S10" s="378"/>
      <c r="T10" s="495">
        <f t="shared" si="1"/>
        <v>244403</v>
      </c>
    </row>
    <row r="11" spans="1:20" ht="21">
      <c r="A11" s="1121"/>
      <c r="B11" s="1120">
        <v>2</v>
      </c>
      <c r="C11" s="73" t="s">
        <v>167</v>
      </c>
      <c r="D11" s="8">
        <v>2</v>
      </c>
      <c r="E11" s="8">
        <v>2</v>
      </c>
      <c r="F11" s="380">
        <v>0</v>
      </c>
      <c r="G11" s="880" t="s">
        <v>158</v>
      </c>
      <c r="H11" s="1116">
        <v>46082</v>
      </c>
      <c r="I11" s="73"/>
      <c r="J11" s="73"/>
      <c r="K11" s="8">
        <v>2</v>
      </c>
      <c r="L11" s="8">
        <v>2</v>
      </c>
      <c r="M11" s="380">
        <v>0</v>
      </c>
      <c r="N11" s="880" t="s">
        <v>158</v>
      </c>
      <c r="O11" s="8">
        <v>2</v>
      </c>
      <c r="P11" s="8">
        <v>2</v>
      </c>
      <c r="Q11" s="8">
        <v>2</v>
      </c>
      <c r="R11" s="7">
        <f t="shared" si="0"/>
        <v>1</v>
      </c>
      <c r="S11" s="378"/>
      <c r="T11" s="495">
        <f>$H$11</f>
        <v>46082</v>
      </c>
    </row>
    <row r="12" spans="1:20" ht="21">
      <c r="A12" s="1121"/>
      <c r="B12" s="1120"/>
      <c r="C12" s="73" t="s">
        <v>168</v>
      </c>
      <c r="D12" s="8">
        <v>1</v>
      </c>
      <c r="E12" s="8">
        <v>1</v>
      </c>
      <c r="F12" s="380">
        <v>0</v>
      </c>
      <c r="G12" s="880" t="s">
        <v>158</v>
      </c>
      <c r="H12" s="1117"/>
      <c r="I12" s="73"/>
      <c r="J12" s="73"/>
      <c r="K12" s="8">
        <v>1</v>
      </c>
      <c r="L12" s="8">
        <v>1</v>
      </c>
      <c r="M12" s="380">
        <v>0</v>
      </c>
      <c r="N12" s="880" t="s">
        <v>158</v>
      </c>
      <c r="O12" s="8">
        <v>1</v>
      </c>
      <c r="P12" s="8">
        <v>1</v>
      </c>
      <c r="Q12" s="8">
        <v>1</v>
      </c>
      <c r="R12" s="7">
        <f t="shared" si="0"/>
        <v>1</v>
      </c>
      <c r="S12" s="378"/>
      <c r="T12" s="495">
        <f t="shared" ref="T12:T26" si="2">$H$11</f>
        <v>46082</v>
      </c>
    </row>
    <row r="13" spans="1:20" ht="21">
      <c r="A13" s="1121"/>
      <c r="B13" s="1120"/>
      <c r="C13" s="73" t="s">
        <v>169</v>
      </c>
      <c r="D13" s="8">
        <v>1</v>
      </c>
      <c r="E13" s="8">
        <v>1</v>
      </c>
      <c r="F13" s="380">
        <v>0</v>
      </c>
      <c r="G13" s="880" t="s">
        <v>158</v>
      </c>
      <c r="H13" s="1117"/>
      <c r="I13" s="73"/>
      <c r="J13" s="73"/>
      <c r="K13" s="8">
        <v>1</v>
      </c>
      <c r="L13" s="8">
        <v>1</v>
      </c>
      <c r="M13" s="380">
        <v>0</v>
      </c>
      <c r="N13" s="880" t="s">
        <v>158</v>
      </c>
      <c r="O13" s="8">
        <v>1</v>
      </c>
      <c r="P13" s="8">
        <v>1</v>
      </c>
      <c r="Q13" s="8">
        <v>1</v>
      </c>
      <c r="R13" s="7">
        <f t="shared" si="0"/>
        <v>1</v>
      </c>
      <c r="S13" s="378"/>
      <c r="T13" s="495">
        <f t="shared" si="2"/>
        <v>46082</v>
      </c>
    </row>
    <row r="14" spans="1:20" ht="21">
      <c r="A14" s="1121"/>
      <c r="B14" s="1120"/>
      <c r="C14" s="73" t="s">
        <v>170</v>
      </c>
      <c r="D14" s="8">
        <v>1</v>
      </c>
      <c r="E14" s="8">
        <v>1</v>
      </c>
      <c r="F14" s="380">
        <v>0</v>
      </c>
      <c r="G14" s="880" t="s">
        <v>158</v>
      </c>
      <c r="H14" s="1117"/>
      <c r="I14" s="73"/>
      <c r="J14" s="73"/>
      <c r="K14" s="8">
        <v>1</v>
      </c>
      <c r="L14" s="8">
        <v>1</v>
      </c>
      <c r="M14" s="380">
        <v>0</v>
      </c>
      <c r="N14" s="880" t="s">
        <v>158</v>
      </c>
      <c r="O14" s="8">
        <v>1</v>
      </c>
      <c r="P14" s="8">
        <v>1</v>
      </c>
      <c r="Q14" s="8">
        <v>1</v>
      </c>
      <c r="R14" s="7">
        <f t="shared" si="0"/>
        <v>1</v>
      </c>
      <c r="S14" s="378"/>
      <c r="T14" s="495">
        <f t="shared" si="2"/>
        <v>46082</v>
      </c>
    </row>
    <row r="15" spans="1:20" ht="21">
      <c r="A15" s="1121"/>
      <c r="B15" s="1120"/>
      <c r="C15" s="73" t="s">
        <v>171</v>
      </c>
      <c r="D15" s="8">
        <v>2</v>
      </c>
      <c r="E15" s="8">
        <v>2</v>
      </c>
      <c r="F15" s="380">
        <v>0</v>
      </c>
      <c r="G15" s="880" t="s">
        <v>158</v>
      </c>
      <c r="H15" s="1117"/>
      <c r="I15" s="73"/>
      <c r="J15" s="73"/>
      <c r="K15" s="8">
        <v>2</v>
      </c>
      <c r="L15" s="8">
        <v>2</v>
      </c>
      <c r="M15" s="380">
        <v>0</v>
      </c>
      <c r="N15" s="880" t="s">
        <v>158</v>
      </c>
      <c r="O15" s="8">
        <v>2</v>
      </c>
      <c r="P15" s="8">
        <v>2</v>
      </c>
      <c r="Q15" s="8">
        <v>2</v>
      </c>
      <c r="R15" s="7">
        <f t="shared" si="0"/>
        <v>1</v>
      </c>
      <c r="S15" s="378"/>
      <c r="T15" s="495">
        <f t="shared" si="2"/>
        <v>46082</v>
      </c>
    </row>
    <row r="16" spans="1:20" ht="21">
      <c r="A16" s="1121"/>
      <c r="B16" s="1120"/>
      <c r="C16" s="73" t="s">
        <v>172</v>
      </c>
      <c r="D16" s="8">
        <v>1</v>
      </c>
      <c r="E16" s="8">
        <v>1</v>
      </c>
      <c r="F16" s="380">
        <v>0</v>
      </c>
      <c r="G16" s="880" t="s">
        <v>158</v>
      </c>
      <c r="H16" s="1117"/>
      <c r="I16" s="73"/>
      <c r="J16" s="73"/>
      <c r="K16" s="8">
        <v>1</v>
      </c>
      <c r="L16" s="8">
        <v>1</v>
      </c>
      <c r="M16" s="380">
        <v>0</v>
      </c>
      <c r="N16" s="880" t="s">
        <v>158</v>
      </c>
      <c r="O16" s="8">
        <v>1</v>
      </c>
      <c r="P16" s="8">
        <v>1</v>
      </c>
      <c r="Q16" s="8">
        <v>1</v>
      </c>
      <c r="R16" s="7">
        <f t="shared" si="0"/>
        <v>1</v>
      </c>
      <c r="S16" s="378"/>
      <c r="T16" s="495">
        <f t="shared" si="2"/>
        <v>46082</v>
      </c>
    </row>
    <row r="17" spans="1:20" ht="21">
      <c r="A17" s="1121"/>
      <c r="B17" s="1120"/>
      <c r="C17" s="73" t="s">
        <v>173</v>
      </c>
      <c r="D17" s="8">
        <v>1</v>
      </c>
      <c r="E17" s="8">
        <v>1</v>
      </c>
      <c r="F17" s="380">
        <v>0</v>
      </c>
      <c r="G17" s="880" t="s">
        <v>158</v>
      </c>
      <c r="H17" s="1117"/>
      <c r="I17" s="73"/>
      <c r="J17" s="73"/>
      <c r="K17" s="8">
        <v>1</v>
      </c>
      <c r="L17" s="8">
        <v>1</v>
      </c>
      <c r="M17" s="380">
        <v>0</v>
      </c>
      <c r="N17" s="880" t="s">
        <v>158</v>
      </c>
      <c r="O17" s="8">
        <v>1</v>
      </c>
      <c r="P17" s="8">
        <v>1</v>
      </c>
      <c r="Q17" s="8">
        <v>1</v>
      </c>
      <c r="R17" s="7">
        <f t="shared" si="0"/>
        <v>1</v>
      </c>
      <c r="S17" s="378"/>
      <c r="T17" s="495">
        <f t="shared" si="2"/>
        <v>46082</v>
      </c>
    </row>
    <row r="18" spans="1:20" ht="21">
      <c r="A18" s="1121"/>
      <c r="B18" s="1120"/>
      <c r="C18" s="73" t="s">
        <v>174</v>
      </c>
      <c r="D18" s="8">
        <v>1</v>
      </c>
      <c r="E18" s="8">
        <v>1</v>
      </c>
      <c r="F18" s="380">
        <v>0</v>
      </c>
      <c r="G18" s="880" t="s">
        <v>158</v>
      </c>
      <c r="H18" s="1117"/>
      <c r="I18" s="73"/>
      <c r="J18" s="73"/>
      <c r="K18" s="8">
        <v>1</v>
      </c>
      <c r="L18" s="8">
        <v>1</v>
      </c>
      <c r="M18" s="380">
        <v>0</v>
      </c>
      <c r="N18" s="880" t="s">
        <v>158</v>
      </c>
      <c r="O18" s="8">
        <v>1</v>
      </c>
      <c r="P18" s="8">
        <v>1</v>
      </c>
      <c r="Q18" s="8">
        <v>1</v>
      </c>
      <c r="R18" s="7">
        <f t="shared" si="0"/>
        <v>1</v>
      </c>
      <c r="S18" s="378"/>
      <c r="T18" s="495">
        <f t="shared" si="2"/>
        <v>46082</v>
      </c>
    </row>
    <row r="19" spans="1:20" ht="21">
      <c r="A19" s="1121"/>
      <c r="B19" s="1120"/>
      <c r="C19" s="73" t="s">
        <v>175</v>
      </c>
      <c r="D19" s="8">
        <v>1</v>
      </c>
      <c r="E19" s="8">
        <v>1</v>
      </c>
      <c r="F19" s="380">
        <v>0</v>
      </c>
      <c r="G19" s="880" t="s">
        <v>158</v>
      </c>
      <c r="H19" s="1117"/>
      <c r="I19" s="73"/>
      <c r="J19" s="73"/>
      <c r="K19" s="8">
        <v>1</v>
      </c>
      <c r="L19" s="8">
        <v>1</v>
      </c>
      <c r="M19" s="380">
        <v>0</v>
      </c>
      <c r="N19" s="880" t="s">
        <v>158</v>
      </c>
      <c r="O19" s="8">
        <v>1</v>
      </c>
      <c r="P19" s="8">
        <v>1</v>
      </c>
      <c r="Q19" s="8">
        <v>1</v>
      </c>
      <c r="R19" s="7">
        <f t="shared" si="0"/>
        <v>1</v>
      </c>
      <c r="S19" s="378"/>
      <c r="T19" s="495">
        <f t="shared" si="2"/>
        <v>46082</v>
      </c>
    </row>
    <row r="20" spans="1:20" ht="21">
      <c r="A20" s="1121"/>
      <c r="B20" s="1120"/>
      <c r="C20" s="73" t="s">
        <v>176</v>
      </c>
      <c r="D20" s="8">
        <v>1</v>
      </c>
      <c r="E20" s="8">
        <v>1</v>
      </c>
      <c r="F20" s="380">
        <v>0</v>
      </c>
      <c r="G20" s="880" t="s">
        <v>158</v>
      </c>
      <c r="H20" s="1117"/>
      <c r="I20" s="73"/>
      <c r="J20" s="73"/>
      <c r="K20" s="8">
        <v>1</v>
      </c>
      <c r="L20" s="8">
        <v>1</v>
      </c>
      <c r="M20" s="380">
        <v>0</v>
      </c>
      <c r="N20" s="880" t="s">
        <v>158</v>
      </c>
      <c r="O20" s="8">
        <v>1</v>
      </c>
      <c r="P20" s="8">
        <v>1</v>
      </c>
      <c r="Q20" s="8">
        <v>1</v>
      </c>
      <c r="R20" s="7">
        <f t="shared" si="0"/>
        <v>1</v>
      </c>
      <c r="S20" s="378"/>
      <c r="T20" s="495">
        <f t="shared" si="2"/>
        <v>46082</v>
      </c>
    </row>
    <row r="21" spans="1:20" ht="21">
      <c r="A21" s="1121"/>
      <c r="B21" s="1120"/>
      <c r="C21" s="73" t="s">
        <v>177</v>
      </c>
      <c r="D21" s="8">
        <v>1</v>
      </c>
      <c r="E21" s="8">
        <v>1</v>
      </c>
      <c r="F21" s="380">
        <v>0</v>
      </c>
      <c r="G21" s="880" t="s">
        <v>158</v>
      </c>
      <c r="H21" s="1117"/>
      <c r="I21" s="73"/>
      <c r="J21" s="73"/>
      <c r="K21" s="8">
        <v>1</v>
      </c>
      <c r="L21" s="8">
        <v>1</v>
      </c>
      <c r="M21" s="380">
        <v>0</v>
      </c>
      <c r="N21" s="880" t="s">
        <v>158</v>
      </c>
      <c r="O21" s="8">
        <v>1</v>
      </c>
      <c r="P21" s="8">
        <v>1</v>
      </c>
      <c r="Q21" s="8">
        <v>1</v>
      </c>
      <c r="R21" s="7">
        <f t="shared" si="0"/>
        <v>1</v>
      </c>
      <c r="S21" s="378"/>
      <c r="T21" s="495">
        <f t="shared" si="2"/>
        <v>46082</v>
      </c>
    </row>
    <row r="22" spans="1:20" ht="21">
      <c r="A22" s="1121"/>
      <c r="B22" s="1120"/>
      <c r="C22" s="73" t="s">
        <v>178</v>
      </c>
      <c r="D22" s="8">
        <v>2</v>
      </c>
      <c r="E22" s="8">
        <v>2</v>
      </c>
      <c r="F22" s="380">
        <v>0</v>
      </c>
      <c r="G22" s="880" t="s">
        <v>158</v>
      </c>
      <c r="H22" s="1117"/>
      <c r="I22" s="73"/>
      <c r="J22" s="73"/>
      <c r="K22" s="8">
        <v>2</v>
      </c>
      <c r="L22" s="8">
        <v>2</v>
      </c>
      <c r="M22" s="380">
        <v>0</v>
      </c>
      <c r="N22" s="880" t="s">
        <v>158</v>
      </c>
      <c r="O22" s="8">
        <v>2</v>
      </c>
      <c r="P22" s="8">
        <v>2</v>
      </c>
      <c r="Q22" s="8">
        <v>2</v>
      </c>
      <c r="R22" s="7">
        <f t="shared" si="0"/>
        <v>1</v>
      </c>
      <c r="S22" s="378"/>
      <c r="T22" s="495">
        <f t="shared" si="2"/>
        <v>46082</v>
      </c>
    </row>
    <row r="23" spans="1:20" ht="21">
      <c r="A23" s="1121"/>
      <c r="B23" s="1120"/>
      <c r="C23" s="73" t="s">
        <v>130</v>
      </c>
      <c r="D23" s="8">
        <v>1</v>
      </c>
      <c r="E23" s="8">
        <v>0</v>
      </c>
      <c r="F23" s="380">
        <v>1</v>
      </c>
      <c r="G23" s="880" t="s">
        <v>158</v>
      </c>
      <c r="H23" s="1117"/>
      <c r="I23" s="73"/>
      <c r="J23" s="73"/>
      <c r="K23" s="8">
        <v>1</v>
      </c>
      <c r="L23" s="8">
        <v>0</v>
      </c>
      <c r="M23" s="380">
        <v>1</v>
      </c>
      <c r="N23" s="880" t="s">
        <v>158</v>
      </c>
      <c r="O23" s="8">
        <v>1</v>
      </c>
      <c r="P23" s="8">
        <v>1</v>
      </c>
      <c r="Q23" s="8">
        <v>1</v>
      </c>
      <c r="R23" s="7">
        <f t="shared" si="0"/>
        <v>1</v>
      </c>
      <c r="S23" s="378"/>
      <c r="T23" s="495">
        <f t="shared" si="2"/>
        <v>46082</v>
      </c>
    </row>
    <row r="24" spans="1:20" ht="21">
      <c r="A24" s="1121"/>
      <c r="B24" s="1120"/>
      <c r="C24" s="73" t="s">
        <v>179</v>
      </c>
      <c r="D24" s="8">
        <v>1</v>
      </c>
      <c r="E24" s="8">
        <v>0</v>
      </c>
      <c r="F24" s="380">
        <v>1</v>
      </c>
      <c r="G24" s="880" t="s">
        <v>158</v>
      </c>
      <c r="H24" s="1117"/>
      <c r="I24" s="73"/>
      <c r="J24" s="73"/>
      <c r="K24" s="8">
        <v>1</v>
      </c>
      <c r="L24" s="8">
        <v>0</v>
      </c>
      <c r="M24" s="380">
        <v>1</v>
      </c>
      <c r="N24" s="880" t="s">
        <v>158</v>
      </c>
      <c r="O24" s="8">
        <v>1</v>
      </c>
      <c r="P24" s="8">
        <v>1</v>
      </c>
      <c r="Q24" s="8">
        <v>1</v>
      </c>
      <c r="R24" s="7">
        <f t="shared" si="0"/>
        <v>1</v>
      </c>
      <c r="S24" s="378"/>
      <c r="T24" s="495">
        <f t="shared" si="2"/>
        <v>46082</v>
      </c>
    </row>
    <row r="25" spans="1:20" ht="21">
      <c r="A25" s="1121"/>
      <c r="B25" s="1120"/>
      <c r="C25" s="73" t="s">
        <v>159</v>
      </c>
      <c r="D25" s="8">
        <v>1</v>
      </c>
      <c r="E25" s="8">
        <v>0</v>
      </c>
      <c r="F25" s="380">
        <v>1</v>
      </c>
      <c r="G25" s="880" t="s">
        <v>158</v>
      </c>
      <c r="H25" s="1117"/>
      <c r="I25" s="73"/>
      <c r="J25" s="73"/>
      <c r="K25" s="8">
        <v>1</v>
      </c>
      <c r="L25" s="8">
        <v>0</v>
      </c>
      <c r="M25" s="380">
        <v>1</v>
      </c>
      <c r="N25" s="880" t="s">
        <v>158</v>
      </c>
      <c r="O25" s="8">
        <v>1</v>
      </c>
      <c r="P25" s="8">
        <v>1</v>
      </c>
      <c r="Q25" s="8">
        <v>1</v>
      </c>
      <c r="R25" s="7">
        <f t="shared" si="0"/>
        <v>1</v>
      </c>
      <c r="S25" s="378"/>
      <c r="T25" s="495">
        <f t="shared" si="2"/>
        <v>46082</v>
      </c>
    </row>
    <row r="26" spans="1:20" ht="21">
      <c r="A26" s="1121"/>
      <c r="B26" s="1120"/>
      <c r="C26" s="73" t="s">
        <v>180</v>
      </c>
      <c r="D26" s="8">
        <v>1</v>
      </c>
      <c r="E26" s="8">
        <v>0</v>
      </c>
      <c r="F26" s="380">
        <v>1</v>
      </c>
      <c r="G26" s="880" t="s">
        <v>158</v>
      </c>
      <c r="H26" s="1118"/>
      <c r="I26" s="73"/>
      <c r="J26" s="73"/>
      <c r="K26" s="8">
        <v>1</v>
      </c>
      <c r="L26" s="8">
        <v>0</v>
      </c>
      <c r="M26" s="380">
        <v>1</v>
      </c>
      <c r="N26" s="880" t="s">
        <v>158</v>
      </c>
      <c r="O26" s="8">
        <v>1</v>
      </c>
      <c r="P26" s="8">
        <v>1</v>
      </c>
      <c r="Q26" s="8">
        <v>1</v>
      </c>
      <c r="R26" s="7">
        <f t="shared" si="0"/>
        <v>1</v>
      </c>
      <c r="S26" s="378"/>
      <c r="T26" s="495">
        <f t="shared" si="2"/>
        <v>46082</v>
      </c>
    </row>
    <row r="27" spans="1:20" ht="21">
      <c r="A27" s="1121"/>
      <c r="B27" s="1120">
        <v>3</v>
      </c>
      <c r="C27" s="73" t="s">
        <v>181</v>
      </c>
      <c r="D27" s="8">
        <v>1</v>
      </c>
      <c r="E27" s="8">
        <v>1</v>
      </c>
      <c r="F27" s="380">
        <v>0</v>
      </c>
      <c r="G27" s="880" t="s">
        <v>158</v>
      </c>
      <c r="H27" s="1116">
        <v>46085</v>
      </c>
      <c r="I27" s="73"/>
      <c r="J27" s="73"/>
      <c r="K27" s="8">
        <v>1</v>
      </c>
      <c r="L27" s="8">
        <v>1</v>
      </c>
      <c r="M27" s="380">
        <v>0</v>
      </c>
      <c r="N27" s="880" t="s">
        <v>158</v>
      </c>
      <c r="O27" s="8">
        <v>1</v>
      </c>
      <c r="P27" s="8">
        <v>1</v>
      </c>
      <c r="Q27" s="8">
        <v>1</v>
      </c>
      <c r="R27" s="7">
        <f t="shared" si="0"/>
        <v>1</v>
      </c>
      <c r="S27" s="378"/>
      <c r="T27" s="495">
        <f>$H$27</f>
        <v>46085</v>
      </c>
    </row>
    <row r="28" spans="1:20" ht="21">
      <c r="A28" s="1121"/>
      <c r="B28" s="1120"/>
      <c r="C28" s="73" t="s">
        <v>182</v>
      </c>
      <c r="D28" s="8">
        <v>1</v>
      </c>
      <c r="E28" s="8">
        <v>1</v>
      </c>
      <c r="F28" s="380">
        <v>0</v>
      </c>
      <c r="G28" s="880" t="s">
        <v>158</v>
      </c>
      <c r="H28" s="1117"/>
      <c r="I28" s="73"/>
      <c r="J28" s="73"/>
      <c r="K28" s="8">
        <v>1</v>
      </c>
      <c r="L28" s="8">
        <v>1</v>
      </c>
      <c r="M28" s="380">
        <v>0</v>
      </c>
      <c r="N28" s="880" t="s">
        <v>158</v>
      </c>
      <c r="O28" s="8">
        <v>1</v>
      </c>
      <c r="P28" s="8">
        <v>1</v>
      </c>
      <c r="Q28" s="8">
        <v>1</v>
      </c>
      <c r="R28" s="7">
        <f t="shared" si="0"/>
        <v>1</v>
      </c>
      <c r="S28" s="378"/>
      <c r="T28" s="495">
        <f t="shared" ref="T28:T34" si="3">$H$27</f>
        <v>46085</v>
      </c>
    </row>
    <row r="29" spans="1:20" ht="21">
      <c r="A29" s="1121"/>
      <c r="B29" s="1120"/>
      <c r="C29" s="73" t="s">
        <v>183</v>
      </c>
      <c r="D29" s="8">
        <v>1</v>
      </c>
      <c r="E29" s="8">
        <v>1</v>
      </c>
      <c r="F29" s="380">
        <v>0</v>
      </c>
      <c r="G29" s="880" t="s">
        <v>158</v>
      </c>
      <c r="H29" s="1117"/>
      <c r="I29" s="73"/>
      <c r="J29" s="73"/>
      <c r="K29" s="8">
        <v>1</v>
      </c>
      <c r="L29" s="8">
        <v>1</v>
      </c>
      <c r="M29" s="380">
        <v>0</v>
      </c>
      <c r="N29" s="880" t="s">
        <v>158</v>
      </c>
      <c r="O29" s="8">
        <v>1</v>
      </c>
      <c r="P29" s="8">
        <v>1</v>
      </c>
      <c r="Q29" s="8">
        <v>1</v>
      </c>
      <c r="R29" s="7">
        <f t="shared" si="0"/>
        <v>1</v>
      </c>
      <c r="S29" s="378"/>
      <c r="T29" s="495">
        <f t="shared" si="3"/>
        <v>46085</v>
      </c>
    </row>
    <row r="30" spans="1:20" ht="21">
      <c r="A30" s="1121"/>
      <c r="B30" s="1120"/>
      <c r="C30" s="73" t="s">
        <v>184</v>
      </c>
      <c r="D30" s="8">
        <v>1</v>
      </c>
      <c r="E30" s="8">
        <v>1</v>
      </c>
      <c r="F30" s="380">
        <v>0</v>
      </c>
      <c r="G30" s="880" t="s">
        <v>158</v>
      </c>
      <c r="H30" s="1117"/>
      <c r="I30" s="73"/>
      <c r="J30" s="73"/>
      <c r="K30" s="8">
        <v>1</v>
      </c>
      <c r="L30" s="8">
        <v>1</v>
      </c>
      <c r="M30" s="380">
        <v>0</v>
      </c>
      <c r="N30" s="880" t="s">
        <v>158</v>
      </c>
      <c r="O30" s="8">
        <v>1</v>
      </c>
      <c r="P30" s="8">
        <v>1</v>
      </c>
      <c r="Q30" s="8">
        <v>1</v>
      </c>
      <c r="R30" s="7">
        <f t="shared" si="0"/>
        <v>1</v>
      </c>
      <c r="S30" s="378"/>
      <c r="T30" s="495">
        <f t="shared" si="3"/>
        <v>46085</v>
      </c>
    </row>
    <row r="31" spans="1:20" ht="21">
      <c r="A31" s="1121"/>
      <c r="B31" s="1120"/>
      <c r="C31" s="73" t="s">
        <v>185</v>
      </c>
      <c r="D31" s="8">
        <v>1</v>
      </c>
      <c r="E31" s="8">
        <v>1</v>
      </c>
      <c r="F31" s="380">
        <v>0</v>
      </c>
      <c r="G31" s="880" t="s">
        <v>158</v>
      </c>
      <c r="H31" s="1117"/>
      <c r="I31" s="73"/>
      <c r="J31" s="73"/>
      <c r="K31" s="8">
        <v>1</v>
      </c>
      <c r="L31" s="8">
        <v>1</v>
      </c>
      <c r="M31" s="380">
        <v>0</v>
      </c>
      <c r="N31" s="880" t="s">
        <v>158</v>
      </c>
      <c r="O31" s="8">
        <v>1</v>
      </c>
      <c r="P31" s="8">
        <v>1</v>
      </c>
      <c r="Q31" s="8">
        <v>1</v>
      </c>
      <c r="R31" s="7">
        <f t="shared" si="0"/>
        <v>1</v>
      </c>
      <c r="S31" s="378"/>
      <c r="T31" s="495">
        <f t="shared" si="3"/>
        <v>46085</v>
      </c>
    </row>
    <row r="32" spans="1:20" ht="21">
      <c r="A32" s="1121"/>
      <c r="B32" s="1120"/>
      <c r="C32" s="73" t="s">
        <v>186</v>
      </c>
      <c r="D32" s="8">
        <v>5</v>
      </c>
      <c r="E32" s="8">
        <v>5</v>
      </c>
      <c r="F32" s="380">
        <v>0</v>
      </c>
      <c r="G32" s="880" t="s">
        <v>158</v>
      </c>
      <c r="H32" s="1117"/>
      <c r="I32" s="73"/>
      <c r="J32" s="73"/>
      <c r="K32" s="8">
        <v>5</v>
      </c>
      <c r="L32" s="8">
        <v>5</v>
      </c>
      <c r="M32" s="380">
        <v>0</v>
      </c>
      <c r="N32" s="880" t="s">
        <v>158</v>
      </c>
      <c r="O32" s="8">
        <v>5</v>
      </c>
      <c r="P32" s="8">
        <v>5</v>
      </c>
      <c r="Q32" s="8">
        <v>5</v>
      </c>
      <c r="R32" s="7">
        <f t="shared" si="0"/>
        <v>1</v>
      </c>
      <c r="S32" s="378"/>
      <c r="T32" s="495">
        <f t="shared" si="3"/>
        <v>46085</v>
      </c>
    </row>
    <row r="33" spans="1:20" ht="21">
      <c r="A33" s="1121"/>
      <c r="B33" s="1120"/>
      <c r="C33" s="73" t="s">
        <v>187</v>
      </c>
      <c r="D33" s="8">
        <v>3</v>
      </c>
      <c r="E33" s="8">
        <v>3</v>
      </c>
      <c r="F33" s="380">
        <v>0</v>
      </c>
      <c r="G33" s="880" t="s">
        <v>158</v>
      </c>
      <c r="H33" s="1117"/>
      <c r="I33" s="73"/>
      <c r="J33" s="73"/>
      <c r="K33" s="8">
        <v>3</v>
      </c>
      <c r="L33" s="8">
        <v>3</v>
      </c>
      <c r="M33" s="380">
        <v>0</v>
      </c>
      <c r="N33" s="880" t="s">
        <v>158</v>
      </c>
      <c r="O33" s="8">
        <v>3</v>
      </c>
      <c r="P33" s="8">
        <v>3</v>
      </c>
      <c r="Q33" s="8">
        <v>3</v>
      </c>
      <c r="R33" s="7">
        <f t="shared" si="0"/>
        <v>1</v>
      </c>
      <c r="S33" s="378"/>
      <c r="T33" s="495">
        <f t="shared" si="3"/>
        <v>46085</v>
      </c>
    </row>
    <row r="34" spans="1:20" ht="21">
      <c r="A34" s="1121"/>
      <c r="B34" s="1120"/>
      <c r="C34" s="73" t="s">
        <v>130</v>
      </c>
      <c r="D34" s="8">
        <v>1</v>
      </c>
      <c r="E34" s="8">
        <v>0</v>
      </c>
      <c r="F34" s="380">
        <v>1</v>
      </c>
      <c r="G34" s="880" t="s">
        <v>158</v>
      </c>
      <c r="H34" s="1118"/>
      <c r="I34" s="73"/>
      <c r="J34" s="73"/>
      <c r="K34" s="8">
        <v>1</v>
      </c>
      <c r="L34" s="8">
        <v>0</v>
      </c>
      <c r="M34" s="380">
        <v>1</v>
      </c>
      <c r="N34" s="880" t="s">
        <v>158</v>
      </c>
      <c r="O34" s="8">
        <v>1</v>
      </c>
      <c r="P34" s="8">
        <v>1</v>
      </c>
      <c r="Q34" s="8">
        <v>1</v>
      </c>
      <c r="R34" s="7">
        <f t="shared" ref="R34:R65" si="4">ROUNDUP(((O34+P34+Q34)/3)/K34*100%,2)</f>
        <v>1</v>
      </c>
      <c r="S34" s="378"/>
      <c r="T34" s="495">
        <f t="shared" si="3"/>
        <v>46085</v>
      </c>
    </row>
    <row r="35" spans="1:20" ht="21">
      <c r="A35" s="1121"/>
      <c r="B35" s="1120">
        <v>4</v>
      </c>
      <c r="C35" s="73" t="s">
        <v>188</v>
      </c>
      <c r="D35" s="8">
        <v>3</v>
      </c>
      <c r="E35" s="8">
        <v>3</v>
      </c>
      <c r="F35" s="380">
        <v>0</v>
      </c>
      <c r="G35" s="880" t="s">
        <v>158</v>
      </c>
      <c r="H35" s="1124">
        <v>46087</v>
      </c>
      <c r="I35" s="73"/>
      <c r="J35" s="73"/>
      <c r="K35" s="8">
        <v>3</v>
      </c>
      <c r="L35" s="8">
        <v>3</v>
      </c>
      <c r="M35" s="380">
        <v>0</v>
      </c>
      <c r="N35" s="880" t="s">
        <v>158</v>
      </c>
      <c r="O35" s="8">
        <v>3</v>
      </c>
      <c r="P35" s="8">
        <v>3</v>
      </c>
      <c r="Q35" s="8">
        <v>3</v>
      </c>
      <c r="R35" s="7">
        <f t="shared" si="4"/>
        <v>1</v>
      </c>
      <c r="S35" s="378"/>
      <c r="T35" s="495">
        <f>$H$35</f>
        <v>46087</v>
      </c>
    </row>
    <row r="36" spans="1:20" ht="21">
      <c r="A36" s="1121"/>
      <c r="B36" s="1120"/>
      <c r="C36" s="73" t="s">
        <v>189</v>
      </c>
      <c r="D36" s="8">
        <v>8</v>
      </c>
      <c r="E36" s="8">
        <v>8</v>
      </c>
      <c r="F36" s="380">
        <v>0</v>
      </c>
      <c r="G36" s="880" t="s">
        <v>158</v>
      </c>
      <c r="H36" s="1125"/>
      <c r="I36" s="73"/>
      <c r="J36" s="73"/>
      <c r="K36" s="8">
        <v>8</v>
      </c>
      <c r="L36" s="8">
        <v>8</v>
      </c>
      <c r="M36" s="380">
        <v>0</v>
      </c>
      <c r="N36" s="880" t="s">
        <v>158</v>
      </c>
      <c r="O36" s="8">
        <v>8</v>
      </c>
      <c r="P36" s="8">
        <v>8</v>
      </c>
      <c r="Q36" s="8">
        <v>8</v>
      </c>
      <c r="R36" s="7">
        <f t="shared" si="4"/>
        <v>1</v>
      </c>
      <c r="S36" s="378"/>
      <c r="T36" s="495">
        <f t="shared" ref="T36:T38" si="5">$H$35</f>
        <v>46087</v>
      </c>
    </row>
    <row r="37" spans="1:20" ht="21">
      <c r="A37" s="1121"/>
      <c r="B37" s="1120"/>
      <c r="C37" s="73" t="s">
        <v>190</v>
      </c>
      <c r="D37" s="8">
        <v>1</v>
      </c>
      <c r="E37" s="8">
        <v>1</v>
      </c>
      <c r="F37" s="380">
        <v>0</v>
      </c>
      <c r="G37" s="880" t="s">
        <v>158</v>
      </c>
      <c r="H37" s="1125"/>
      <c r="I37" s="73"/>
      <c r="J37" s="73"/>
      <c r="K37" s="8">
        <v>1</v>
      </c>
      <c r="L37" s="8">
        <v>1</v>
      </c>
      <c r="M37" s="380">
        <v>0</v>
      </c>
      <c r="N37" s="880" t="s">
        <v>158</v>
      </c>
      <c r="O37" s="8">
        <v>1</v>
      </c>
      <c r="P37" s="8">
        <v>1</v>
      </c>
      <c r="Q37" s="8">
        <v>1</v>
      </c>
      <c r="R37" s="7">
        <f t="shared" si="4"/>
        <v>1</v>
      </c>
      <c r="S37" s="378"/>
      <c r="T37" s="495">
        <f t="shared" si="5"/>
        <v>46087</v>
      </c>
    </row>
    <row r="38" spans="1:20" ht="21">
      <c r="A38" s="1121"/>
      <c r="B38" s="1120"/>
      <c r="C38" s="73" t="s">
        <v>130</v>
      </c>
      <c r="D38" s="8">
        <v>2</v>
      </c>
      <c r="E38" s="8">
        <v>0</v>
      </c>
      <c r="F38" s="380">
        <v>2</v>
      </c>
      <c r="G38" s="880" t="s">
        <v>158</v>
      </c>
      <c r="H38" s="1126"/>
      <c r="I38" s="73"/>
      <c r="J38" s="73"/>
      <c r="K38" s="8">
        <v>2</v>
      </c>
      <c r="L38" s="8">
        <v>0</v>
      </c>
      <c r="M38" s="380">
        <v>2</v>
      </c>
      <c r="N38" s="880" t="s">
        <v>158</v>
      </c>
      <c r="O38" s="8">
        <v>2</v>
      </c>
      <c r="P38" s="8">
        <v>2</v>
      </c>
      <c r="Q38" s="8">
        <v>2</v>
      </c>
      <c r="R38" s="7">
        <f t="shared" si="4"/>
        <v>1</v>
      </c>
      <c r="S38" s="378"/>
      <c r="T38" s="495">
        <f t="shared" si="5"/>
        <v>46087</v>
      </c>
    </row>
    <row r="39" spans="1:20" ht="21">
      <c r="A39" s="1121"/>
      <c r="B39" s="1120">
        <v>5</v>
      </c>
      <c r="C39" s="73" t="s">
        <v>191</v>
      </c>
      <c r="D39" s="8">
        <v>1</v>
      </c>
      <c r="E39" s="8">
        <v>1</v>
      </c>
      <c r="F39" s="380">
        <v>0</v>
      </c>
      <c r="G39" s="880" t="s">
        <v>158</v>
      </c>
      <c r="H39" s="1124">
        <v>46090</v>
      </c>
      <c r="I39" s="73"/>
      <c r="J39" s="73"/>
      <c r="K39" s="8">
        <v>1</v>
      </c>
      <c r="L39" s="8">
        <v>1</v>
      </c>
      <c r="M39" s="380">
        <v>0</v>
      </c>
      <c r="N39" s="880" t="s">
        <v>158</v>
      </c>
      <c r="O39" s="8">
        <v>1</v>
      </c>
      <c r="P39" s="8">
        <v>1</v>
      </c>
      <c r="Q39" s="8">
        <v>1</v>
      </c>
      <c r="R39" s="7">
        <f t="shared" si="4"/>
        <v>1</v>
      </c>
      <c r="S39" s="378"/>
      <c r="T39" s="495">
        <f>$H$39</f>
        <v>46090</v>
      </c>
    </row>
    <row r="40" spans="1:20" ht="21">
      <c r="A40" s="1121"/>
      <c r="B40" s="1120"/>
      <c r="C40" s="73" t="s">
        <v>192</v>
      </c>
      <c r="D40" s="8">
        <v>1</v>
      </c>
      <c r="E40" s="8">
        <v>1</v>
      </c>
      <c r="F40" s="380">
        <v>0</v>
      </c>
      <c r="G40" s="880" t="s">
        <v>158</v>
      </c>
      <c r="H40" s="1125"/>
      <c r="I40" s="73"/>
      <c r="J40" s="73"/>
      <c r="K40" s="8">
        <v>1</v>
      </c>
      <c r="L40" s="8">
        <v>1</v>
      </c>
      <c r="M40" s="380">
        <v>0</v>
      </c>
      <c r="N40" s="880" t="s">
        <v>158</v>
      </c>
      <c r="O40" s="8">
        <v>1</v>
      </c>
      <c r="P40" s="8">
        <v>1</v>
      </c>
      <c r="Q40" s="8">
        <v>1</v>
      </c>
      <c r="R40" s="7">
        <f t="shared" si="4"/>
        <v>1</v>
      </c>
      <c r="S40" s="378"/>
      <c r="T40" s="495">
        <f t="shared" ref="T40:T49" si="6">$H$39</f>
        <v>46090</v>
      </c>
    </row>
    <row r="41" spans="1:20" ht="21">
      <c r="A41" s="1121"/>
      <c r="B41" s="1120"/>
      <c r="C41" s="73" t="s">
        <v>193</v>
      </c>
      <c r="D41" s="8">
        <v>1</v>
      </c>
      <c r="E41" s="8">
        <v>1</v>
      </c>
      <c r="F41" s="380">
        <v>0</v>
      </c>
      <c r="G41" s="880" t="s">
        <v>158</v>
      </c>
      <c r="H41" s="1125"/>
      <c r="I41" s="73"/>
      <c r="J41" s="73"/>
      <c r="K41" s="8">
        <v>1</v>
      </c>
      <c r="L41" s="8">
        <v>1</v>
      </c>
      <c r="M41" s="380">
        <v>0</v>
      </c>
      <c r="N41" s="880" t="s">
        <v>158</v>
      </c>
      <c r="O41" s="8">
        <v>1</v>
      </c>
      <c r="P41" s="8">
        <v>1</v>
      </c>
      <c r="Q41" s="8">
        <v>1</v>
      </c>
      <c r="R41" s="7">
        <f t="shared" si="4"/>
        <v>1</v>
      </c>
      <c r="S41" s="378"/>
      <c r="T41" s="495">
        <f t="shared" si="6"/>
        <v>46090</v>
      </c>
    </row>
    <row r="42" spans="1:20" ht="21">
      <c r="A42" s="1121"/>
      <c r="B42" s="1120"/>
      <c r="C42" s="73" t="s">
        <v>194</v>
      </c>
      <c r="D42" s="8">
        <v>1</v>
      </c>
      <c r="E42" s="8">
        <v>1</v>
      </c>
      <c r="F42" s="380">
        <v>0</v>
      </c>
      <c r="G42" s="880" t="s">
        <v>158</v>
      </c>
      <c r="H42" s="1125"/>
      <c r="I42" s="73"/>
      <c r="J42" s="73"/>
      <c r="K42" s="8">
        <v>1</v>
      </c>
      <c r="L42" s="8">
        <v>1</v>
      </c>
      <c r="M42" s="380">
        <v>0</v>
      </c>
      <c r="N42" s="880" t="s">
        <v>158</v>
      </c>
      <c r="O42" s="8">
        <v>1</v>
      </c>
      <c r="P42" s="8">
        <v>1</v>
      </c>
      <c r="Q42" s="8">
        <v>1</v>
      </c>
      <c r="R42" s="7">
        <f t="shared" si="4"/>
        <v>1</v>
      </c>
      <c r="S42" s="378"/>
      <c r="T42" s="495">
        <f t="shared" si="6"/>
        <v>46090</v>
      </c>
    </row>
    <row r="43" spans="1:20" ht="21">
      <c r="A43" s="1121"/>
      <c r="B43" s="1120"/>
      <c r="C43" s="73" t="s">
        <v>195</v>
      </c>
      <c r="D43" s="8">
        <v>1</v>
      </c>
      <c r="E43" s="8">
        <v>1</v>
      </c>
      <c r="F43" s="380">
        <v>0</v>
      </c>
      <c r="G43" s="880" t="s">
        <v>158</v>
      </c>
      <c r="H43" s="1125"/>
      <c r="I43" s="73"/>
      <c r="J43" s="73"/>
      <c r="K43" s="8">
        <v>1</v>
      </c>
      <c r="L43" s="8">
        <v>1</v>
      </c>
      <c r="M43" s="380">
        <v>0</v>
      </c>
      <c r="N43" s="880" t="s">
        <v>158</v>
      </c>
      <c r="O43" s="8">
        <v>1</v>
      </c>
      <c r="P43" s="8">
        <v>1</v>
      </c>
      <c r="Q43" s="8">
        <v>1</v>
      </c>
      <c r="R43" s="7">
        <f t="shared" si="4"/>
        <v>1</v>
      </c>
      <c r="S43" s="378"/>
      <c r="T43" s="495">
        <f t="shared" si="6"/>
        <v>46090</v>
      </c>
    </row>
    <row r="44" spans="1:20" ht="21">
      <c r="A44" s="1121"/>
      <c r="B44" s="1120"/>
      <c r="C44" s="73" t="s">
        <v>196</v>
      </c>
      <c r="D44" s="8">
        <v>1</v>
      </c>
      <c r="E44" s="8">
        <v>1</v>
      </c>
      <c r="F44" s="380">
        <v>0</v>
      </c>
      <c r="G44" s="880" t="s">
        <v>158</v>
      </c>
      <c r="H44" s="1125"/>
      <c r="I44" s="73"/>
      <c r="J44" s="73"/>
      <c r="K44" s="8">
        <v>1</v>
      </c>
      <c r="L44" s="8">
        <v>1</v>
      </c>
      <c r="M44" s="380">
        <v>0</v>
      </c>
      <c r="N44" s="880" t="s">
        <v>158</v>
      </c>
      <c r="O44" s="8">
        <v>1</v>
      </c>
      <c r="P44" s="8">
        <v>1</v>
      </c>
      <c r="Q44" s="8">
        <v>1</v>
      </c>
      <c r="R44" s="7">
        <f t="shared" si="4"/>
        <v>1</v>
      </c>
      <c r="S44" s="378"/>
      <c r="T44" s="495">
        <f t="shared" si="6"/>
        <v>46090</v>
      </c>
    </row>
    <row r="45" spans="1:20" ht="21">
      <c r="A45" s="1121"/>
      <c r="B45" s="1120"/>
      <c r="C45" s="73" t="s">
        <v>197</v>
      </c>
      <c r="D45" s="8">
        <v>1</v>
      </c>
      <c r="E45" s="8">
        <v>1</v>
      </c>
      <c r="F45" s="380">
        <v>0</v>
      </c>
      <c r="G45" s="880" t="s">
        <v>158</v>
      </c>
      <c r="H45" s="1125"/>
      <c r="I45" s="73"/>
      <c r="J45" s="73"/>
      <c r="K45" s="8">
        <v>1</v>
      </c>
      <c r="L45" s="8">
        <v>1</v>
      </c>
      <c r="M45" s="380">
        <v>0</v>
      </c>
      <c r="N45" s="880" t="s">
        <v>158</v>
      </c>
      <c r="O45" s="8">
        <v>1</v>
      </c>
      <c r="P45" s="8">
        <v>1</v>
      </c>
      <c r="Q45" s="8">
        <v>1</v>
      </c>
      <c r="R45" s="7">
        <f t="shared" si="4"/>
        <v>1</v>
      </c>
      <c r="S45" s="378"/>
      <c r="T45" s="495">
        <f t="shared" si="6"/>
        <v>46090</v>
      </c>
    </row>
    <row r="46" spans="1:20" ht="21">
      <c r="A46" s="1121"/>
      <c r="B46" s="1120"/>
      <c r="C46" s="73" t="s">
        <v>198</v>
      </c>
      <c r="D46" s="8">
        <v>1</v>
      </c>
      <c r="E46" s="8">
        <v>1</v>
      </c>
      <c r="F46" s="380">
        <v>0</v>
      </c>
      <c r="G46" s="880" t="s">
        <v>158</v>
      </c>
      <c r="H46" s="1125"/>
      <c r="I46" s="73"/>
      <c r="J46" s="73"/>
      <c r="K46" s="8">
        <v>1</v>
      </c>
      <c r="L46" s="8">
        <v>1</v>
      </c>
      <c r="M46" s="380">
        <v>0</v>
      </c>
      <c r="N46" s="880" t="s">
        <v>158</v>
      </c>
      <c r="O46" s="8">
        <v>1</v>
      </c>
      <c r="P46" s="8">
        <v>1</v>
      </c>
      <c r="Q46" s="8">
        <v>1</v>
      </c>
      <c r="R46" s="7">
        <f t="shared" si="4"/>
        <v>1</v>
      </c>
      <c r="S46" s="378"/>
      <c r="T46" s="495">
        <f t="shared" si="6"/>
        <v>46090</v>
      </c>
    </row>
    <row r="47" spans="1:20" ht="21">
      <c r="A47" s="1121"/>
      <c r="B47" s="1120"/>
      <c r="C47" s="73" t="s">
        <v>199</v>
      </c>
      <c r="D47" s="8">
        <v>2</v>
      </c>
      <c r="E47" s="8">
        <v>2</v>
      </c>
      <c r="F47" s="380">
        <v>0</v>
      </c>
      <c r="G47" s="880" t="s">
        <v>158</v>
      </c>
      <c r="H47" s="1125"/>
      <c r="I47" s="73"/>
      <c r="J47" s="73"/>
      <c r="K47" s="8">
        <v>2</v>
      </c>
      <c r="L47" s="8">
        <v>2</v>
      </c>
      <c r="M47" s="380">
        <v>0</v>
      </c>
      <c r="N47" s="880" t="s">
        <v>158</v>
      </c>
      <c r="O47" s="8">
        <v>2</v>
      </c>
      <c r="P47" s="8">
        <v>2</v>
      </c>
      <c r="Q47" s="8">
        <v>2</v>
      </c>
      <c r="R47" s="7">
        <f t="shared" si="4"/>
        <v>1</v>
      </c>
      <c r="S47" s="378"/>
      <c r="T47" s="495">
        <f t="shared" si="6"/>
        <v>46090</v>
      </c>
    </row>
    <row r="48" spans="1:20" ht="21">
      <c r="A48" s="1121"/>
      <c r="B48" s="1120"/>
      <c r="C48" s="73" t="s">
        <v>184</v>
      </c>
      <c r="D48" s="8">
        <v>1</v>
      </c>
      <c r="E48" s="8">
        <v>1</v>
      </c>
      <c r="F48" s="380">
        <v>0</v>
      </c>
      <c r="G48" s="880" t="s">
        <v>158</v>
      </c>
      <c r="H48" s="1125"/>
      <c r="I48" s="73"/>
      <c r="J48" s="73"/>
      <c r="K48" s="8">
        <v>1</v>
      </c>
      <c r="L48" s="8">
        <v>1</v>
      </c>
      <c r="M48" s="380">
        <v>0</v>
      </c>
      <c r="N48" s="880" t="s">
        <v>158</v>
      </c>
      <c r="O48" s="8">
        <v>1</v>
      </c>
      <c r="P48" s="8">
        <v>1</v>
      </c>
      <c r="Q48" s="8">
        <v>1</v>
      </c>
      <c r="R48" s="7">
        <f t="shared" si="4"/>
        <v>1</v>
      </c>
      <c r="S48" s="378"/>
      <c r="T48" s="495">
        <f t="shared" si="6"/>
        <v>46090</v>
      </c>
    </row>
    <row r="49" spans="1:20" ht="21">
      <c r="A49" s="1121"/>
      <c r="B49" s="1120"/>
      <c r="C49" s="73" t="s">
        <v>130</v>
      </c>
      <c r="D49" s="8">
        <v>2</v>
      </c>
      <c r="E49" s="8">
        <v>0</v>
      </c>
      <c r="F49" s="380">
        <v>2</v>
      </c>
      <c r="G49" s="880" t="s">
        <v>158</v>
      </c>
      <c r="H49" s="1126"/>
      <c r="I49" s="73"/>
      <c r="J49" s="73"/>
      <c r="K49" s="8">
        <v>2</v>
      </c>
      <c r="L49" s="8">
        <v>0</v>
      </c>
      <c r="M49" s="380">
        <v>2</v>
      </c>
      <c r="N49" s="880" t="s">
        <v>158</v>
      </c>
      <c r="O49" s="8">
        <v>2</v>
      </c>
      <c r="P49" s="8">
        <v>2</v>
      </c>
      <c r="Q49" s="8">
        <v>2</v>
      </c>
      <c r="R49" s="7">
        <f t="shared" si="4"/>
        <v>1</v>
      </c>
      <c r="S49" s="378"/>
      <c r="T49" s="495">
        <f t="shared" si="6"/>
        <v>46090</v>
      </c>
    </row>
    <row r="50" spans="1:20" ht="21">
      <c r="A50" s="1121"/>
      <c r="B50" s="1120">
        <v>6</v>
      </c>
      <c r="C50" s="73" t="s">
        <v>200</v>
      </c>
      <c r="D50" s="8">
        <v>3</v>
      </c>
      <c r="E50" s="8">
        <v>3</v>
      </c>
      <c r="F50" s="380">
        <v>0</v>
      </c>
      <c r="G50" s="880" t="s">
        <v>158</v>
      </c>
      <c r="H50" s="1116">
        <v>46092</v>
      </c>
      <c r="I50" s="73"/>
      <c r="J50" s="73"/>
      <c r="K50" s="8">
        <v>3</v>
      </c>
      <c r="L50" s="8">
        <v>3</v>
      </c>
      <c r="M50" s="380">
        <v>0</v>
      </c>
      <c r="N50" s="880" t="s">
        <v>158</v>
      </c>
      <c r="O50" s="8">
        <v>3</v>
      </c>
      <c r="P50" s="8">
        <v>3</v>
      </c>
      <c r="Q50" s="8">
        <v>3</v>
      </c>
      <c r="R50" s="7">
        <f t="shared" si="4"/>
        <v>1</v>
      </c>
      <c r="S50" s="378"/>
      <c r="T50" s="495">
        <f>$H$50</f>
        <v>46092</v>
      </c>
    </row>
    <row r="51" spans="1:20" ht="21">
      <c r="A51" s="1121"/>
      <c r="B51" s="1120"/>
      <c r="C51" s="73" t="s">
        <v>201</v>
      </c>
      <c r="D51" s="8">
        <v>1</v>
      </c>
      <c r="E51" s="8">
        <v>1</v>
      </c>
      <c r="F51" s="380">
        <v>0</v>
      </c>
      <c r="G51" s="880" t="s">
        <v>158</v>
      </c>
      <c r="H51" s="1117"/>
      <c r="I51" s="73"/>
      <c r="J51" s="73"/>
      <c r="K51" s="8">
        <v>1</v>
      </c>
      <c r="L51" s="8">
        <v>1</v>
      </c>
      <c r="M51" s="380">
        <v>0</v>
      </c>
      <c r="N51" s="880" t="s">
        <v>158</v>
      </c>
      <c r="O51" s="8">
        <v>1</v>
      </c>
      <c r="P51" s="8">
        <v>1</v>
      </c>
      <c r="Q51" s="8">
        <v>1</v>
      </c>
      <c r="R51" s="7">
        <f t="shared" si="4"/>
        <v>1</v>
      </c>
      <c r="S51" s="378"/>
      <c r="T51" s="495">
        <f t="shared" ref="T51:T65" si="7">$H$50</f>
        <v>46092</v>
      </c>
    </row>
    <row r="52" spans="1:20" ht="21">
      <c r="A52" s="1121"/>
      <c r="B52" s="1120"/>
      <c r="C52" s="73" t="s">
        <v>202</v>
      </c>
      <c r="D52" s="8">
        <v>1</v>
      </c>
      <c r="E52" s="8">
        <v>1</v>
      </c>
      <c r="F52" s="380">
        <v>0</v>
      </c>
      <c r="G52" s="880" t="s">
        <v>158</v>
      </c>
      <c r="H52" s="1117"/>
      <c r="I52" s="73"/>
      <c r="J52" s="73"/>
      <c r="K52" s="8">
        <v>1</v>
      </c>
      <c r="L52" s="8">
        <v>1</v>
      </c>
      <c r="M52" s="380">
        <v>0</v>
      </c>
      <c r="N52" s="880" t="s">
        <v>158</v>
      </c>
      <c r="O52" s="8">
        <v>1</v>
      </c>
      <c r="P52" s="8">
        <v>1</v>
      </c>
      <c r="Q52" s="8">
        <v>1</v>
      </c>
      <c r="R52" s="7">
        <f t="shared" si="4"/>
        <v>1</v>
      </c>
      <c r="S52" s="378"/>
      <c r="T52" s="495">
        <f t="shared" si="7"/>
        <v>46092</v>
      </c>
    </row>
    <row r="53" spans="1:20" ht="21">
      <c r="A53" s="1121"/>
      <c r="B53" s="1120"/>
      <c r="C53" s="73" t="s">
        <v>203</v>
      </c>
      <c r="D53" s="8">
        <v>1</v>
      </c>
      <c r="E53" s="8">
        <v>1</v>
      </c>
      <c r="F53" s="380">
        <v>0</v>
      </c>
      <c r="G53" s="880" t="s">
        <v>158</v>
      </c>
      <c r="H53" s="1117"/>
      <c r="I53" s="73"/>
      <c r="J53" s="73"/>
      <c r="K53" s="8">
        <v>1</v>
      </c>
      <c r="L53" s="8">
        <v>1</v>
      </c>
      <c r="M53" s="380">
        <v>0</v>
      </c>
      <c r="N53" s="880" t="s">
        <v>158</v>
      </c>
      <c r="O53" s="8">
        <v>1</v>
      </c>
      <c r="P53" s="8">
        <v>1</v>
      </c>
      <c r="Q53" s="8">
        <v>1</v>
      </c>
      <c r="R53" s="7">
        <f t="shared" si="4"/>
        <v>1</v>
      </c>
      <c r="S53" s="378"/>
      <c r="T53" s="495">
        <f t="shared" si="7"/>
        <v>46092</v>
      </c>
    </row>
    <row r="54" spans="1:20" ht="21">
      <c r="A54" s="1121"/>
      <c r="B54" s="1120"/>
      <c r="C54" s="73" t="s">
        <v>204</v>
      </c>
      <c r="D54" s="8">
        <v>1</v>
      </c>
      <c r="E54" s="8">
        <v>1</v>
      </c>
      <c r="F54" s="380">
        <v>0</v>
      </c>
      <c r="G54" s="880" t="s">
        <v>158</v>
      </c>
      <c r="H54" s="1117"/>
      <c r="I54" s="73"/>
      <c r="J54" s="73"/>
      <c r="K54" s="8">
        <v>1</v>
      </c>
      <c r="L54" s="8">
        <v>1</v>
      </c>
      <c r="M54" s="380">
        <v>0</v>
      </c>
      <c r="N54" s="880" t="s">
        <v>158</v>
      </c>
      <c r="O54" s="8">
        <v>1</v>
      </c>
      <c r="P54" s="8">
        <v>1</v>
      </c>
      <c r="Q54" s="8">
        <v>1</v>
      </c>
      <c r="R54" s="7">
        <f t="shared" si="4"/>
        <v>1</v>
      </c>
      <c r="S54" s="378"/>
      <c r="T54" s="495">
        <f t="shared" si="7"/>
        <v>46092</v>
      </c>
    </row>
    <row r="55" spans="1:20" ht="21">
      <c r="A55" s="1121"/>
      <c r="B55" s="1120"/>
      <c r="C55" s="73" t="s">
        <v>205</v>
      </c>
      <c r="D55" s="8">
        <v>1</v>
      </c>
      <c r="E55" s="8">
        <v>1</v>
      </c>
      <c r="F55" s="380">
        <v>0</v>
      </c>
      <c r="G55" s="880" t="s">
        <v>158</v>
      </c>
      <c r="H55" s="1117"/>
      <c r="I55" s="73"/>
      <c r="J55" s="73"/>
      <c r="K55" s="8">
        <v>1</v>
      </c>
      <c r="L55" s="8">
        <v>1</v>
      </c>
      <c r="M55" s="380">
        <v>0</v>
      </c>
      <c r="N55" s="880" t="s">
        <v>158</v>
      </c>
      <c r="O55" s="8">
        <v>1</v>
      </c>
      <c r="P55" s="8">
        <v>1</v>
      </c>
      <c r="Q55" s="8">
        <v>1</v>
      </c>
      <c r="R55" s="7">
        <f t="shared" si="4"/>
        <v>1</v>
      </c>
      <c r="S55" s="378"/>
      <c r="T55" s="495">
        <f t="shared" si="7"/>
        <v>46092</v>
      </c>
    </row>
    <row r="56" spans="1:20" ht="21">
      <c r="A56" s="1121"/>
      <c r="B56" s="1120"/>
      <c r="C56" s="73" t="s">
        <v>206</v>
      </c>
      <c r="D56" s="8">
        <v>1</v>
      </c>
      <c r="E56" s="8">
        <v>1</v>
      </c>
      <c r="F56" s="380">
        <v>0</v>
      </c>
      <c r="G56" s="880" t="s">
        <v>158</v>
      </c>
      <c r="H56" s="1117"/>
      <c r="I56" s="73"/>
      <c r="J56" s="73"/>
      <c r="K56" s="8">
        <v>1</v>
      </c>
      <c r="L56" s="8">
        <v>1</v>
      </c>
      <c r="M56" s="380">
        <v>0</v>
      </c>
      <c r="N56" s="880" t="s">
        <v>158</v>
      </c>
      <c r="O56" s="8">
        <v>1</v>
      </c>
      <c r="P56" s="8">
        <v>1</v>
      </c>
      <c r="Q56" s="8">
        <v>1</v>
      </c>
      <c r="R56" s="7">
        <f t="shared" si="4"/>
        <v>1</v>
      </c>
      <c r="S56" s="378"/>
      <c r="T56" s="495">
        <f t="shared" si="7"/>
        <v>46092</v>
      </c>
    </row>
    <row r="57" spans="1:20" ht="21">
      <c r="A57" s="1121"/>
      <c r="B57" s="1120"/>
      <c r="C57" s="73" t="s">
        <v>207</v>
      </c>
      <c r="D57" s="8">
        <v>1</v>
      </c>
      <c r="E57" s="8">
        <v>1</v>
      </c>
      <c r="F57" s="380">
        <v>0</v>
      </c>
      <c r="G57" s="880" t="s">
        <v>158</v>
      </c>
      <c r="H57" s="1117"/>
      <c r="I57" s="73"/>
      <c r="J57" s="73"/>
      <c r="K57" s="8">
        <v>1</v>
      </c>
      <c r="L57" s="8">
        <v>1</v>
      </c>
      <c r="M57" s="380">
        <v>0</v>
      </c>
      <c r="N57" s="880" t="s">
        <v>158</v>
      </c>
      <c r="O57" s="8">
        <v>1</v>
      </c>
      <c r="P57" s="8">
        <v>1</v>
      </c>
      <c r="Q57" s="8">
        <v>1</v>
      </c>
      <c r="R57" s="7">
        <f t="shared" si="4"/>
        <v>1</v>
      </c>
      <c r="S57" s="378"/>
      <c r="T57" s="495">
        <f t="shared" si="7"/>
        <v>46092</v>
      </c>
    </row>
    <row r="58" spans="1:20" ht="21">
      <c r="A58" s="1121"/>
      <c r="B58" s="1120"/>
      <c r="C58" s="73" t="s">
        <v>208</v>
      </c>
      <c r="D58" s="8">
        <v>1</v>
      </c>
      <c r="E58" s="8">
        <v>1</v>
      </c>
      <c r="F58" s="380">
        <v>0</v>
      </c>
      <c r="G58" s="880" t="s">
        <v>158</v>
      </c>
      <c r="H58" s="1117"/>
      <c r="I58" s="73"/>
      <c r="J58" s="73"/>
      <c r="K58" s="8">
        <v>1</v>
      </c>
      <c r="L58" s="8">
        <v>1</v>
      </c>
      <c r="M58" s="380">
        <v>0</v>
      </c>
      <c r="N58" s="880" t="s">
        <v>158</v>
      </c>
      <c r="O58" s="8">
        <v>1</v>
      </c>
      <c r="P58" s="8">
        <v>1</v>
      </c>
      <c r="Q58" s="8">
        <v>1</v>
      </c>
      <c r="R58" s="7">
        <f t="shared" si="4"/>
        <v>1</v>
      </c>
      <c r="S58" s="378"/>
      <c r="T58" s="495">
        <f t="shared" si="7"/>
        <v>46092</v>
      </c>
    </row>
    <row r="59" spans="1:20" ht="21">
      <c r="A59" s="1121"/>
      <c r="B59" s="1120"/>
      <c r="C59" s="73" t="s">
        <v>209</v>
      </c>
      <c r="D59" s="8">
        <v>1</v>
      </c>
      <c r="E59" s="8">
        <v>1</v>
      </c>
      <c r="F59" s="380">
        <v>0</v>
      </c>
      <c r="G59" s="880" t="s">
        <v>158</v>
      </c>
      <c r="H59" s="1117"/>
      <c r="I59" s="73"/>
      <c r="J59" s="73"/>
      <c r="K59" s="8">
        <v>1</v>
      </c>
      <c r="L59" s="8">
        <v>1</v>
      </c>
      <c r="M59" s="380">
        <v>0</v>
      </c>
      <c r="N59" s="880" t="s">
        <v>158</v>
      </c>
      <c r="O59" s="8">
        <v>1</v>
      </c>
      <c r="P59" s="8">
        <v>1</v>
      </c>
      <c r="Q59" s="8">
        <v>1</v>
      </c>
      <c r="R59" s="7">
        <f t="shared" si="4"/>
        <v>1</v>
      </c>
      <c r="S59" s="378"/>
      <c r="T59" s="495">
        <f t="shared" si="7"/>
        <v>46092</v>
      </c>
    </row>
    <row r="60" spans="1:20" ht="21">
      <c r="A60" s="1121"/>
      <c r="B60" s="1120"/>
      <c r="C60" s="73" t="s">
        <v>210</v>
      </c>
      <c r="D60" s="8">
        <v>1</v>
      </c>
      <c r="E60" s="8">
        <v>1</v>
      </c>
      <c r="F60" s="380">
        <v>0</v>
      </c>
      <c r="G60" s="880" t="s">
        <v>158</v>
      </c>
      <c r="H60" s="1117"/>
      <c r="I60" s="73"/>
      <c r="J60" s="73"/>
      <c r="K60" s="8">
        <v>1</v>
      </c>
      <c r="L60" s="8">
        <v>1</v>
      </c>
      <c r="M60" s="380">
        <v>0</v>
      </c>
      <c r="N60" s="880" t="s">
        <v>158</v>
      </c>
      <c r="O60" s="8">
        <v>1</v>
      </c>
      <c r="P60" s="8">
        <v>1</v>
      </c>
      <c r="Q60" s="8">
        <v>1</v>
      </c>
      <c r="R60" s="7">
        <f t="shared" si="4"/>
        <v>1</v>
      </c>
      <c r="S60" s="378"/>
      <c r="T60" s="495">
        <f t="shared" si="7"/>
        <v>46092</v>
      </c>
    </row>
    <row r="61" spans="1:20" ht="21">
      <c r="A61" s="1121"/>
      <c r="B61" s="1120"/>
      <c r="C61" s="73" t="s">
        <v>211</v>
      </c>
      <c r="D61" s="8">
        <v>1</v>
      </c>
      <c r="E61" s="8">
        <v>1</v>
      </c>
      <c r="F61" s="380">
        <v>0</v>
      </c>
      <c r="G61" s="880" t="s">
        <v>158</v>
      </c>
      <c r="H61" s="1117"/>
      <c r="I61" s="73"/>
      <c r="J61" s="73"/>
      <c r="K61" s="8">
        <v>1</v>
      </c>
      <c r="L61" s="8">
        <v>1</v>
      </c>
      <c r="M61" s="380">
        <v>0</v>
      </c>
      <c r="N61" s="880" t="s">
        <v>158</v>
      </c>
      <c r="O61" s="8">
        <v>1</v>
      </c>
      <c r="P61" s="8">
        <v>1</v>
      </c>
      <c r="Q61" s="8">
        <v>1</v>
      </c>
      <c r="R61" s="7">
        <f t="shared" si="4"/>
        <v>1</v>
      </c>
      <c r="S61" s="378"/>
      <c r="T61" s="495">
        <f t="shared" si="7"/>
        <v>46092</v>
      </c>
    </row>
    <row r="62" spans="1:20" ht="21">
      <c r="A62" s="1121"/>
      <c r="B62" s="1120"/>
      <c r="C62" s="73" t="s">
        <v>212</v>
      </c>
      <c r="D62" s="8">
        <v>1</v>
      </c>
      <c r="E62" s="8">
        <v>1</v>
      </c>
      <c r="F62" s="380">
        <v>0</v>
      </c>
      <c r="G62" s="880" t="s">
        <v>158</v>
      </c>
      <c r="H62" s="1117"/>
      <c r="I62" s="73"/>
      <c r="J62" s="73"/>
      <c r="K62" s="8">
        <v>1</v>
      </c>
      <c r="L62" s="8">
        <v>1</v>
      </c>
      <c r="M62" s="380">
        <v>0</v>
      </c>
      <c r="N62" s="880" t="s">
        <v>158</v>
      </c>
      <c r="O62" s="8">
        <v>1</v>
      </c>
      <c r="P62" s="8">
        <v>1</v>
      </c>
      <c r="Q62" s="8">
        <v>1</v>
      </c>
      <c r="R62" s="7">
        <f t="shared" si="4"/>
        <v>1</v>
      </c>
      <c r="S62" s="378"/>
      <c r="T62" s="495">
        <f t="shared" si="7"/>
        <v>46092</v>
      </c>
    </row>
    <row r="63" spans="1:20" ht="21">
      <c r="A63" s="1121"/>
      <c r="B63" s="1120"/>
      <c r="C63" s="73" t="s">
        <v>213</v>
      </c>
      <c r="D63" s="8">
        <v>1</v>
      </c>
      <c r="E63" s="8">
        <v>1</v>
      </c>
      <c r="F63" s="380">
        <v>0</v>
      </c>
      <c r="G63" s="880" t="s">
        <v>158</v>
      </c>
      <c r="H63" s="1117"/>
      <c r="I63" s="73"/>
      <c r="J63" s="73"/>
      <c r="K63" s="8">
        <v>1</v>
      </c>
      <c r="L63" s="8">
        <v>1</v>
      </c>
      <c r="M63" s="380">
        <v>0</v>
      </c>
      <c r="N63" s="880" t="s">
        <v>158</v>
      </c>
      <c r="O63" s="8">
        <v>1</v>
      </c>
      <c r="P63" s="8">
        <v>1</v>
      </c>
      <c r="Q63" s="8">
        <v>1</v>
      </c>
      <c r="R63" s="7">
        <f t="shared" si="4"/>
        <v>1</v>
      </c>
      <c r="S63" s="378"/>
      <c r="T63" s="495">
        <f t="shared" si="7"/>
        <v>46092</v>
      </c>
    </row>
    <row r="64" spans="1:20" ht="21">
      <c r="A64" s="1121"/>
      <c r="B64" s="1120"/>
      <c r="C64" s="73" t="s">
        <v>214</v>
      </c>
      <c r="D64" s="8">
        <v>2</v>
      </c>
      <c r="E64" s="8">
        <v>2</v>
      </c>
      <c r="F64" s="380">
        <v>0</v>
      </c>
      <c r="G64" s="880" t="s">
        <v>158</v>
      </c>
      <c r="H64" s="1117"/>
      <c r="I64" s="73"/>
      <c r="J64" s="73"/>
      <c r="K64" s="8">
        <v>2</v>
      </c>
      <c r="L64" s="8">
        <v>2</v>
      </c>
      <c r="M64" s="380">
        <v>0</v>
      </c>
      <c r="N64" s="880" t="s">
        <v>158</v>
      </c>
      <c r="O64" s="8">
        <v>2</v>
      </c>
      <c r="P64" s="8">
        <v>2</v>
      </c>
      <c r="Q64" s="8">
        <v>2</v>
      </c>
      <c r="R64" s="7">
        <f t="shared" si="4"/>
        <v>1</v>
      </c>
      <c r="S64" s="378"/>
      <c r="T64" s="495">
        <f t="shared" si="7"/>
        <v>46092</v>
      </c>
    </row>
    <row r="65" spans="1:20" ht="21">
      <c r="A65" s="1121"/>
      <c r="B65" s="1120"/>
      <c r="C65" s="73" t="s">
        <v>190</v>
      </c>
      <c r="D65" s="8">
        <v>1</v>
      </c>
      <c r="E65" s="8">
        <v>1</v>
      </c>
      <c r="F65" s="380">
        <v>0</v>
      </c>
      <c r="G65" s="880" t="s">
        <v>158</v>
      </c>
      <c r="H65" s="1118"/>
      <c r="I65" s="73"/>
      <c r="J65" s="73"/>
      <c r="K65" s="8">
        <v>1</v>
      </c>
      <c r="L65" s="8">
        <v>1</v>
      </c>
      <c r="M65" s="380">
        <v>0</v>
      </c>
      <c r="N65" s="880" t="s">
        <v>158</v>
      </c>
      <c r="O65" s="8">
        <v>1</v>
      </c>
      <c r="P65" s="8">
        <v>1</v>
      </c>
      <c r="Q65" s="8">
        <v>1</v>
      </c>
      <c r="R65" s="7">
        <f t="shared" si="4"/>
        <v>1</v>
      </c>
      <c r="S65" s="378"/>
      <c r="T65" s="495">
        <f t="shared" si="7"/>
        <v>46092</v>
      </c>
    </row>
    <row r="66" spans="1:20" ht="21">
      <c r="A66" s="1121"/>
      <c r="B66" s="1120">
        <v>7</v>
      </c>
      <c r="C66" s="73" t="s">
        <v>215</v>
      </c>
      <c r="D66" s="8">
        <v>1</v>
      </c>
      <c r="E66" s="8">
        <v>1</v>
      </c>
      <c r="F66" s="380">
        <v>0</v>
      </c>
      <c r="G66" s="880" t="s">
        <v>158</v>
      </c>
      <c r="H66" s="1116">
        <v>46094</v>
      </c>
      <c r="I66" s="73"/>
      <c r="J66" s="73"/>
      <c r="K66" s="8">
        <v>1</v>
      </c>
      <c r="L66" s="8">
        <v>1</v>
      </c>
      <c r="M66" s="380">
        <v>0</v>
      </c>
      <c r="N66" s="880" t="s">
        <v>158</v>
      </c>
      <c r="O66" s="8">
        <v>1</v>
      </c>
      <c r="P66" s="8">
        <v>1</v>
      </c>
      <c r="Q66" s="8">
        <v>1</v>
      </c>
      <c r="R66" s="7">
        <f t="shared" ref="R66:R97" si="8">ROUNDUP(((O66+P66+Q66)/3)/K66*100%,2)</f>
        <v>1</v>
      </c>
      <c r="S66" s="378"/>
      <c r="T66" s="495">
        <f>$H$66</f>
        <v>46094</v>
      </c>
    </row>
    <row r="67" spans="1:20" ht="21">
      <c r="A67" s="1121"/>
      <c r="B67" s="1120"/>
      <c r="C67" s="73" t="s">
        <v>216</v>
      </c>
      <c r="D67" s="8">
        <v>1</v>
      </c>
      <c r="E67" s="8">
        <v>1</v>
      </c>
      <c r="F67" s="380">
        <v>0</v>
      </c>
      <c r="G67" s="880" t="s">
        <v>158</v>
      </c>
      <c r="H67" s="1117"/>
      <c r="I67" s="73"/>
      <c r="J67" s="73"/>
      <c r="K67" s="8">
        <v>1</v>
      </c>
      <c r="L67" s="8">
        <v>1</v>
      </c>
      <c r="M67" s="380">
        <v>0</v>
      </c>
      <c r="N67" s="880" t="s">
        <v>158</v>
      </c>
      <c r="O67" s="8">
        <v>1</v>
      </c>
      <c r="P67" s="8">
        <v>1</v>
      </c>
      <c r="Q67" s="8">
        <v>1</v>
      </c>
      <c r="R67" s="7">
        <f t="shared" si="8"/>
        <v>1</v>
      </c>
      <c r="S67" s="378"/>
      <c r="T67" s="495">
        <f t="shared" ref="T67:T73" si="9">$H$66</f>
        <v>46094</v>
      </c>
    </row>
    <row r="68" spans="1:20" ht="21">
      <c r="A68" s="1121"/>
      <c r="B68" s="1120"/>
      <c r="C68" s="73" t="s">
        <v>217</v>
      </c>
      <c r="D68" s="8">
        <v>2</v>
      </c>
      <c r="E68" s="8">
        <v>2</v>
      </c>
      <c r="F68" s="380">
        <v>0</v>
      </c>
      <c r="G68" s="880" t="s">
        <v>158</v>
      </c>
      <c r="H68" s="1117"/>
      <c r="I68" s="73"/>
      <c r="J68" s="73"/>
      <c r="K68" s="8">
        <v>2</v>
      </c>
      <c r="L68" s="8">
        <v>2</v>
      </c>
      <c r="M68" s="380">
        <v>0</v>
      </c>
      <c r="N68" s="880" t="s">
        <v>158</v>
      </c>
      <c r="O68" s="8">
        <v>2</v>
      </c>
      <c r="P68" s="8">
        <v>2</v>
      </c>
      <c r="Q68" s="8">
        <v>2</v>
      </c>
      <c r="R68" s="7">
        <f t="shared" si="8"/>
        <v>1</v>
      </c>
      <c r="S68" s="378"/>
      <c r="T68" s="495">
        <f t="shared" si="9"/>
        <v>46094</v>
      </c>
    </row>
    <row r="69" spans="1:20" ht="21">
      <c r="A69" s="1121"/>
      <c r="B69" s="1120"/>
      <c r="C69" s="73" t="s">
        <v>218</v>
      </c>
      <c r="D69" s="8">
        <v>1</v>
      </c>
      <c r="E69" s="8">
        <v>1</v>
      </c>
      <c r="F69" s="380">
        <v>0</v>
      </c>
      <c r="G69" s="880" t="s">
        <v>158</v>
      </c>
      <c r="H69" s="1117"/>
      <c r="I69" s="73"/>
      <c r="J69" s="73"/>
      <c r="K69" s="8">
        <v>1</v>
      </c>
      <c r="L69" s="8">
        <v>1</v>
      </c>
      <c r="M69" s="380">
        <v>0</v>
      </c>
      <c r="N69" s="880" t="s">
        <v>158</v>
      </c>
      <c r="O69" s="8">
        <v>1</v>
      </c>
      <c r="P69" s="8">
        <v>1</v>
      </c>
      <c r="Q69" s="8">
        <v>1</v>
      </c>
      <c r="R69" s="7">
        <f t="shared" si="8"/>
        <v>1</v>
      </c>
      <c r="S69" s="378"/>
      <c r="T69" s="495">
        <f t="shared" si="9"/>
        <v>46094</v>
      </c>
    </row>
    <row r="70" spans="1:20" ht="21">
      <c r="A70" s="1121"/>
      <c r="B70" s="1120"/>
      <c r="C70" s="73" t="s">
        <v>219</v>
      </c>
      <c r="D70" s="8">
        <v>1</v>
      </c>
      <c r="E70" s="8">
        <v>1</v>
      </c>
      <c r="F70" s="380">
        <v>0</v>
      </c>
      <c r="G70" s="880" t="s">
        <v>158</v>
      </c>
      <c r="H70" s="1117"/>
      <c r="I70" s="73"/>
      <c r="J70" s="73"/>
      <c r="K70" s="8">
        <v>1</v>
      </c>
      <c r="L70" s="8">
        <v>1</v>
      </c>
      <c r="M70" s="380">
        <v>0</v>
      </c>
      <c r="N70" s="880" t="s">
        <v>158</v>
      </c>
      <c r="O70" s="8">
        <v>1</v>
      </c>
      <c r="P70" s="8">
        <v>1</v>
      </c>
      <c r="Q70" s="8">
        <v>1</v>
      </c>
      <c r="R70" s="7">
        <f t="shared" si="8"/>
        <v>1</v>
      </c>
      <c r="S70" s="378"/>
      <c r="T70" s="495">
        <f t="shared" si="9"/>
        <v>46094</v>
      </c>
    </row>
    <row r="71" spans="1:20" ht="21">
      <c r="A71" s="1121"/>
      <c r="B71" s="1120"/>
      <c r="C71" s="73" t="s">
        <v>220</v>
      </c>
      <c r="D71" s="8">
        <v>1</v>
      </c>
      <c r="E71" s="8">
        <v>1</v>
      </c>
      <c r="F71" s="380">
        <v>0</v>
      </c>
      <c r="G71" s="880" t="s">
        <v>158</v>
      </c>
      <c r="H71" s="1117"/>
      <c r="I71" s="73"/>
      <c r="J71" s="73"/>
      <c r="K71" s="8">
        <v>1</v>
      </c>
      <c r="L71" s="8">
        <v>1</v>
      </c>
      <c r="M71" s="380">
        <v>0</v>
      </c>
      <c r="N71" s="880" t="s">
        <v>158</v>
      </c>
      <c r="O71" s="8">
        <v>1</v>
      </c>
      <c r="P71" s="8">
        <v>1</v>
      </c>
      <c r="Q71" s="8">
        <v>1</v>
      </c>
      <c r="R71" s="7">
        <f t="shared" si="8"/>
        <v>1</v>
      </c>
      <c r="S71" s="378"/>
      <c r="T71" s="495">
        <f t="shared" si="9"/>
        <v>46094</v>
      </c>
    </row>
    <row r="72" spans="1:20" ht="21">
      <c r="A72" s="1121"/>
      <c r="B72" s="1120"/>
      <c r="C72" s="73" t="s">
        <v>221</v>
      </c>
      <c r="D72" s="8">
        <v>1</v>
      </c>
      <c r="E72" s="8">
        <v>1</v>
      </c>
      <c r="F72" s="380">
        <v>0</v>
      </c>
      <c r="G72" s="880" t="s">
        <v>158</v>
      </c>
      <c r="H72" s="1117"/>
      <c r="I72" s="73"/>
      <c r="J72" s="73"/>
      <c r="K72" s="8">
        <v>1</v>
      </c>
      <c r="L72" s="8">
        <v>1</v>
      </c>
      <c r="M72" s="380">
        <v>0</v>
      </c>
      <c r="N72" s="880" t="s">
        <v>158</v>
      </c>
      <c r="O72" s="8">
        <v>1</v>
      </c>
      <c r="P72" s="8">
        <v>1</v>
      </c>
      <c r="Q72" s="8">
        <v>1</v>
      </c>
      <c r="R72" s="7">
        <f t="shared" si="8"/>
        <v>1</v>
      </c>
      <c r="S72" s="378"/>
      <c r="T72" s="495">
        <f t="shared" si="9"/>
        <v>46094</v>
      </c>
    </row>
    <row r="73" spans="1:20" ht="21">
      <c r="A73" s="1121"/>
      <c r="B73" s="1120"/>
      <c r="C73" s="73" t="s">
        <v>190</v>
      </c>
      <c r="D73" s="8">
        <v>1</v>
      </c>
      <c r="E73" s="8">
        <v>1</v>
      </c>
      <c r="F73" s="380">
        <v>0</v>
      </c>
      <c r="G73" s="880" t="s">
        <v>158</v>
      </c>
      <c r="H73" s="1118"/>
      <c r="I73" s="73"/>
      <c r="J73" s="73"/>
      <c r="K73" s="8">
        <v>1</v>
      </c>
      <c r="L73" s="8">
        <v>1</v>
      </c>
      <c r="M73" s="380">
        <v>0</v>
      </c>
      <c r="N73" s="880" t="s">
        <v>158</v>
      </c>
      <c r="O73" s="8">
        <v>1</v>
      </c>
      <c r="P73" s="8">
        <v>1</v>
      </c>
      <c r="Q73" s="8">
        <v>1</v>
      </c>
      <c r="R73" s="7">
        <f t="shared" si="8"/>
        <v>1</v>
      </c>
      <c r="S73" s="378"/>
      <c r="T73" s="495">
        <f t="shared" si="9"/>
        <v>46094</v>
      </c>
    </row>
    <row r="74" spans="1:20" ht="21">
      <c r="A74" s="1119" t="s">
        <v>222</v>
      </c>
      <c r="B74" s="1120">
        <v>1</v>
      </c>
      <c r="C74" s="73" t="s">
        <v>223</v>
      </c>
      <c r="D74" s="8">
        <v>2</v>
      </c>
      <c r="E74" s="8">
        <v>2</v>
      </c>
      <c r="F74" s="380">
        <v>0</v>
      </c>
      <c r="G74" s="880" t="s">
        <v>158</v>
      </c>
      <c r="H74" s="1116">
        <v>46064</v>
      </c>
      <c r="I74" s="73"/>
      <c r="J74" s="73"/>
      <c r="K74" s="8">
        <v>2</v>
      </c>
      <c r="L74" s="8">
        <v>2</v>
      </c>
      <c r="M74" s="380">
        <v>0</v>
      </c>
      <c r="N74" s="880" t="s">
        <v>158</v>
      </c>
      <c r="O74" s="8">
        <v>2</v>
      </c>
      <c r="P74" s="8">
        <v>2</v>
      </c>
      <c r="Q74" s="8">
        <v>2</v>
      </c>
      <c r="R74" s="7">
        <f t="shared" si="8"/>
        <v>1</v>
      </c>
      <c r="S74" s="378"/>
      <c r="T74" s="495">
        <f>$H$74</f>
        <v>46064</v>
      </c>
    </row>
    <row r="75" spans="1:20" ht="21">
      <c r="A75" s="1119"/>
      <c r="B75" s="1120"/>
      <c r="C75" s="73" t="s">
        <v>224</v>
      </c>
      <c r="D75" s="8">
        <v>1</v>
      </c>
      <c r="E75" s="8">
        <v>1</v>
      </c>
      <c r="F75" s="380">
        <v>0</v>
      </c>
      <c r="G75" s="880" t="s">
        <v>158</v>
      </c>
      <c r="H75" s="1117"/>
      <c r="I75" s="73"/>
      <c r="J75" s="73"/>
      <c r="K75" s="8">
        <v>1</v>
      </c>
      <c r="L75" s="8">
        <v>1</v>
      </c>
      <c r="M75" s="380">
        <v>0</v>
      </c>
      <c r="N75" s="880" t="s">
        <v>158</v>
      </c>
      <c r="O75" s="8">
        <v>1</v>
      </c>
      <c r="P75" s="8">
        <v>1</v>
      </c>
      <c r="Q75" s="8">
        <v>1</v>
      </c>
      <c r="R75" s="7">
        <f t="shared" si="8"/>
        <v>1</v>
      </c>
      <c r="S75" s="378"/>
      <c r="T75" s="495">
        <f t="shared" ref="T75:T83" si="10">$H$74</f>
        <v>46064</v>
      </c>
    </row>
    <row r="76" spans="1:20" ht="21">
      <c r="A76" s="1119"/>
      <c r="B76" s="1120"/>
      <c r="C76" s="73" t="s">
        <v>225</v>
      </c>
      <c r="D76" s="8">
        <v>1</v>
      </c>
      <c r="E76" s="8">
        <v>1</v>
      </c>
      <c r="F76" s="380">
        <v>0</v>
      </c>
      <c r="G76" s="880" t="s">
        <v>158</v>
      </c>
      <c r="H76" s="1117"/>
      <c r="I76" s="73"/>
      <c r="J76" s="73"/>
      <c r="K76" s="8">
        <v>1</v>
      </c>
      <c r="L76" s="8">
        <v>1</v>
      </c>
      <c r="M76" s="380">
        <v>0</v>
      </c>
      <c r="N76" s="880" t="s">
        <v>158</v>
      </c>
      <c r="O76" s="8">
        <v>1</v>
      </c>
      <c r="P76" s="8">
        <v>1</v>
      </c>
      <c r="Q76" s="8">
        <v>1</v>
      </c>
      <c r="R76" s="7">
        <f t="shared" si="8"/>
        <v>1</v>
      </c>
      <c r="S76" s="378"/>
      <c r="T76" s="495">
        <f t="shared" si="10"/>
        <v>46064</v>
      </c>
    </row>
    <row r="77" spans="1:20" ht="21">
      <c r="A77" s="1119"/>
      <c r="B77" s="1120"/>
      <c r="C77" s="73" t="s">
        <v>226</v>
      </c>
      <c r="D77" s="8">
        <v>1</v>
      </c>
      <c r="E77" s="8">
        <v>1</v>
      </c>
      <c r="F77" s="380">
        <v>0</v>
      </c>
      <c r="G77" s="880" t="s">
        <v>158</v>
      </c>
      <c r="H77" s="1117"/>
      <c r="I77" s="73"/>
      <c r="J77" s="73"/>
      <c r="K77" s="8">
        <v>1</v>
      </c>
      <c r="L77" s="8">
        <v>1</v>
      </c>
      <c r="M77" s="380">
        <v>0</v>
      </c>
      <c r="N77" s="880" t="s">
        <v>158</v>
      </c>
      <c r="O77" s="8">
        <v>1</v>
      </c>
      <c r="P77" s="8">
        <v>1</v>
      </c>
      <c r="Q77" s="8">
        <v>1</v>
      </c>
      <c r="R77" s="7">
        <f t="shared" si="8"/>
        <v>1</v>
      </c>
      <c r="S77" s="378"/>
      <c r="T77" s="495">
        <f t="shared" si="10"/>
        <v>46064</v>
      </c>
    </row>
    <row r="78" spans="1:20" ht="21">
      <c r="A78" s="1119"/>
      <c r="B78" s="1120"/>
      <c r="C78" s="73" t="s">
        <v>227</v>
      </c>
      <c r="D78" s="8">
        <v>1</v>
      </c>
      <c r="E78" s="8">
        <v>1</v>
      </c>
      <c r="F78" s="380">
        <v>0</v>
      </c>
      <c r="G78" s="880" t="s">
        <v>158</v>
      </c>
      <c r="H78" s="1117"/>
      <c r="I78" s="73"/>
      <c r="J78" s="73"/>
      <c r="K78" s="8">
        <v>1</v>
      </c>
      <c r="L78" s="8">
        <v>1</v>
      </c>
      <c r="M78" s="380">
        <v>0</v>
      </c>
      <c r="N78" s="880" t="s">
        <v>158</v>
      </c>
      <c r="O78" s="8">
        <v>1</v>
      </c>
      <c r="P78" s="8">
        <v>1</v>
      </c>
      <c r="Q78" s="8">
        <v>1</v>
      </c>
      <c r="R78" s="7">
        <f t="shared" si="8"/>
        <v>1</v>
      </c>
      <c r="S78" s="378"/>
      <c r="T78" s="495">
        <f t="shared" si="10"/>
        <v>46064</v>
      </c>
    </row>
    <row r="79" spans="1:20" ht="21">
      <c r="A79" s="1119"/>
      <c r="B79" s="1120"/>
      <c r="C79" s="73" t="s">
        <v>223</v>
      </c>
      <c r="D79" s="8">
        <v>2</v>
      </c>
      <c r="E79" s="8">
        <v>2</v>
      </c>
      <c r="F79" s="380">
        <v>0</v>
      </c>
      <c r="G79" s="880" t="s">
        <v>158</v>
      </c>
      <c r="H79" s="1117"/>
      <c r="I79" s="73"/>
      <c r="J79" s="73"/>
      <c r="K79" s="8">
        <v>2</v>
      </c>
      <c r="L79" s="8">
        <v>2</v>
      </c>
      <c r="M79" s="380">
        <v>0</v>
      </c>
      <c r="N79" s="880" t="s">
        <v>158</v>
      </c>
      <c r="O79" s="8">
        <v>2</v>
      </c>
      <c r="P79" s="8">
        <v>2</v>
      </c>
      <c r="Q79" s="8">
        <v>2</v>
      </c>
      <c r="R79" s="7">
        <f t="shared" si="8"/>
        <v>1</v>
      </c>
      <c r="S79" s="378"/>
      <c r="T79" s="495">
        <f t="shared" si="10"/>
        <v>46064</v>
      </c>
    </row>
    <row r="80" spans="1:20" ht="21">
      <c r="A80" s="1119"/>
      <c r="B80" s="1120"/>
      <c r="C80" s="73" t="s">
        <v>228</v>
      </c>
      <c r="D80" s="8">
        <v>1</v>
      </c>
      <c r="E80" s="8">
        <v>1</v>
      </c>
      <c r="F80" s="380">
        <v>0</v>
      </c>
      <c r="G80" s="880" t="s">
        <v>158</v>
      </c>
      <c r="H80" s="1117"/>
      <c r="I80" s="73"/>
      <c r="J80" s="73"/>
      <c r="K80" s="8">
        <v>1</v>
      </c>
      <c r="L80" s="8">
        <v>1</v>
      </c>
      <c r="M80" s="380">
        <v>0</v>
      </c>
      <c r="N80" s="880" t="s">
        <v>158</v>
      </c>
      <c r="O80" s="8">
        <v>1</v>
      </c>
      <c r="P80" s="8">
        <v>1</v>
      </c>
      <c r="Q80" s="8">
        <v>1</v>
      </c>
      <c r="R80" s="7">
        <f t="shared" si="8"/>
        <v>1</v>
      </c>
      <c r="S80" s="378"/>
      <c r="T80" s="495">
        <f t="shared" si="10"/>
        <v>46064</v>
      </c>
    </row>
    <row r="81" spans="1:20" ht="21">
      <c r="A81" s="1119"/>
      <c r="B81" s="1120"/>
      <c r="C81" s="73" t="s">
        <v>225</v>
      </c>
      <c r="D81" s="8">
        <v>1</v>
      </c>
      <c r="E81" s="8">
        <v>1</v>
      </c>
      <c r="F81" s="380">
        <v>0</v>
      </c>
      <c r="G81" s="880" t="s">
        <v>158</v>
      </c>
      <c r="H81" s="1117"/>
      <c r="I81" s="73"/>
      <c r="J81" s="73"/>
      <c r="K81" s="8">
        <v>1</v>
      </c>
      <c r="L81" s="8">
        <v>1</v>
      </c>
      <c r="M81" s="380">
        <v>0</v>
      </c>
      <c r="N81" s="880" t="s">
        <v>158</v>
      </c>
      <c r="O81" s="8">
        <v>1</v>
      </c>
      <c r="P81" s="8">
        <v>1</v>
      </c>
      <c r="Q81" s="8">
        <v>1</v>
      </c>
      <c r="R81" s="7">
        <f t="shared" si="8"/>
        <v>1</v>
      </c>
      <c r="S81" s="378"/>
      <c r="T81" s="495">
        <f t="shared" si="10"/>
        <v>46064</v>
      </c>
    </row>
    <row r="82" spans="1:20" ht="21">
      <c r="A82" s="1119"/>
      <c r="B82" s="1120"/>
      <c r="C82" s="73" t="s">
        <v>229</v>
      </c>
      <c r="D82" s="8">
        <v>1</v>
      </c>
      <c r="E82" s="8">
        <v>1</v>
      </c>
      <c r="F82" s="380">
        <v>0</v>
      </c>
      <c r="G82" s="880" t="s">
        <v>158</v>
      </c>
      <c r="H82" s="1117"/>
      <c r="I82" s="73"/>
      <c r="J82" s="73"/>
      <c r="K82" s="8">
        <v>1</v>
      </c>
      <c r="L82" s="8">
        <v>1</v>
      </c>
      <c r="M82" s="380">
        <v>0</v>
      </c>
      <c r="N82" s="880" t="s">
        <v>158</v>
      </c>
      <c r="O82" s="8">
        <v>1</v>
      </c>
      <c r="P82" s="8">
        <v>1</v>
      </c>
      <c r="Q82" s="8">
        <v>1</v>
      </c>
      <c r="R82" s="7">
        <f t="shared" si="8"/>
        <v>1</v>
      </c>
      <c r="S82" s="378"/>
      <c r="T82" s="495">
        <f t="shared" si="10"/>
        <v>46064</v>
      </c>
    </row>
    <row r="83" spans="1:20" ht="21">
      <c r="A83" s="1119"/>
      <c r="B83" s="1120"/>
      <c r="C83" s="73" t="s">
        <v>190</v>
      </c>
      <c r="D83" s="8">
        <v>1</v>
      </c>
      <c r="E83" s="8">
        <v>1</v>
      </c>
      <c r="F83" s="380">
        <v>0</v>
      </c>
      <c r="G83" s="880" t="s">
        <v>158</v>
      </c>
      <c r="H83" s="1118"/>
      <c r="I83" s="73"/>
      <c r="J83" s="73"/>
      <c r="K83" s="8">
        <v>1</v>
      </c>
      <c r="L83" s="8">
        <v>1</v>
      </c>
      <c r="M83" s="380">
        <v>0</v>
      </c>
      <c r="N83" s="880" t="s">
        <v>158</v>
      </c>
      <c r="O83" s="8">
        <v>1</v>
      </c>
      <c r="P83" s="8">
        <v>1</v>
      </c>
      <c r="Q83" s="8">
        <v>1</v>
      </c>
      <c r="R83" s="7">
        <f t="shared" si="8"/>
        <v>1</v>
      </c>
      <c r="S83" s="378"/>
      <c r="T83" s="495">
        <f t="shared" si="10"/>
        <v>46064</v>
      </c>
    </row>
    <row r="84" spans="1:20" ht="21">
      <c r="A84" s="1119"/>
      <c r="B84" s="1120">
        <v>2</v>
      </c>
      <c r="C84" s="73" t="s">
        <v>230</v>
      </c>
      <c r="D84" s="8">
        <v>4</v>
      </c>
      <c r="E84" s="8">
        <v>4</v>
      </c>
      <c r="F84" s="380">
        <v>0</v>
      </c>
      <c r="G84" s="880" t="s">
        <v>158</v>
      </c>
      <c r="H84" s="1116">
        <v>46056</v>
      </c>
      <c r="I84" s="73"/>
      <c r="J84" s="73"/>
      <c r="K84" s="8">
        <v>4</v>
      </c>
      <c r="L84" s="8">
        <v>4</v>
      </c>
      <c r="M84" s="380">
        <v>0</v>
      </c>
      <c r="N84" s="880" t="s">
        <v>158</v>
      </c>
      <c r="O84" s="8">
        <v>4</v>
      </c>
      <c r="P84" s="8">
        <v>4</v>
      </c>
      <c r="Q84" s="8">
        <v>4</v>
      </c>
      <c r="R84" s="7">
        <f t="shared" si="8"/>
        <v>1</v>
      </c>
      <c r="S84" s="378"/>
      <c r="T84" s="495">
        <f>$H$84</f>
        <v>46056</v>
      </c>
    </row>
    <row r="85" spans="1:20" ht="21">
      <c r="A85" s="1119"/>
      <c r="B85" s="1120"/>
      <c r="C85" s="73" t="s">
        <v>231</v>
      </c>
      <c r="D85" s="8">
        <v>1</v>
      </c>
      <c r="E85" s="8">
        <v>1</v>
      </c>
      <c r="F85" s="380">
        <v>0</v>
      </c>
      <c r="G85" s="880" t="s">
        <v>158</v>
      </c>
      <c r="H85" s="1117"/>
      <c r="I85" s="73"/>
      <c r="J85" s="73"/>
      <c r="K85" s="8">
        <v>1</v>
      </c>
      <c r="L85" s="8">
        <v>1</v>
      </c>
      <c r="M85" s="380">
        <v>0</v>
      </c>
      <c r="N85" s="880" t="s">
        <v>158</v>
      </c>
      <c r="O85" s="8">
        <v>1</v>
      </c>
      <c r="P85" s="8">
        <v>1</v>
      </c>
      <c r="Q85" s="8">
        <v>1</v>
      </c>
      <c r="R85" s="7">
        <f t="shared" si="8"/>
        <v>1</v>
      </c>
      <c r="S85" s="378"/>
      <c r="T85" s="495">
        <f t="shared" ref="T85:T87" si="11">$H$84</f>
        <v>46056</v>
      </c>
    </row>
    <row r="86" spans="1:20" ht="21">
      <c r="A86" s="1119"/>
      <c r="B86" s="1120"/>
      <c r="C86" s="73" t="s">
        <v>232</v>
      </c>
      <c r="D86" s="8">
        <v>1</v>
      </c>
      <c r="E86" s="8">
        <v>0</v>
      </c>
      <c r="F86" s="380">
        <v>1</v>
      </c>
      <c r="G86" s="880" t="s">
        <v>158</v>
      </c>
      <c r="H86" s="1117"/>
      <c r="I86" s="73"/>
      <c r="J86" s="73"/>
      <c r="K86" s="8">
        <v>1</v>
      </c>
      <c r="L86" s="8">
        <v>0</v>
      </c>
      <c r="M86" s="380">
        <v>1</v>
      </c>
      <c r="N86" s="880" t="s">
        <v>158</v>
      </c>
      <c r="O86" s="8">
        <v>1</v>
      </c>
      <c r="P86" s="8">
        <v>1</v>
      </c>
      <c r="Q86" s="8">
        <v>1</v>
      </c>
      <c r="R86" s="7">
        <f t="shared" si="8"/>
        <v>1</v>
      </c>
      <c r="S86" s="378"/>
      <c r="T86" s="495">
        <f t="shared" si="11"/>
        <v>46056</v>
      </c>
    </row>
    <row r="87" spans="1:20" ht="21">
      <c r="A87" s="1119"/>
      <c r="B87" s="1120"/>
      <c r="C87" s="73" t="s">
        <v>130</v>
      </c>
      <c r="D87" s="8">
        <v>1</v>
      </c>
      <c r="E87" s="8">
        <v>0</v>
      </c>
      <c r="F87" s="380">
        <v>1</v>
      </c>
      <c r="G87" s="880" t="s">
        <v>158</v>
      </c>
      <c r="H87" s="1118"/>
      <c r="I87" s="73"/>
      <c r="J87" s="73"/>
      <c r="K87" s="8">
        <v>1</v>
      </c>
      <c r="L87" s="8">
        <v>0</v>
      </c>
      <c r="M87" s="380">
        <v>1</v>
      </c>
      <c r="N87" s="880" t="s">
        <v>158</v>
      </c>
      <c r="O87" s="8">
        <v>1</v>
      </c>
      <c r="P87" s="8">
        <v>1</v>
      </c>
      <c r="Q87" s="8">
        <v>1</v>
      </c>
      <c r="R87" s="7">
        <f t="shared" si="8"/>
        <v>1</v>
      </c>
      <c r="S87" s="378"/>
      <c r="T87" s="495">
        <f t="shared" si="11"/>
        <v>46056</v>
      </c>
    </row>
    <row r="88" spans="1:20" ht="21">
      <c r="A88" s="1119"/>
      <c r="B88" s="1120">
        <v>3</v>
      </c>
      <c r="C88" s="73" t="s">
        <v>233</v>
      </c>
      <c r="D88" s="8">
        <v>1</v>
      </c>
      <c r="E88" s="8">
        <v>1</v>
      </c>
      <c r="F88" s="380">
        <v>0</v>
      </c>
      <c r="G88" s="880" t="s">
        <v>158</v>
      </c>
      <c r="H88" s="1116">
        <v>46071</v>
      </c>
      <c r="I88" s="73"/>
      <c r="J88" s="73"/>
      <c r="K88" s="8">
        <v>1</v>
      </c>
      <c r="L88" s="8">
        <v>1</v>
      </c>
      <c r="M88" s="380">
        <v>0</v>
      </c>
      <c r="N88" s="880" t="s">
        <v>158</v>
      </c>
      <c r="O88" s="8">
        <v>1</v>
      </c>
      <c r="P88" s="8">
        <v>1</v>
      </c>
      <c r="Q88" s="8">
        <v>1</v>
      </c>
      <c r="R88" s="7">
        <f t="shared" si="8"/>
        <v>1</v>
      </c>
      <c r="S88" s="378"/>
      <c r="T88" s="495">
        <f>$H$88</f>
        <v>46071</v>
      </c>
    </row>
    <row r="89" spans="1:20" ht="21">
      <c r="A89" s="1119"/>
      <c r="B89" s="1120"/>
      <c r="C89" s="73" t="s">
        <v>234</v>
      </c>
      <c r="D89" s="8">
        <v>1</v>
      </c>
      <c r="E89" s="8">
        <v>1</v>
      </c>
      <c r="F89" s="380">
        <v>0</v>
      </c>
      <c r="G89" s="880" t="s">
        <v>158</v>
      </c>
      <c r="H89" s="1117"/>
      <c r="I89" s="73"/>
      <c r="J89" s="73"/>
      <c r="K89" s="8">
        <v>1</v>
      </c>
      <c r="L89" s="8">
        <v>1</v>
      </c>
      <c r="M89" s="380">
        <v>0</v>
      </c>
      <c r="N89" s="880" t="s">
        <v>158</v>
      </c>
      <c r="O89" s="8">
        <v>1</v>
      </c>
      <c r="P89" s="8">
        <v>1</v>
      </c>
      <c r="Q89" s="8">
        <v>1</v>
      </c>
      <c r="R89" s="7">
        <f t="shared" si="8"/>
        <v>1</v>
      </c>
      <c r="S89" s="378"/>
      <c r="T89" s="495">
        <f t="shared" ref="T89:T93" si="12">$H$88</f>
        <v>46071</v>
      </c>
    </row>
    <row r="90" spans="1:20" ht="21">
      <c r="A90" s="1119"/>
      <c r="B90" s="1120"/>
      <c r="C90" s="73" t="s">
        <v>235</v>
      </c>
      <c r="D90" s="8">
        <v>1</v>
      </c>
      <c r="E90" s="8">
        <v>1</v>
      </c>
      <c r="F90" s="380">
        <v>0</v>
      </c>
      <c r="G90" s="880" t="s">
        <v>158</v>
      </c>
      <c r="H90" s="1117"/>
      <c r="I90" s="73"/>
      <c r="J90" s="73"/>
      <c r="K90" s="8">
        <v>1</v>
      </c>
      <c r="L90" s="8">
        <v>1</v>
      </c>
      <c r="M90" s="380">
        <v>0</v>
      </c>
      <c r="N90" s="880" t="s">
        <v>158</v>
      </c>
      <c r="O90" s="8">
        <v>1</v>
      </c>
      <c r="P90" s="8">
        <v>1</v>
      </c>
      <c r="Q90" s="8">
        <v>1</v>
      </c>
      <c r="R90" s="7">
        <f t="shared" si="8"/>
        <v>1</v>
      </c>
      <c r="S90" s="378"/>
      <c r="T90" s="495">
        <f t="shared" si="12"/>
        <v>46071</v>
      </c>
    </row>
    <row r="91" spans="1:20" ht="21">
      <c r="A91" s="1119"/>
      <c r="B91" s="1120"/>
      <c r="C91" s="73" t="s">
        <v>236</v>
      </c>
      <c r="D91" s="8">
        <v>1</v>
      </c>
      <c r="E91" s="8">
        <v>1</v>
      </c>
      <c r="F91" s="380">
        <v>0</v>
      </c>
      <c r="G91" s="880" t="s">
        <v>158</v>
      </c>
      <c r="H91" s="1117"/>
      <c r="I91" s="73"/>
      <c r="J91" s="73"/>
      <c r="K91" s="8">
        <v>1</v>
      </c>
      <c r="L91" s="8">
        <v>1</v>
      </c>
      <c r="M91" s="380">
        <v>0</v>
      </c>
      <c r="N91" s="880" t="s">
        <v>158</v>
      </c>
      <c r="O91" s="8">
        <v>1</v>
      </c>
      <c r="P91" s="8">
        <v>1</v>
      </c>
      <c r="Q91" s="8">
        <v>1</v>
      </c>
      <c r="R91" s="7">
        <f t="shared" si="8"/>
        <v>1</v>
      </c>
      <c r="S91" s="378"/>
      <c r="T91" s="495">
        <f t="shared" si="12"/>
        <v>46071</v>
      </c>
    </row>
    <row r="92" spans="1:20" ht="21">
      <c r="A92" s="1119"/>
      <c r="B92" s="1120"/>
      <c r="C92" s="73" t="s">
        <v>190</v>
      </c>
      <c r="D92" s="8">
        <v>1</v>
      </c>
      <c r="E92" s="8">
        <v>1</v>
      </c>
      <c r="F92" s="380">
        <v>0</v>
      </c>
      <c r="G92" s="880" t="s">
        <v>158</v>
      </c>
      <c r="H92" s="1117"/>
      <c r="I92" s="73"/>
      <c r="J92" s="73"/>
      <c r="K92" s="8">
        <v>1</v>
      </c>
      <c r="L92" s="8">
        <v>1</v>
      </c>
      <c r="M92" s="380">
        <v>0</v>
      </c>
      <c r="N92" s="880" t="s">
        <v>158</v>
      </c>
      <c r="O92" s="8">
        <v>1</v>
      </c>
      <c r="P92" s="8">
        <v>1</v>
      </c>
      <c r="Q92" s="8">
        <v>1</v>
      </c>
      <c r="R92" s="7">
        <f t="shared" si="8"/>
        <v>1</v>
      </c>
      <c r="S92" s="378"/>
      <c r="T92" s="495">
        <f t="shared" si="12"/>
        <v>46071</v>
      </c>
    </row>
    <row r="93" spans="1:20" ht="21">
      <c r="A93" s="1119"/>
      <c r="B93" s="1120"/>
      <c r="C93" s="73" t="s">
        <v>233</v>
      </c>
      <c r="D93" s="8">
        <v>4</v>
      </c>
      <c r="E93" s="8">
        <v>4</v>
      </c>
      <c r="F93" s="380">
        <v>0</v>
      </c>
      <c r="G93" s="880" t="s">
        <v>158</v>
      </c>
      <c r="H93" s="1118"/>
      <c r="I93" s="73"/>
      <c r="J93" s="73"/>
      <c r="K93" s="8">
        <v>4</v>
      </c>
      <c r="L93" s="8">
        <v>4</v>
      </c>
      <c r="M93" s="380">
        <v>0</v>
      </c>
      <c r="N93" s="880" t="s">
        <v>158</v>
      </c>
      <c r="O93" s="8">
        <v>4</v>
      </c>
      <c r="P93" s="8">
        <v>4</v>
      </c>
      <c r="Q93" s="8">
        <v>4</v>
      </c>
      <c r="R93" s="7">
        <f t="shared" si="8"/>
        <v>1</v>
      </c>
      <c r="S93" s="378"/>
      <c r="T93" s="495">
        <f t="shared" si="12"/>
        <v>46071</v>
      </c>
    </row>
    <row r="94" spans="1:20" ht="21">
      <c r="A94" s="1119"/>
      <c r="B94" s="1120">
        <v>4</v>
      </c>
      <c r="C94" s="73" t="s">
        <v>130</v>
      </c>
      <c r="D94" s="8">
        <v>3</v>
      </c>
      <c r="E94" s="8">
        <v>0</v>
      </c>
      <c r="F94" s="380">
        <v>3</v>
      </c>
      <c r="G94" s="880" t="s">
        <v>158</v>
      </c>
      <c r="H94" s="1116">
        <v>46073</v>
      </c>
      <c r="I94" s="73"/>
      <c r="J94" s="73"/>
      <c r="K94" s="8">
        <v>3</v>
      </c>
      <c r="L94" s="8">
        <v>0</v>
      </c>
      <c r="M94" s="380">
        <v>3</v>
      </c>
      <c r="N94" s="880" t="s">
        <v>158</v>
      </c>
      <c r="O94" s="8">
        <v>3</v>
      </c>
      <c r="P94" s="8">
        <v>3</v>
      </c>
      <c r="Q94" s="8">
        <v>3</v>
      </c>
      <c r="R94" s="7">
        <f t="shared" si="8"/>
        <v>1</v>
      </c>
      <c r="S94" s="378"/>
      <c r="T94" s="495">
        <f>$H$94</f>
        <v>46073</v>
      </c>
    </row>
    <row r="95" spans="1:20" ht="21">
      <c r="A95" s="1119"/>
      <c r="B95" s="1120"/>
      <c r="C95" s="73" t="s">
        <v>237</v>
      </c>
      <c r="D95" s="8">
        <v>1</v>
      </c>
      <c r="E95" s="8">
        <v>1</v>
      </c>
      <c r="F95" s="380">
        <v>0</v>
      </c>
      <c r="G95" s="880" t="s">
        <v>158</v>
      </c>
      <c r="H95" s="1117"/>
      <c r="I95" s="73"/>
      <c r="J95" s="73"/>
      <c r="K95" s="8">
        <v>1</v>
      </c>
      <c r="L95" s="8">
        <v>1</v>
      </c>
      <c r="M95" s="380">
        <v>0</v>
      </c>
      <c r="N95" s="880" t="s">
        <v>158</v>
      </c>
      <c r="O95" s="8">
        <v>1</v>
      </c>
      <c r="P95" s="8">
        <v>1</v>
      </c>
      <c r="Q95" s="8">
        <v>1</v>
      </c>
      <c r="R95" s="7">
        <f t="shared" si="8"/>
        <v>1</v>
      </c>
      <c r="S95" s="378"/>
      <c r="T95" s="495">
        <f t="shared" ref="T95:T98" si="13">$H$94</f>
        <v>46073</v>
      </c>
    </row>
    <row r="96" spans="1:20" ht="21">
      <c r="A96" s="1119"/>
      <c r="B96" s="1120"/>
      <c r="C96" s="73" t="s">
        <v>238</v>
      </c>
      <c r="D96" s="8">
        <v>1</v>
      </c>
      <c r="E96" s="8">
        <v>1</v>
      </c>
      <c r="F96" s="380">
        <v>0</v>
      </c>
      <c r="G96" s="880" t="s">
        <v>158</v>
      </c>
      <c r="H96" s="1117"/>
      <c r="I96" s="73"/>
      <c r="J96" s="73"/>
      <c r="K96" s="8">
        <v>1</v>
      </c>
      <c r="L96" s="8">
        <v>1</v>
      </c>
      <c r="M96" s="380">
        <v>0</v>
      </c>
      <c r="N96" s="880" t="s">
        <v>158</v>
      </c>
      <c r="O96" s="8">
        <v>1</v>
      </c>
      <c r="P96" s="8">
        <v>1</v>
      </c>
      <c r="Q96" s="8">
        <v>1</v>
      </c>
      <c r="R96" s="7">
        <f t="shared" si="8"/>
        <v>1</v>
      </c>
      <c r="S96" s="378"/>
      <c r="T96" s="495">
        <f t="shared" si="13"/>
        <v>46073</v>
      </c>
    </row>
    <row r="97" spans="1:20" ht="21">
      <c r="A97" s="1119"/>
      <c r="B97" s="1120"/>
      <c r="C97" s="73" t="s">
        <v>239</v>
      </c>
      <c r="D97" s="8">
        <v>3</v>
      </c>
      <c r="E97" s="8">
        <v>3</v>
      </c>
      <c r="F97" s="380">
        <v>0</v>
      </c>
      <c r="G97" s="880" t="s">
        <v>158</v>
      </c>
      <c r="H97" s="1117"/>
      <c r="I97" s="73"/>
      <c r="J97" s="73"/>
      <c r="K97" s="8">
        <v>3</v>
      </c>
      <c r="L97" s="8">
        <v>3</v>
      </c>
      <c r="M97" s="380">
        <v>0</v>
      </c>
      <c r="N97" s="880" t="s">
        <v>158</v>
      </c>
      <c r="O97" s="8">
        <v>3</v>
      </c>
      <c r="P97" s="8">
        <v>3</v>
      </c>
      <c r="Q97" s="8">
        <v>3</v>
      </c>
      <c r="R97" s="7">
        <f t="shared" si="8"/>
        <v>1</v>
      </c>
      <c r="S97" s="378"/>
      <c r="T97" s="495">
        <f t="shared" si="13"/>
        <v>46073</v>
      </c>
    </row>
    <row r="98" spans="1:20" ht="21">
      <c r="A98" s="1119"/>
      <c r="B98" s="1120"/>
      <c r="C98" s="73" t="s">
        <v>190</v>
      </c>
      <c r="D98" s="8">
        <v>1</v>
      </c>
      <c r="E98" s="8">
        <v>1</v>
      </c>
      <c r="F98" s="380">
        <v>0</v>
      </c>
      <c r="G98" s="880" t="s">
        <v>158</v>
      </c>
      <c r="H98" s="1118"/>
      <c r="I98" s="73"/>
      <c r="J98" s="73"/>
      <c r="K98" s="8">
        <v>1</v>
      </c>
      <c r="L98" s="8">
        <v>1</v>
      </c>
      <c r="M98" s="380">
        <v>0</v>
      </c>
      <c r="N98" s="880" t="s">
        <v>158</v>
      </c>
      <c r="O98" s="8">
        <v>1</v>
      </c>
      <c r="P98" s="8">
        <v>1</v>
      </c>
      <c r="Q98" s="8">
        <v>1</v>
      </c>
      <c r="R98" s="7">
        <f t="shared" ref="R98:R117" si="14">ROUNDUP(((O98+P98+Q98)/3)/K98*100%,2)</f>
        <v>1</v>
      </c>
      <c r="S98" s="378"/>
      <c r="T98" s="495">
        <f t="shared" si="13"/>
        <v>46073</v>
      </c>
    </row>
    <row r="99" spans="1:20" ht="21">
      <c r="A99" s="902" t="s">
        <v>240</v>
      </c>
      <c r="B99" s="901">
        <v>1</v>
      </c>
      <c r="C99" s="67" t="s">
        <v>123</v>
      </c>
      <c r="D99" s="8">
        <v>1</v>
      </c>
      <c r="E99" s="8">
        <v>1</v>
      </c>
      <c r="F99" s="380">
        <v>0</v>
      </c>
      <c r="G99" s="880" t="s">
        <v>158</v>
      </c>
      <c r="H99" s="900">
        <v>46089</v>
      </c>
      <c r="I99" s="67"/>
      <c r="J99" s="67"/>
      <c r="K99" s="8">
        <v>1</v>
      </c>
      <c r="L99" s="8">
        <v>1</v>
      </c>
      <c r="M99" s="380">
        <v>0</v>
      </c>
      <c r="N99" s="880" t="s">
        <v>158</v>
      </c>
      <c r="O99" s="8">
        <v>1</v>
      </c>
      <c r="P99" s="8">
        <v>1</v>
      </c>
      <c r="Q99" s="8">
        <v>1</v>
      </c>
      <c r="R99" s="7">
        <f t="shared" si="14"/>
        <v>1</v>
      </c>
      <c r="S99" s="378"/>
      <c r="T99" s="495">
        <f>$H$99</f>
        <v>46089</v>
      </c>
    </row>
    <row r="100" spans="1:20" ht="21">
      <c r="A100" s="1119" t="s">
        <v>241</v>
      </c>
      <c r="B100" s="1122">
        <v>1</v>
      </c>
      <c r="C100" s="73" t="s">
        <v>242</v>
      </c>
      <c r="D100" s="8">
        <v>3</v>
      </c>
      <c r="E100" s="8">
        <v>3</v>
      </c>
      <c r="F100" s="380">
        <v>0</v>
      </c>
      <c r="G100" s="880" t="s">
        <v>158</v>
      </c>
      <c r="H100" s="1116">
        <v>46087</v>
      </c>
      <c r="I100" s="73"/>
      <c r="J100" s="73"/>
      <c r="K100" s="8">
        <v>3</v>
      </c>
      <c r="L100" s="8">
        <v>3</v>
      </c>
      <c r="M100" s="380">
        <v>0</v>
      </c>
      <c r="N100" s="880" t="s">
        <v>158</v>
      </c>
      <c r="O100" s="8">
        <v>3</v>
      </c>
      <c r="P100" s="8">
        <v>3</v>
      </c>
      <c r="Q100" s="8">
        <v>3</v>
      </c>
      <c r="R100" s="7">
        <f t="shared" si="14"/>
        <v>1</v>
      </c>
      <c r="S100" s="378"/>
      <c r="T100" s="495">
        <f>$H$100</f>
        <v>46087</v>
      </c>
    </row>
    <row r="101" spans="1:20" ht="21">
      <c r="A101" s="1119"/>
      <c r="B101" s="1122"/>
      <c r="C101" s="73" t="s">
        <v>243</v>
      </c>
      <c r="D101" s="8">
        <v>2</v>
      </c>
      <c r="E101" s="8">
        <v>2</v>
      </c>
      <c r="F101" s="380">
        <v>0</v>
      </c>
      <c r="G101" s="880" t="s">
        <v>158</v>
      </c>
      <c r="H101" s="1117"/>
      <c r="I101" s="73"/>
      <c r="J101" s="73"/>
      <c r="K101" s="8">
        <v>2</v>
      </c>
      <c r="L101" s="8">
        <v>2</v>
      </c>
      <c r="M101" s="380">
        <v>0</v>
      </c>
      <c r="N101" s="880" t="s">
        <v>158</v>
      </c>
      <c r="O101" s="8">
        <v>2</v>
      </c>
      <c r="P101" s="8">
        <v>2</v>
      </c>
      <c r="Q101" s="8">
        <v>2</v>
      </c>
      <c r="R101" s="7">
        <f t="shared" si="14"/>
        <v>1</v>
      </c>
      <c r="S101" s="378"/>
      <c r="T101" s="495">
        <f t="shared" ref="T101:T106" si="15">$H$100</f>
        <v>46087</v>
      </c>
    </row>
    <row r="102" spans="1:20" ht="21">
      <c r="A102" s="1119"/>
      <c r="B102" s="1120">
        <v>2</v>
      </c>
      <c r="C102" s="73" t="s">
        <v>244</v>
      </c>
      <c r="D102" s="8">
        <v>2</v>
      </c>
      <c r="E102" s="8">
        <v>2</v>
      </c>
      <c r="F102" s="380">
        <v>0</v>
      </c>
      <c r="G102" s="880" t="s">
        <v>158</v>
      </c>
      <c r="H102" s="1117"/>
      <c r="I102" s="73"/>
      <c r="J102" s="73"/>
      <c r="K102" s="8">
        <v>2</v>
      </c>
      <c r="L102" s="8">
        <v>2</v>
      </c>
      <c r="M102" s="380">
        <v>0</v>
      </c>
      <c r="N102" s="880" t="s">
        <v>158</v>
      </c>
      <c r="O102" s="8">
        <v>2</v>
      </c>
      <c r="P102" s="8">
        <v>2</v>
      </c>
      <c r="Q102" s="8">
        <v>2</v>
      </c>
      <c r="R102" s="7">
        <f t="shared" si="14"/>
        <v>1</v>
      </c>
      <c r="S102" s="378"/>
      <c r="T102" s="495">
        <f t="shared" si="15"/>
        <v>46087</v>
      </c>
    </row>
    <row r="103" spans="1:20" ht="21">
      <c r="A103" s="1119"/>
      <c r="B103" s="1120"/>
      <c r="C103" s="73" t="s">
        <v>130</v>
      </c>
      <c r="D103" s="880">
        <v>5</v>
      </c>
      <c r="E103" s="880">
        <v>5</v>
      </c>
      <c r="F103" s="380">
        <v>0</v>
      </c>
      <c r="G103" s="880" t="s">
        <v>158</v>
      </c>
      <c r="H103" s="1117"/>
      <c r="I103" s="73"/>
      <c r="J103" s="73"/>
      <c r="K103" s="880">
        <v>5</v>
      </c>
      <c r="L103" s="880">
        <v>5</v>
      </c>
      <c r="M103" s="380">
        <v>0</v>
      </c>
      <c r="N103" s="880" t="s">
        <v>158</v>
      </c>
      <c r="O103" s="880">
        <v>5</v>
      </c>
      <c r="P103" s="880">
        <v>5</v>
      </c>
      <c r="Q103" s="880">
        <v>5</v>
      </c>
      <c r="R103" s="7">
        <f t="shared" si="14"/>
        <v>1</v>
      </c>
      <c r="S103" s="378"/>
      <c r="T103" s="495">
        <f t="shared" si="15"/>
        <v>46087</v>
      </c>
    </row>
    <row r="104" spans="1:20" ht="21">
      <c r="A104" s="1119"/>
      <c r="B104" s="1120"/>
      <c r="C104" s="73" t="s">
        <v>243</v>
      </c>
      <c r="D104" s="880">
        <v>1</v>
      </c>
      <c r="E104" s="880">
        <v>1</v>
      </c>
      <c r="F104" s="380">
        <v>0</v>
      </c>
      <c r="G104" s="880" t="s">
        <v>158</v>
      </c>
      <c r="H104" s="1117"/>
      <c r="I104" s="73"/>
      <c r="J104" s="73"/>
      <c r="K104" s="880">
        <v>1</v>
      </c>
      <c r="L104" s="880">
        <v>1</v>
      </c>
      <c r="M104" s="380">
        <v>0</v>
      </c>
      <c r="N104" s="880" t="s">
        <v>158</v>
      </c>
      <c r="O104" s="880">
        <v>1</v>
      </c>
      <c r="P104" s="880">
        <v>1</v>
      </c>
      <c r="Q104" s="880">
        <v>1</v>
      </c>
      <c r="R104" s="7">
        <f t="shared" si="14"/>
        <v>1</v>
      </c>
      <c r="S104" s="378"/>
      <c r="T104" s="495">
        <f t="shared" si="15"/>
        <v>46087</v>
      </c>
    </row>
    <row r="105" spans="1:20" ht="21">
      <c r="A105" s="1119"/>
      <c r="B105" s="1120"/>
      <c r="C105" s="73" t="s">
        <v>245</v>
      </c>
      <c r="D105" s="880">
        <v>1</v>
      </c>
      <c r="E105" s="880">
        <v>1</v>
      </c>
      <c r="F105" s="380">
        <v>0</v>
      </c>
      <c r="G105" s="880" t="s">
        <v>158</v>
      </c>
      <c r="H105" s="1117"/>
      <c r="I105" s="73"/>
      <c r="J105" s="73"/>
      <c r="K105" s="880">
        <v>1</v>
      </c>
      <c r="L105" s="880">
        <v>1</v>
      </c>
      <c r="M105" s="380">
        <v>0</v>
      </c>
      <c r="N105" s="880" t="s">
        <v>158</v>
      </c>
      <c r="O105" s="880">
        <v>1</v>
      </c>
      <c r="P105" s="880">
        <v>1</v>
      </c>
      <c r="Q105" s="880">
        <v>1</v>
      </c>
      <c r="R105" s="7">
        <f t="shared" si="14"/>
        <v>1</v>
      </c>
      <c r="S105" s="378"/>
      <c r="T105" s="495">
        <f t="shared" si="15"/>
        <v>46087</v>
      </c>
    </row>
    <row r="106" spans="1:20" ht="21">
      <c r="A106" s="1119"/>
      <c r="B106" s="901">
        <v>3</v>
      </c>
      <c r="C106" s="67" t="s">
        <v>246</v>
      </c>
      <c r="D106" s="880">
        <v>3</v>
      </c>
      <c r="E106" s="880">
        <v>2</v>
      </c>
      <c r="F106" s="380">
        <v>1</v>
      </c>
      <c r="G106" s="880" t="s">
        <v>158</v>
      </c>
      <c r="H106" s="1118"/>
      <c r="I106" s="67"/>
      <c r="J106" s="67"/>
      <c r="K106" s="880">
        <v>3</v>
      </c>
      <c r="L106" s="880">
        <v>2</v>
      </c>
      <c r="M106" s="380">
        <v>1</v>
      </c>
      <c r="N106" s="880" t="s">
        <v>158</v>
      </c>
      <c r="O106" s="8">
        <v>3</v>
      </c>
      <c r="P106" s="8">
        <v>3</v>
      </c>
      <c r="Q106" s="8">
        <v>3</v>
      </c>
      <c r="R106" s="7">
        <f t="shared" si="14"/>
        <v>1</v>
      </c>
      <c r="S106" s="378"/>
      <c r="T106" s="495">
        <f t="shared" si="15"/>
        <v>46087</v>
      </c>
    </row>
    <row r="107" spans="1:20" ht="21">
      <c r="A107" s="1119" t="s">
        <v>134</v>
      </c>
      <c r="B107" s="1120">
        <v>1</v>
      </c>
      <c r="C107" s="67" t="s">
        <v>247</v>
      </c>
      <c r="D107" s="8">
        <v>1</v>
      </c>
      <c r="E107" s="8">
        <v>1</v>
      </c>
      <c r="F107" s="380">
        <v>0</v>
      </c>
      <c r="G107" s="880" t="s">
        <v>158</v>
      </c>
      <c r="H107" s="1116">
        <v>46090</v>
      </c>
      <c r="I107" s="67"/>
      <c r="J107" s="67"/>
      <c r="K107" s="8">
        <v>1</v>
      </c>
      <c r="L107" s="8">
        <v>1</v>
      </c>
      <c r="M107" s="380">
        <v>0</v>
      </c>
      <c r="N107" s="880" t="s">
        <v>158</v>
      </c>
      <c r="O107" s="8">
        <v>1</v>
      </c>
      <c r="P107" s="8">
        <v>1</v>
      </c>
      <c r="Q107" s="8">
        <v>1</v>
      </c>
      <c r="R107" s="7">
        <f t="shared" si="14"/>
        <v>1</v>
      </c>
      <c r="S107" s="378"/>
      <c r="T107" s="495">
        <f>$H$107</f>
        <v>46090</v>
      </c>
    </row>
    <row r="108" spans="1:20" ht="21">
      <c r="A108" s="1119"/>
      <c r="B108" s="1120"/>
      <c r="C108" s="67" t="s">
        <v>248</v>
      </c>
      <c r="D108" s="8">
        <v>1</v>
      </c>
      <c r="E108" s="8">
        <v>1</v>
      </c>
      <c r="F108" s="380">
        <v>0</v>
      </c>
      <c r="G108" s="880" t="s">
        <v>158</v>
      </c>
      <c r="H108" s="1117"/>
      <c r="I108" s="67"/>
      <c r="J108" s="67"/>
      <c r="K108" s="8">
        <v>1</v>
      </c>
      <c r="L108" s="8">
        <v>1</v>
      </c>
      <c r="M108" s="380">
        <v>0</v>
      </c>
      <c r="N108" s="880" t="s">
        <v>158</v>
      </c>
      <c r="O108" s="8">
        <v>1</v>
      </c>
      <c r="P108" s="8">
        <v>1</v>
      </c>
      <c r="Q108" s="8">
        <v>1</v>
      </c>
      <c r="R108" s="7">
        <f t="shared" si="14"/>
        <v>1</v>
      </c>
      <c r="S108" s="378"/>
      <c r="T108" s="495">
        <f t="shared" ref="T108:T111" si="16">$H$107</f>
        <v>46090</v>
      </c>
    </row>
    <row r="109" spans="1:20" ht="21">
      <c r="A109" s="1119"/>
      <c r="B109" s="1120"/>
      <c r="C109" s="67" t="s">
        <v>249</v>
      </c>
      <c r="D109" s="8">
        <v>1</v>
      </c>
      <c r="E109" s="8">
        <v>1</v>
      </c>
      <c r="F109" s="380">
        <v>0</v>
      </c>
      <c r="G109" s="880" t="s">
        <v>158</v>
      </c>
      <c r="H109" s="1117"/>
      <c r="I109" s="67"/>
      <c r="J109" s="67"/>
      <c r="K109" s="8">
        <v>1</v>
      </c>
      <c r="L109" s="8">
        <v>1</v>
      </c>
      <c r="M109" s="380">
        <v>0</v>
      </c>
      <c r="N109" s="880" t="s">
        <v>158</v>
      </c>
      <c r="O109" s="8">
        <v>1</v>
      </c>
      <c r="P109" s="8">
        <v>1</v>
      </c>
      <c r="Q109" s="8">
        <v>1</v>
      </c>
      <c r="R109" s="7">
        <f t="shared" si="14"/>
        <v>1</v>
      </c>
      <c r="S109" s="378"/>
      <c r="T109" s="495">
        <f t="shared" si="16"/>
        <v>46090</v>
      </c>
    </row>
    <row r="110" spans="1:20" ht="21">
      <c r="A110" s="1119"/>
      <c r="B110" s="1120">
        <v>2</v>
      </c>
      <c r="C110" s="67" t="s">
        <v>250</v>
      </c>
      <c r="D110" s="8">
        <v>1</v>
      </c>
      <c r="E110" s="8">
        <v>1</v>
      </c>
      <c r="F110" s="380">
        <v>0</v>
      </c>
      <c r="G110" s="880" t="s">
        <v>158</v>
      </c>
      <c r="H110" s="1117"/>
      <c r="I110" s="67"/>
      <c r="J110" s="67"/>
      <c r="K110" s="8">
        <v>1</v>
      </c>
      <c r="L110" s="8">
        <v>1</v>
      </c>
      <c r="M110" s="380">
        <v>0</v>
      </c>
      <c r="N110" s="880" t="s">
        <v>158</v>
      </c>
      <c r="O110" s="8">
        <v>1</v>
      </c>
      <c r="P110" s="8">
        <v>1</v>
      </c>
      <c r="Q110" s="8">
        <v>1</v>
      </c>
      <c r="R110" s="7">
        <f t="shared" si="14"/>
        <v>1</v>
      </c>
      <c r="S110" s="378"/>
      <c r="T110" s="495">
        <f t="shared" si="16"/>
        <v>46090</v>
      </c>
    </row>
    <row r="111" spans="1:20" ht="21">
      <c r="A111" s="1119"/>
      <c r="B111" s="1120"/>
      <c r="C111" s="67" t="s">
        <v>251</v>
      </c>
      <c r="D111" s="8">
        <v>2</v>
      </c>
      <c r="E111" s="8">
        <v>0</v>
      </c>
      <c r="F111" s="380">
        <v>2</v>
      </c>
      <c r="G111" s="880" t="s">
        <v>158</v>
      </c>
      <c r="H111" s="1118"/>
      <c r="I111" s="67"/>
      <c r="J111" s="67"/>
      <c r="K111" s="8">
        <v>2</v>
      </c>
      <c r="L111" s="8">
        <v>0</v>
      </c>
      <c r="M111" s="380">
        <v>2</v>
      </c>
      <c r="N111" s="880" t="s">
        <v>158</v>
      </c>
      <c r="O111" s="8">
        <v>2</v>
      </c>
      <c r="P111" s="8">
        <v>2</v>
      </c>
      <c r="Q111" s="8">
        <v>2</v>
      </c>
      <c r="R111" s="7">
        <f t="shared" si="14"/>
        <v>1</v>
      </c>
      <c r="S111" s="378"/>
      <c r="T111" s="495">
        <f t="shared" si="16"/>
        <v>46090</v>
      </c>
    </row>
    <row r="112" spans="1:20" ht="21">
      <c r="A112" s="1119" t="s">
        <v>129</v>
      </c>
      <c r="B112" s="1120">
        <v>1</v>
      </c>
      <c r="C112" s="67" t="s">
        <v>252</v>
      </c>
      <c r="D112" s="8">
        <v>1</v>
      </c>
      <c r="E112" s="8">
        <v>1</v>
      </c>
      <c r="F112" s="380">
        <v>0</v>
      </c>
      <c r="G112" s="880" t="s">
        <v>158</v>
      </c>
      <c r="H112" s="1116">
        <v>46089</v>
      </c>
      <c r="I112" s="67"/>
      <c r="J112" s="67"/>
      <c r="K112" s="8">
        <v>1</v>
      </c>
      <c r="L112" s="8">
        <v>1</v>
      </c>
      <c r="M112" s="380">
        <v>0</v>
      </c>
      <c r="N112" s="880" t="s">
        <v>158</v>
      </c>
      <c r="O112" s="8">
        <v>1</v>
      </c>
      <c r="P112" s="8">
        <v>1</v>
      </c>
      <c r="Q112" s="8">
        <v>1</v>
      </c>
      <c r="R112" s="7">
        <f t="shared" si="14"/>
        <v>1</v>
      </c>
      <c r="S112" s="378"/>
      <c r="T112" s="495">
        <f>$H$112</f>
        <v>46089</v>
      </c>
    </row>
    <row r="113" spans="1:20" ht="21">
      <c r="A113" s="1119"/>
      <c r="B113" s="1120"/>
      <c r="C113" s="67" t="s">
        <v>253</v>
      </c>
      <c r="D113" s="8">
        <v>2</v>
      </c>
      <c r="E113" s="8">
        <v>2</v>
      </c>
      <c r="F113" s="380">
        <v>0</v>
      </c>
      <c r="G113" s="880" t="s">
        <v>158</v>
      </c>
      <c r="H113" s="1118"/>
      <c r="I113" s="67"/>
      <c r="J113" s="67"/>
      <c r="K113" s="8">
        <v>2</v>
      </c>
      <c r="L113" s="8">
        <v>2</v>
      </c>
      <c r="M113" s="380">
        <v>0</v>
      </c>
      <c r="N113" s="880" t="s">
        <v>158</v>
      </c>
      <c r="O113" s="8">
        <v>2</v>
      </c>
      <c r="P113" s="8">
        <v>2</v>
      </c>
      <c r="Q113" s="8">
        <v>2</v>
      </c>
      <c r="R113" s="7">
        <f t="shared" si="14"/>
        <v>1</v>
      </c>
      <c r="S113" s="378"/>
      <c r="T113" s="495">
        <f>$H$112</f>
        <v>46089</v>
      </c>
    </row>
    <row r="114" spans="1:20" ht="21">
      <c r="A114" s="903" t="s">
        <v>131</v>
      </c>
      <c r="B114" s="901">
        <v>1</v>
      </c>
      <c r="C114" s="67" t="s">
        <v>254</v>
      </c>
      <c r="D114" s="8">
        <v>3</v>
      </c>
      <c r="E114" s="8">
        <v>3</v>
      </c>
      <c r="F114" s="380">
        <v>0</v>
      </c>
      <c r="G114" s="880" t="s">
        <v>158</v>
      </c>
      <c r="H114" s="900">
        <v>46089</v>
      </c>
      <c r="I114" s="67"/>
      <c r="J114" s="67"/>
      <c r="K114" s="8">
        <v>3</v>
      </c>
      <c r="L114" s="8">
        <v>3</v>
      </c>
      <c r="M114" s="380">
        <v>0</v>
      </c>
      <c r="N114" s="880" t="s">
        <v>158</v>
      </c>
      <c r="O114" s="8">
        <v>3</v>
      </c>
      <c r="P114" s="8">
        <v>3</v>
      </c>
      <c r="Q114" s="8">
        <v>3</v>
      </c>
      <c r="R114" s="7">
        <f t="shared" si="14"/>
        <v>1</v>
      </c>
      <c r="S114" s="378"/>
      <c r="T114" s="495">
        <f>$H$114</f>
        <v>46089</v>
      </c>
    </row>
    <row r="115" spans="1:20" ht="21">
      <c r="A115" s="903" t="s">
        <v>126</v>
      </c>
      <c r="B115" s="901">
        <v>1</v>
      </c>
      <c r="C115" s="67" t="s">
        <v>255</v>
      </c>
      <c r="D115" s="8">
        <v>1</v>
      </c>
      <c r="E115" s="8">
        <v>1</v>
      </c>
      <c r="F115" s="380">
        <v>0</v>
      </c>
      <c r="G115" s="880" t="s">
        <v>158</v>
      </c>
      <c r="H115" s="900">
        <v>46089</v>
      </c>
      <c r="I115" s="67"/>
      <c r="J115" s="67"/>
      <c r="K115" s="8">
        <v>1</v>
      </c>
      <c r="L115" s="8">
        <v>1</v>
      </c>
      <c r="M115" s="380">
        <v>0</v>
      </c>
      <c r="N115" s="880" t="s">
        <v>158</v>
      </c>
      <c r="O115" s="8">
        <v>1</v>
      </c>
      <c r="P115" s="8">
        <v>1</v>
      </c>
      <c r="Q115" s="8">
        <v>1</v>
      </c>
      <c r="R115" s="7">
        <f t="shared" si="14"/>
        <v>1</v>
      </c>
      <c r="S115" s="378"/>
      <c r="T115" s="495">
        <f>$H$115</f>
        <v>46089</v>
      </c>
    </row>
    <row r="116" spans="1:20" ht="21">
      <c r="A116" s="1121" t="s">
        <v>256</v>
      </c>
      <c r="B116" s="901">
        <v>2</v>
      </c>
      <c r="C116" s="67" t="s">
        <v>257</v>
      </c>
      <c r="D116" s="8">
        <v>1</v>
      </c>
      <c r="E116" s="8">
        <v>1</v>
      </c>
      <c r="F116" s="380">
        <v>0</v>
      </c>
      <c r="G116" s="880" t="s">
        <v>158</v>
      </c>
      <c r="H116" s="1116">
        <v>46088</v>
      </c>
      <c r="I116" s="67"/>
      <c r="J116" s="67"/>
      <c r="K116" s="8">
        <v>1</v>
      </c>
      <c r="L116" s="8">
        <v>1</v>
      </c>
      <c r="M116" s="380">
        <v>0</v>
      </c>
      <c r="N116" s="880" t="s">
        <v>158</v>
      </c>
      <c r="O116" s="8">
        <v>1</v>
      </c>
      <c r="P116" s="8">
        <v>1</v>
      </c>
      <c r="Q116" s="8">
        <v>1</v>
      </c>
      <c r="R116" s="7">
        <f t="shared" si="14"/>
        <v>1</v>
      </c>
      <c r="S116" s="936" t="s">
        <v>258</v>
      </c>
      <c r="T116" s="495">
        <f>$H$116</f>
        <v>46088</v>
      </c>
    </row>
    <row r="117" spans="1:20" ht="21">
      <c r="A117" s="1121"/>
      <c r="B117" s="901">
        <v>2</v>
      </c>
      <c r="C117" s="67" t="s">
        <v>257</v>
      </c>
      <c r="D117" s="8">
        <v>1</v>
      </c>
      <c r="E117" s="8">
        <v>1</v>
      </c>
      <c r="F117" s="380">
        <v>0</v>
      </c>
      <c r="G117" s="880" t="s">
        <v>158</v>
      </c>
      <c r="H117" s="1123"/>
      <c r="I117" s="67"/>
      <c r="J117" s="67"/>
      <c r="K117" s="8">
        <v>1</v>
      </c>
      <c r="L117" s="8">
        <v>1</v>
      </c>
      <c r="M117" s="380">
        <v>0</v>
      </c>
      <c r="N117" s="880" t="s">
        <v>158</v>
      </c>
      <c r="O117" s="8">
        <v>1</v>
      </c>
      <c r="P117" s="8">
        <v>1</v>
      </c>
      <c r="Q117" s="8">
        <v>1</v>
      </c>
      <c r="R117" s="7">
        <f t="shared" si="14"/>
        <v>1</v>
      </c>
      <c r="S117" s="936" t="s">
        <v>258</v>
      </c>
      <c r="T117" s="495">
        <f>$H$116</f>
        <v>46088</v>
      </c>
    </row>
    <row r="118" spans="1:20" ht="21">
      <c r="A118" s="381"/>
      <c r="B118" s="382"/>
      <c r="C118" s="383" t="s">
        <v>259</v>
      </c>
      <c r="D118" s="68">
        <f>SUM(D2:D117)</f>
        <v>167</v>
      </c>
      <c r="E118" s="68">
        <f>SUM(E2:E117)</f>
        <v>150</v>
      </c>
      <c r="F118" s="68">
        <f>SUM(F2:F117)</f>
        <v>17</v>
      </c>
      <c r="G118" s="68">
        <f>SUMIF(G2:G117,"Done",F2:F117)</f>
        <v>17</v>
      </c>
      <c r="H118" s="383"/>
      <c r="I118" s="383"/>
      <c r="J118" s="383"/>
      <c r="K118" s="68">
        <f>SUM(K2:K117)</f>
        <v>167</v>
      </c>
      <c r="L118" s="68">
        <f>SUM(L2:L117)</f>
        <v>150</v>
      </c>
      <c r="M118" s="68">
        <f>SUM(M2:M117)</f>
        <v>17</v>
      </c>
      <c r="N118" s="68">
        <f>SUMIF(N2:N117,"Done",M2:M117)</f>
        <v>17</v>
      </c>
      <c r="O118" s="68">
        <f>SUM(O2:O117)</f>
        <v>167</v>
      </c>
      <c r="P118" s="68">
        <f>SUM(P2:P117)</f>
        <v>167</v>
      </c>
      <c r="Q118" s="68">
        <f>SUM(Q2:Q117)</f>
        <v>167</v>
      </c>
      <c r="R118" s="68"/>
      <c r="S118" s="6"/>
    </row>
    <row r="119" spans="1:20" ht="21">
      <c r="A119" s="381"/>
      <c r="B119" s="382"/>
      <c r="C119" s="69" t="s">
        <v>260</v>
      </c>
      <c r="D119" s="70"/>
      <c r="E119" s="6"/>
      <c r="F119" s="6"/>
      <c r="G119" s="6"/>
      <c r="H119" s="69"/>
      <c r="I119" s="69"/>
      <c r="J119" s="69"/>
      <c r="K119" s="70"/>
      <c r="L119" s="6"/>
      <c r="M119" s="6"/>
      <c r="N119" s="6"/>
      <c r="O119" s="71">
        <f>O118/K118</f>
        <v>1</v>
      </c>
      <c r="P119" s="71">
        <f>P118/K118</f>
        <v>1</v>
      </c>
      <c r="Q119" s="71">
        <f>Q118/K118</f>
        <v>1</v>
      </c>
      <c r="R119" s="72">
        <f>ROUNDUP(AVERAGE(R2:R117),2)</f>
        <v>1</v>
      </c>
      <c r="S119" s="6"/>
    </row>
    <row r="120" spans="1:20" ht="24" customHeight="1">
      <c r="A120" s="381"/>
      <c r="B120" s="382"/>
      <c r="C120" s="396"/>
      <c r="D120" s="6"/>
      <c r="E120" s="6"/>
      <c r="F120" s="6"/>
      <c r="G120" s="6"/>
      <c r="H120" s="396"/>
      <c r="I120" s="396"/>
      <c r="J120" s="396"/>
      <c r="K120" s="6"/>
      <c r="L120" s="6">
        <f>K118-Q118</f>
        <v>0</v>
      </c>
      <c r="M120" s="6"/>
      <c r="N120" s="6"/>
      <c r="O120" s="6"/>
      <c r="P120" s="6"/>
      <c r="Q120" s="6"/>
      <c r="R120" s="6"/>
      <c r="S120" s="6"/>
    </row>
  </sheetData>
  <autoFilter ref="A1:K1" xr:uid="{EE30FD31-2E01-4AF4-9806-0C27F692DB33}"/>
  <mergeCells count="37">
    <mergeCell ref="H116:H117"/>
    <mergeCell ref="H107:H111"/>
    <mergeCell ref="H100:H106"/>
    <mergeCell ref="B35:B38"/>
    <mergeCell ref="B39:B49"/>
    <mergeCell ref="H35:H38"/>
    <mergeCell ref="H74:H83"/>
    <mergeCell ref="H50:H65"/>
    <mergeCell ref="H66:H73"/>
    <mergeCell ref="H112:H113"/>
    <mergeCell ref="H84:H87"/>
    <mergeCell ref="H88:H93"/>
    <mergeCell ref="H94:H98"/>
    <mergeCell ref="H39:H49"/>
    <mergeCell ref="A116:A117"/>
    <mergeCell ref="A100:A106"/>
    <mergeCell ref="B100:B101"/>
    <mergeCell ref="B102:B105"/>
    <mergeCell ref="A107:A111"/>
    <mergeCell ref="B107:B109"/>
    <mergeCell ref="B110:B111"/>
    <mergeCell ref="H2:H10"/>
    <mergeCell ref="H11:H26"/>
    <mergeCell ref="H27:H34"/>
    <mergeCell ref="A112:A113"/>
    <mergeCell ref="B112:B113"/>
    <mergeCell ref="B50:B65"/>
    <mergeCell ref="B66:B73"/>
    <mergeCell ref="A74:A98"/>
    <mergeCell ref="B74:B83"/>
    <mergeCell ref="B84:B87"/>
    <mergeCell ref="B88:B93"/>
    <mergeCell ref="B94:B98"/>
    <mergeCell ref="A2:A73"/>
    <mergeCell ref="B2:B10"/>
    <mergeCell ref="B11:B26"/>
    <mergeCell ref="B27:B34"/>
  </mergeCells>
  <conditionalFormatting sqref="G2:G117">
    <cfRule type="cellIs" dxfId="43" priority="1" operator="equal">
      <formula>"Done"</formula>
    </cfRule>
    <cfRule type="cellIs" dxfId="42" priority="2" operator="equal">
      <formula>"In Progress"</formula>
    </cfRule>
  </conditionalFormatting>
  <conditionalFormatting sqref="N2:N117">
    <cfRule type="cellIs" dxfId="41" priority="3" operator="equal">
      <formula>"Done"</formula>
    </cfRule>
    <cfRule type="cellIs" dxfId="40" priority="4" operator="equal">
      <formula>"In Progress"</formula>
    </cfRule>
  </conditionalFormatting>
  <dataValidations count="1">
    <dataValidation type="list" allowBlank="1" showInputMessage="1" showErrorMessage="1" sqref="N2:N117 G2:G117" xr:uid="{DF25E7FE-CAEB-4EBF-AFCC-30A739954B76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N1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61B4-86D7-49D2-A1B7-FDBACD98DCD5}">
  <sheetPr>
    <pageSetUpPr fitToPage="1"/>
  </sheetPr>
  <dimension ref="A1:P145"/>
  <sheetViews>
    <sheetView zoomScale="60" zoomScaleNormal="60" zoomScaleSheetLayoutView="80" workbookViewId="0">
      <pane ySplit="1" topLeftCell="A2" activePane="bottomLeft" state="frozen"/>
      <selection pane="bottomLeft" activeCell="N38" sqref="N38"/>
    </sheetView>
  </sheetViews>
  <sheetFormatPr defaultColWidth="10.88671875" defaultRowHeight="21"/>
  <cols>
    <col min="1" max="1" width="8.6640625" style="76" customWidth="1"/>
    <col min="2" max="2" width="56.44140625" style="106" customWidth="1"/>
    <col min="3" max="3" width="12.6640625" style="106" customWidth="1"/>
    <col min="4" max="4" width="64.88671875" style="76" customWidth="1"/>
    <col min="5" max="5" width="17" style="76" customWidth="1"/>
    <col min="6" max="6" width="23.33203125" style="76" customWidth="1"/>
    <col min="7" max="7" width="17.6640625" style="76" hidden="1" customWidth="1"/>
    <col min="8" max="8" width="21.5546875" style="76" hidden="1" customWidth="1"/>
    <col min="9" max="10" width="21.5546875" style="76" customWidth="1"/>
    <col min="11" max="11" width="21.5546875" style="76" hidden="1" customWidth="1"/>
    <col min="12" max="14" width="21.5546875" style="76" customWidth="1"/>
    <col min="15" max="15" width="21.5546875" style="64" customWidth="1"/>
    <col min="16" max="16384" width="10.88671875" style="76"/>
  </cols>
  <sheetData>
    <row r="1" spans="1:15" s="80" customFormat="1" ht="59.25" customHeight="1">
      <c r="A1" s="77" t="s">
        <v>261</v>
      </c>
      <c r="B1" s="128" t="s">
        <v>15</v>
      </c>
      <c r="C1" s="104" t="s">
        <v>17</v>
      </c>
      <c r="D1" s="126" t="s">
        <v>262</v>
      </c>
      <c r="E1" s="78" t="s">
        <v>263</v>
      </c>
      <c r="F1" s="79" t="s">
        <v>264</v>
      </c>
      <c r="G1" s="79" t="s">
        <v>265</v>
      </c>
      <c r="H1" s="79" t="s">
        <v>266</v>
      </c>
      <c r="I1" s="79" t="s">
        <v>267</v>
      </c>
      <c r="J1" s="79" t="s">
        <v>268</v>
      </c>
      <c r="K1" s="79" t="s">
        <v>269</v>
      </c>
      <c r="L1" s="79" t="s">
        <v>270</v>
      </c>
      <c r="M1" s="79" t="s">
        <v>271</v>
      </c>
      <c r="N1" s="79" t="s">
        <v>272</v>
      </c>
      <c r="O1" s="103" t="s">
        <v>273</v>
      </c>
    </row>
    <row r="2" spans="1:15" s="86" customFormat="1">
      <c r="A2" s="81" t="s">
        <v>4</v>
      </c>
      <c r="B2" s="129" t="s">
        <v>37</v>
      </c>
      <c r="C2" s="171">
        <v>2</v>
      </c>
      <c r="D2" s="903" t="s">
        <v>45</v>
      </c>
      <c r="E2" s="84"/>
      <c r="F2" s="85" t="b">
        <v>0</v>
      </c>
      <c r="G2" s="85" t="b">
        <v>0</v>
      </c>
      <c r="H2" s="85" t="b">
        <v>0</v>
      </c>
      <c r="I2" s="85" t="b">
        <v>1</v>
      </c>
      <c r="J2" s="85" t="b">
        <v>1</v>
      </c>
      <c r="K2" s="85" t="b">
        <v>0</v>
      </c>
      <c r="L2" s="85" t="b">
        <v>0</v>
      </c>
      <c r="M2" s="85" t="b">
        <v>0</v>
      </c>
      <c r="N2" s="85" t="b">
        <v>0</v>
      </c>
      <c r="O2" s="880" t="s">
        <v>158</v>
      </c>
    </row>
    <row r="3" spans="1:15" s="86" customFormat="1">
      <c r="A3" s="81" t="s">
        <v>4</v>
      </c>
      <c r="B3" s="129" t="s">
        <v>37</v>
      </c>
      <c r="C3" s="171" t="s">
        <v>274</v>
      </c>
      <c r="D3" s="127" t="s">
        <v>67</v>
      </c>
      <c r="E3" s="176" t="s">
        <v>275</v>
      </c>
      <c r="F3" s="85" t="b">
        <v>1</v>
      </c>
      <c r="G3" s="85" t="b">
        <v>0</v>
      </c>
      <c r="H3" s="85" t="b">
        <v>0</v>
      </c>
      <c r="I3" s="85" t="b">
        <v>1</v>
      </c>
      <c r="J3" s="85" t="b">
        <v>0</v>
      </c>
      <c r="K3" s="85" t="b">
        <v>0</v>
      </c>
      <c r="L3" s="85" t="b">
        <v>0</v>
      </c>
      <c r="M3" s="85" t="b">
        <v>0</v>
      </c>
      <c r="N3" s="85" t="b">
        <v>0</v>
      </c>
      <c r="O3" s="113" t="s">
        <v>158</v>
      </c>
    </row>
    <row r="4" spans="1:15" s="86" customFormat="1">
      <c r="A4" s="81" t="s">
        <v>4</v>
      </c>
      <c r="B4" s="129" t="s">
        <v>37</v>
      </c>
      <c r="C4" s="171">
        <v>2</v>
      </c>
      <c r="D4" s="140" t="s">
        <v>276</v>
      </c>
      <c r="E4" s="84"/>
      <c r="F4" s="85" t="b">
        <v>0</v>
      </c>
      <c r="G4" s="85" t="b">
        <v>0</v>
      </c>
      <c r="H4" s="85" t="b">
        <v>0</v>
      </c>
      <c r="I4" s="85" t="b">
        <v>1</v>
      </c>
      <c r="J4" s="85" t="b">
        <v>0</v>
      </c>
      <c r="K4" s="85" t="b">
        <v>0</v>
      </c>
      <c r="L4" s="85" t="b">
        <v>1</v>
      </c>
      <c r="M4" s="85" t="b">
        <v>0</v>
      </c>
      <c r="N4" s="85" t="b">
        <v>0</v>
      </c>
      <c r="O4" s="113" t="s">
        <v>158</v>
      </c>
    </row>
    <row r="5" spans="1:15" s="86" customFormat="1">
      <c r="A5" s="81" t="s">
        <v>4</v>
      </c>
      <c r="B5" s="129" t="s">
        <v>37</v>
      </c>
      <c r="C5" s="171">
        <v>3</v>
      </c>
      <c r="D5" s="127" t="s">
        <v>72</v>
      </c>
      <c r="E5" s="84"/>
      <c r="F5" s="85" t="b">
        <v>1</v>
      </c>
      <c r="G5" s="85" t="b">
        <v>0</v>
      </c>
      <c r="H5" s="85" t="b">
        <v>0</v>
      </c>
      <c r="I5" s="85" t="b">
        <v>1</v>
      </c>
      <c r="J5" s="85" t="b">
        <v>1</v>
      </c>
      <c r="K5" s="85" t="b">
        <v>0</v>
      </c>
      <c r="L5" s="85" t="b">
        <v>0</v>
      </c>
      <c r="M5" s="85" t="b">
        <v>0</v>
      </c>
      <c r="N5" s="85" t="b">
        <v>0</v>
      </c>
      <c r="O5" s="113" t="s">
        <v>158</v>
      </c>
    </row>
    <row r="6" spans="1:15" s="86" customFormat="1">
      <c r="A6" s="81" t="s">
        <v>4</v>
      </c>
      <c r="B6" s="129" t="s">
        <v>37</v>
      </c>
      <c r="C6" s="171">
        <v>4</v>
      </c>
      <c r="D6" s="140" t="s">
        <v>277</v>
      </c>
      <c r="E6" s="84"/>
      <c r="F6" s="85" t="b">
        <v>0</v>
      </c>
      <c r="G6" s="85" t="b">
        <v>0</v>
      </c>
      <c r="H6" s="85" t="b">
        <v>0</v>
      </c>
      <c r="I6" s="85" t="b">
        <v>1</v>
      </c>
      <c r="J6" s="85" t="b">
        <v>1</v>
      </c>
      <c r="K6" s="85" t="b">
        <v>0</v>
      </c>
      <c r="L6" s="85" t="b">
        <v>0</v>
      </c>
      <c r="M6" s="85" t="b">
        <v>0</v>
      </c>
      <c r="N6" s="85" t="b">
        <v>0</v>
      </c>
      <c r="O6" s="113" t="s">
        <v>158</v>
      </c>
    </row>
    <row r="7" spans="1:15" s="86" customFormat="1">
      <c r="A7" s="81" t="s">
        <v>4</v>
      </c>
      <c r="B7" s="129" t="s">
        <v>75</v>
      </c>
      <c r="C7" s="171">
        <v>1</v>
      </c>
      <c r="D7" s="141" t="s">
        <v>278</v>
      </c>
      <c r="E7" s="84"/>
      <c r="F7" s="85" t="b">
        <v>1</v>
      </c>
      <c r="G7" s="85" t="b">
        <v>0</v>
      </c>
      <c r="H7" s="85" t="b">
        <v>0</v>
      </c>
      <c r="I7" s="85" t="b">
        <v>1</v>
      </c>
      <c r="J7" s="85" t="b">
        <v>1</v>
      </c>
      <c r="K7" s="85" t="b">
        <v>0</v>
      </c>
      <c r="L7" s="85" t="b">
        <v>0</v>
      </c>
      <c r="M7" s="85" t="b">
        <v>0</v>
      </c>
      <c r="N7" s="85" t="b">
        <v>1</v>
      </c>
      <c r="O7" s="113" t="s">
        <v>158</v>
      </c>
    </row>
    <row r="8" spans="1:15" s="86" customFormat="1">
      <c r="A8" s="81" t="s">
        <v>4</v>
      </c>
      <c r="B8" s="129" t="s">
        <v>75</v>
      </c>
      <c r="C8" s="171">
        <v>2</v>
      </c>
      <c r="D8" s="141" t="s">
        <v>279</v>
      </c>
      <c r="E8" s="84"/>
      <c r="F8" s="85" t="b">
        <v>1</v>
      </c>
      <c r="G8" s="85" t="b">
        <v>0</v>
      </c>
      <c r="H8" s="85" t="b">
        <v>0</v>
      </c>
      <c r="I8" s="85" t="b">
        <v>1</v>
      </c>
      <c r="J8" s="85" t="b">
        <v>0</v>
      </c>
      <c r="K8" s="85" t="b">
        <v>0</v>
      </c>
      <c r="L8" s="85" t="b">
        <v>0</v>
      </c>
      <c r="M8" s="85" t="b">
        <v>0</v>
      </c>
      <c r="N8" s="85" t="b">
        <v>0</v>
      </c>
      <c r="O8" s="113" t="s">
        <v>158</v>
      </c>
    </row>
    <row r="9" spans="1:15" s="86" customFormat="1">
      <c r="A9" s="81" t="s">
        <v>4</v>
      </c>
      <c r="B9" s="129" t="s">
        <v>75</v>
      </c>
      <c r="C9" s="171">
        <v>3</v>
      </c>
      <c r="D9" s="140" t="s">
        <v>280</v>
      </c>
      <c r="E9" s="84"/>
      <c r="F9" s="85" t="b">
        <v>0</v>
      </c>
      <c r="G9" s="85" t="b">
        <v>0</v>
      </c>
      <c r="H9" s="85" t="b">
        <v>0</v>
      </c>
      <c r="I9" s="85" t="b">
        <v>1</v>
      </c>
      <c r="J9" s="85" t="b">
        <v>0</v>
      </c>
      <c r="K9" s="85" t="b">
        <v>0</v>
      </c>
      <c r="L9" s="85" t="b">
        <v>0</v>
      </c>
      <c r="M9" s="85" t="b">
        <v>0</v>
      </c>
      <c r="N9" s="85" t="b">
        <v>0</v>
      </c>
      <c r="O9" s="113" t="s">
        <v>158</v>
      </c>
    </row>
    <row r="10" spans="1:15" s="86" customFormat="1">
      <c r="A10" s="81" t="s">
        <v>4</v>
      </c>
      <c r="B10" s="129" t="s">
        <v>75</v>
      </c>
      <c r="C10" s="171">
        <v>6</v>
      </c>
      <c r="D10" s="903" t="s">
        <v>89</v>
      </c>
      <c r="E10" s="84"/>
      <c r="F10" s="85" t="b">
        <v>0</v>
      </c>
      <c r="G10" s="85" t="b">
        <v>0</v>
      </c>
      <c r="H10" s="85" t="b">
        <v>0</v>
      </c>
      <c r="I10" s="85" t="b">
        <v>1</v>
      </c>
      <c r="J10" s="85" t="b">
        <v>0</v>
      </c>
      <c r="K10" s="85" t="b">
        <v>0</v>
      </c>
      <c r="L10" s="85" t="b">
        <v>0</v>
      </c>
      <c r="M10" s="85" t="b">
        <v>0</v>
      </c>
      <c r="N10" s="85" t="b">
        <v>0</v>
      </c>
      <c r="O10" s="113" t="s">
        <v>158</v>
      </c>
    </row>
    <row r="11" spans="1:15" s="86" customFormat="1">
      <c r="A11" s="81" t="s">
        <v>4</v>
      </c>
      <c r="B11" s="129" t="s">
        <v>75</v>
      </c>
      <c r="C11" s="171">
        <v>1</v>
      </c>
      <c r="D11" s="142" t="s">
        <v>281</v>
      </c>
      <c r="E11" s="84"/>
      <c r="F11" s="85" t="b">
        <v>0</v>
      </c>
      <c r="G11" s="85" t="b">
        <v>0</v>
      </c>
      <c r="H11" s="85" t="b">
        <v>0</v>
      </c>
      <c r="I11" s="85" t="b">
        <v>1</v>
      </c>
      <c r="J11" s="85" t="b">
        <v>0</v>
      </c>
      <c r="K11" s="85" t="b">
        <v>0</v>
      </c>
      <c r="L11" s="85" t="b">
        <v>0</v>
      </c>
      <c r="M11" s="85" t="b">
        <v>0</v>
      </c>
      <c r="N11" s="85" t="b">
        <v>0</v>
      </c>
      <c r="O11" s="113" t="s">
        <v>158</v>
      </c>
    </row>
    <row r="12" spans="1:15" s="86" customFormat="1">
      <c r="A12" s="81" t="s">
        <v>4</v>
      </c>
      <c r="B12" s="129" t="s">
        <v>75</v>
      </c>
      <c r="C12" s="171">
        <v>1</v>
      </c>
      <c r="D12" s="127" t="s">
        <v>95</v>
      </c>
      <c r="E12" s="84"/>
      <c r="F12" s="85" t="b">
        <v>1</v>
      </c>
      <c r="G12" s="85" t="b">
        <v>0</v>
      </c>
      <c r="H12" s="85" t="b">
        <v>0</v>
      </c>
      <c r="I12" s="85" t="b">
        <v>0</v>
      </c>
      <c r="J12" s="85" t="b">
        <v>0</v>
      </c>
      <c r="K12" s="85" t="b">
        <v>0</v>
      </c>
      <c r="L12" s="85" t="b">
        <v>1</v>
      </c>
      <c r="M12" s="85" t="b">
        <v>0</v>
      </c>
      <c r="N12" s="85" t="b">
        <v>0</v>
      </c>
      <c r="O12" s="113" t="s">
        <v>158</v>
      </c>
    </row>
    <row r="13" spans="1:15" s="86" customFormat="1">
      <c r="A13" s="81" t="s">
        <v>4</v>
      </c>
      <c r="B13" s="129" t="s">
        <v>75</v>
      </c>
      <c r="C13" s="171">
        <v>5</v>
      </c>
      <c r="D13" s="903" t="s">
        <v>282</v>
      </c>
      <c r="E13" s="84"/>
      <c r="F13" s="85" t="b">
        <v>0</v>
      </c>
      <c r="G13" s="85" t="b">
        <v>0</v>
      </c>
      <c r="H13" s="85" t="b">
        <v>0</v>
      </c>
      <c r="I13" s="85" t="b">
        <v>1</v>
      </c>
      <c r="J13" s="85" t="b">
        <v>0</v>
      </c>
      <c r="K13" s="85" t="b">
        <v>0</v>
      </c>
      <c r="L13" s="85" t="b">
        <v>0</v>
      </c>
      <c r="M13" s="85" t="b">
        <v>0</v>
      </c>
      <c r="N13" s="85" t="b">
        <v>0</v>
      </c>
      <c r="O13" s="113" t="s">
        <v>158</v>
      </c>
    </row>
    <row r="14" spans="1:15" s="86" customFormat="1">
      <c r="A14" s="81" t="s">
        <v>4</v>
      </c>
      <c r="B14" s="129" t="s">
        <v>75</v>
      </c>
      <c r="C14" s="171">
        <v>2</v>
      </c>
      <c r="D14" s="127" t="s">
        <v>98</v>
      </c>
      <c r="E14" s="84"/>
      <c r="F14" s="85" t="b">
        <v>1</v>
      </c>
      <c r="G14" s="85" t="b">
        <v>0</v>
      </c>
      <c r="H14" s="85" t="b">
        <v>0</v>
      </c>
      <c r="I14" s="85" t="b">
        <v>0</v>
      </c>
      <c r="J14" s="85" t="b">
        <v>0</v>
      </c>
      <c r="K14" s="85" t="b">
        <v>0</v>
      </c>
      <c r="L14" s="85" t="b">
        <v>0</v>
      </c>
      <c r="M14" s="85" t="b">
        <v>0</v>
      </c>
      <c r="N14" s="85" t="b">
        <v>0</v>
      </c>
      <c r="O14" s="113" t="s">
        <v>158</v>
      </c>
    </row>
    <row r="15" spans="1:15" s="86" customFormat="1">
      <c r="A15" s="81" t="s">
        <v>4</v>
      </c>
      <c r="B15" s="129" t="s">
        <v>75</v>
      </c>
      <c r="C15" s="171">
        <v>3</v>
      </c>
      <c r="D15" s="903" t="s">
        <v>100</v>
      </c>
      <c r="E15" s="84"/>
      <c r="F15" s="85" t="b">
        <v>0</v>
      </c>
      <c r="G15" s="85" t="b">
        <v>0</v>
      </c>
      <c r="H15" s="85" t="b">
        <v>0</v>
      </c>
      <c r="I15" s="85" t="b">
        <v>1</v>
      </c>
      <c r="J15" s="85" t="b">
        <v>0</v>
      </c>
      <c r="K15" s="85" t="b">
        <v>0</v>
      </c>
      <c r="L15" s="85" t="b">
        <v>0</v>
      </c>
      <c r="M15" s="85" t="b">
        <v>0</v>
      </c>
      <c r="N15" s="85" t="b">
        <v>0</v>
      </c>
      <c r="O15" s="113" t="s">
        <v>158</v>
      </c>
    </row>
    <row r="16" spans="1:15" s="86" customFormat="1">
      <c r="A16" s="81" t="s">
        <v>4</v>
      </c>
      <c r="B16" s="129" t="s">
        <v>75</v>
      </c>
      <c r="C16" s="171">
        <v>4</v>
      </c>
      <c r="D16" s="127" t="s">
        <v>101</v>
      </c>
      <c r="E16" s="84"/>
      <c r="F16" s="85" t="b">
        <v>0</v>
      </c>
      <c r="G16" s="85" t="b">
        <v>0</v>
      </c>
      <c r="H16" s="85" t="b">
        <v>0</v>
      </c>
      <c r="I16" s="85" t="b">
        <v>1</v>
      </c>
      <c r="J16" s="85" t="b">
        <v>0</v>
      </c>
      <c r="K16" s="85" t="b">
        <v>0</v>
      </c>
      <c r="L16" s="85" t="b">
        <v>0</v>
      </c>
      <c r="M16" s="85" t="b">
        <v>0</v>
      </c>
      <c r="N16" s="85" t="b">
        <v>0</v>
      </c>
      <c r="O16" s="113" t="s">
        <v>158</v>
      </c>
    </row>
    <row r="17" spans="1:15" s="86" customFormat="1">
      <c r="A17" s="81" t="s">
        <v>4</v>
      </c>
      <c r="B17" s="129" t="s">
        <v>75</v>
      </c>
      <c r="C17" s="171">
        <v>1</v>
      </c>
      <c r="D17" s="143" t="s">
        <v>283</v>
      </c>
      <c r="E17" s="84"/>
      <c r="F17" s="85" t="b">
        <v>1</v>
      </c>
      <c r="G17" s="85" t="b">
        <v>0</v>
      </c>
      <c r="H17" s="85" t="b">
        <v>0</v>
      </c>
      <c r="I17" s="85" t="b">
        <v>0</v>
      </c>
      <c r="J17" s="85" t="b">
        <v>0</v>
      </c>
      <c r="K17" s="85" t="b">
        <v>0</v>
      </c>
      <c r="L17" s="85" t="b">
        <v>1</v>
      </c>
      <c r="M17" s="85" t="b">
        <v>0</v>
      </c>
      <c r="N17" s="85" t="b">
        <v>0</v>
      </c>
      <c r="O17" s="113" t="s">
        <v>158</v>
      </c>
    </row>
    <row r="18" spans="1:15" s="86" customFormat="1">
      <c r="A18" s="81" t="s">
        <v>4</v>
      </c>
      <c r="B18" s="129" t="s">
        <v>75</v>
      </c>
      <c r="C18" s="171">
        <v>6</v>
      </c>
      <c r="D18" s="127" t="s">
        <v>104</v>
      </c>
      <c r="E18" s="84"/>
      <c r="F18" s="85" t="b">
        <v>0</v>
      </c>
      <c r="G18" s="85" t="b">
        <v>0</v>
      </c>
      <c r="H18" s="85" t="b">
        <v>0</v>
      </c>
      <c r="I18" s="85" t="b">
        <v>1</v>
      </c>
      <c r="J18" s="85" t="b">
        <v>0</v>
      </c>
      <c r="K18" s="85" t="b">
        <v>0</v>
      </c>
      <c r="L18" s="85" t="b">
        <v>0</v>
      </c>
      <c r="M18" s="85" t="b">
        <v>0</v>
      </c>
      <c r="N18" s="85" t="b">
        <v>0</v>
      </c>
      <c r="O18" s="113" t="s">
        <v>158</v>
      </c>
    </row>
    <row r="19" spans="1:15" s="86" customFormat="1">
      <c r="A19" s="81" t="s">
        <v>4</v>
      </c>
      <c r="B19" s="129" t="s">
        <v>75</v>
      </c>
      <c r="C19" s="171">
        <v>7</v>
      </c>
      <c r="D19" s="140" t="s">
        <v>284</v>
      </c>
      <c r="E19" s="84"/>
      <c r="F19" s="85" t="b">
        <v>1</v>
      </c>
      <c r="G19" s="85" t="b">
        <v>0</v>
      </c>
      <c r="H19" s="85" t="b">
        <v>0</v>
      </c>
      <c r="I19" s="85" t="b">
        <v>1</v>
      </c>
      <c r="J19" s="85" t="b">
        <v>0</v>
      </c>
      <c r="K19" s="85" t="b">
        <v>0</v>
      </c>
      <c r="L19" s="85" t="b">
        <v>0</v>
      </c>
      <c r="M19" s="85" t="b">
        <v>0</v>
      </c>
      <c r="N19" s="85" t="b">
        <v>0</v>
      </c>
      <c r="O19" s="113" t="s">
        <v>158</v>
      </c>
    </row>
    <row r="20" spans="1:15" s="86" customFormat="1">
      <c r="A20" s="81" t="s">
        <v>4</v>
      </c>
      <c r="B20" s="129" t="s">
        <v>75</v>
      </c>
      <c r="C20" s="171">
        <v>3</v>
      </c>
      <c r="D20" s="127" t="s">
        <v>106</v>
      </c>
      <c r="E20" s="84"/>
      <c r="F20" s="85" t="b">
        <v>1</v>
      </c>
      <c r="G20" s="85" t="b">
        <v>0</v>
      </c>
      <c r="H20" s="85" t="b">
        <v>0</v>
      </c>
      <c r="I20" s="85" t="b">
        <v>0</v>
      </c>
      <c r="J20" s="85" t="b">
        <v>0</v>
      </c>
      <c r="K20" s="85" t="b">
        <v>0</v>
      </c>
      <c r="L20" s="85" t="b">
        <v>0</v>
      </c>
      <c r="M20" s="85" t="b">
        <v>0</v>
      </c>
      <c r="N20" s="85" t="b">
        <v>0</v>
      </c>
      <c r="O20" s="113" t="s">
        <v>158</v>
      </c>
    </row>
    <row r="21" spans="1:15" s="86" customFormat="1">
      <c r="A21" s="81" t="s">
        <v>4</v>
      </c>
      <c r="B21" s="129" t="s">
        <v>107</v>
      </c>
      <c r="C21" s="171">
        <v>2</v>
      </c>
      <c r="D21" s="140" t="s">
        <v>285</v>
      </c>
      <c r="E21" s="84"/>
      <c r="F21" s="85" t="b">
        <v>0</v>
      </c>
      <c r="G21" s="85" t="b">
        <v>0</v>
      </c>
      <c r="H21" s="85" t="b">
        <v>0</v>
      </c>
      <c r="I21" s="85" t="b">
        <v>1</v>
      </c>
      <c r="J21" s="85" t="b">
        <v>0</v>
      </c>
      <c r="K21" s="85" t="b">
        <v>0</v>
      </c>
      <c r="L21" s="85" t="b">
        <v>0</v>
      </c>
      <c r="M21" s="85" t="b">
        <v>0</v>
      </c>
      <c r="N21" s="85" t="b">
        <v>0</v>
      </c>
      <c r="O21" s="113" t="s">
        <v>158</v>
      </c>
    </row>
    <row r="22" spans="1:15" s="86" customFormat="1">
      <c r="A22" s="81" t="s">
        <v>4</v>
      </c>
      <c r="B22" s="129" t="s">
        <v>107</v>
      </c>
      <c r="C22" s="171">
        <v>1</v>
      </c>
      <c r="D22" s="127" t="s">
        <v>110</v>
      </c>
      <c r="E22" s="84"/>
      <c r="F22" s="85" t="b">
        <v>1</v>
      </c>
      <c r="G22" s="85" t="b">
        <v>0</v>
      </c>
      <c r="H22" s="85" t="b">
        <v>0</v>
      </c>
      <c r="I22" s="85" t="b">
        <v>1</v>
      </c>
      <c r="J22" s="85" t="b">
        <v>0</v>
      </c>
      <c r="K22" s="85" t="b">
        <v>0</v>
      </c>
      <c r="L22" s="85" t="b">
        <v>0</v>
      </c>
      <c r="M22" s="85" t="b">
        <v>0</v>
      </c>
      <c r="N22" s="85" t="b">
        <v>0</v>
      </c>
      <c r="O22" s="113" t="s">
        <v>158</v>
      </c>
    </row>
    <row r="23" spans="1:15" s="86" customFormat="1">
      <c r="A23" s="81" t="s">
        <v>4</v>
      </c>
      <c r="B23" s="129" t="s">
        <v>107</v>
      </c>
      <c r="C23" s="171">
        <v>2</v>
      </c>
      <c r="D23" s="140" t="s">
        <v>286</v>
      </c>
      <c r="E23" s="84"/>
      <c r="F23" s="85" t="b">
        <v>0</v>
      </c>
      <c r="G23" s="85" t="b">
        <v>0</v>
      </c>
      <c r="H23" s="85" t="b">
        <v>0</v>
      </c>
      <c r="I23" s="85" t="b">
        <v>1</v>
      </c>
      <c r="J23" s="85" t="b">
        <v>0</v>
      </c>
      <c r="K23" s="85" t="b">
        <v>0</v>
      </c>
      <c r="L23" s="85" t="b">
        <v>0</v>
      </c>
      <c r="M23" s="85" t="b">
        <v>0</v>
      </c>
      <c r="N23" s="85" t="b">
        <v>0</v>
      </c>
      <c r="O23" s="113" t="s">
        <v>158</v>
      </c>
    </row>
    <row r="24" spans="1:15" s="86" customFormat="1">
      <c r="A24" s="81" t="s">
        <v>4</v>
      </c>
      <c r="B24" s="129" t="s">
        <v>114</v>
      </c>
      <c r="C24" s="171">
        <v>2</v>
      </c>
      <c r="D24" s="141" t="s">
        <v>287</v>
      </c>
      <c r="E24" s="84"/>
      <c r="F24" s="85" t="b">
        <v>0</v>
      </c>
      <c r="G24" s="85" t="b">
        <v>0</v>
      </c>
      <c r="H24" s="85" t="b">
        <v>0</v>
      </c>
      <c r="I24" s="85" t="b">
        <v>1</v>
      </c>
      <c r="J24" s="85" t="b">
        <v>0</v>
      </c>
      <c r="K24" s="85" t="b">
        <v>0</v>
      </c>
      <c r="L24" s="85" t="b">
        <v>0</v>
      </c>
      <c r="M24" s="85" t="b">
        <v>0</v>
      </c>
      <c r="N24" s="85" t="b">
        <v>1</v>
      </c>
      <c r="O24" s="113" t="s">
        <v>158</v>
      </c>
    </row>
    <row r="25" spans="1:15" s="86" customFormat="1">
      <c r="A25" s="81" t="s">
        <v>4</v>
      </c>
      <c r="B25" s="129" t="s">
        <v>122</v>
      </c>
      <c r="C25" s="171">
        <v>1</v>
      </c>
      <c r="D25" s="903" t="s">
        <v>70</v>
      </c>
      <c r="E25" s="84"/>
      <c r="F25" s="85" t="b">
        <v>0</v>
      </c>
      <c r="G25" s="85" t="b">
        <v>0</v>
      </c>
      <c r="H25" s="85" t="b">
        <v>0</v>
      </c>
      <c r="I25" s="85" t="b">
        <v>1</v>
      </c>
      <c r="J25" s="85" t="b">
        <v>0</v>
      </c>
      <c r="K25" s="85" t="b">
        <v>0</v>
      </c>
      <c r="L25" s="85" t="b">
        <v>0</v>
      </c>
      <c r="M25" s="85" t="b">
        <v>0</v>
      </c>
      <c r="N25" s="85" t="b">
        <v>0</v>
      </c>
      <c r="O25" s="113" t="s">
        <v>158</v>
      </c>
    </row>
    <row r="26" spans="1:15" s="86" customFormat="1">
      <c r="A26" s="81" t="s">
        <v>4</v>
      </c>
      <c r="B26" s="129" t="s">
        <v>123</v>
      </c>
      <c r="C26" s="171">
        <v>1</v>
      </c>
      <c r="D26" s="141" t="s">
        <v>288</v>
      </c>
      <c r="E26" s="84"/>
      <c r="F26" s="85" t="b">
        <v>1</v>
      </c>
      <c r="G26" s="85" t="b">
        <v>0</v>
      </c>
      <c r="H26" s="85" t="b">
        <v>0</v>
      </c>
      <c r="I26" s="85" t="b">
        <v>0</v>
      </c>
      <c r="J26" s="85" t="b">
        <v>0</v>
      </c>
      <c r="K26" s="85" t="b">
        <v>0</v>
      </c>
      <c r="L26" s="85" t="b">
        <v>0</v>
      </c>
      <c r="M26" s="85" t="b">
        <v>0</v>
      </c>
      <c r="N26" s="85" t="b">
        <v>1</v>
      </c>
      <c r="O26" s="113" t="s">
        <v>158</v>
      </c>
    </row>
    <row r="27" spans="1:15" s="86" customFormat="1">
      <c r="A27" s="81" t="s">
        <v>4</v>
      </c>
      <c r="B27" s="129" t="s">
        <v>126</v>
      </c>
      <c r="C27" s="171">
        <v>1</v>
      </c>
      <c r="D27" s="140" t="s">
        <v>289</v>
      </c>
      <c r="E27" s="84"/>
      <c r="F27" s="85" t="b">
        <v>0</v>
      </c>
      <c r="G27" s="85" t="b">
        <v>0</v>
      </c>
      <c r="H27" s="85" t="b">
        <v>0</v>
      </c>
      <c r="I27" s="85" t="b">
        <v>1</v>
      </c>
      <c r="J27" s="85" t="b">
        <v>0</v>
      </c>
      <c r="K27" s="85" t="b">
        <v>0</v>
      </c>
      <c r="L27" s="85" t="b">
        <v>0</v>
      </c>
      <c r="M27" s="85" t="b">
        <v>0</v>
      </c>
      <c r="N27" s="85" t="b">
        <v>0</v>
      </c>
      <c r="O27" s="113" t="s">
        <v>158</v>
      </c>
    </row>
    <row r="28" spans="1:15" s="86" customFormat="1">
      <c r="A28" s="81" t="s">
        <v>4</v>
      </c>
      <c r="B28" s="129" t="s">
        <v>129</v>
      </c>
      <c r="C28" s="171">
        <v>1</v>
      </c>
      <c r="D28" s="127" t="s">
        <v>130</v>
      </c>
      <c r="E28" s="84"/>
      <c r="F28" s="85" t="b">
        <v>0</v>
      </c>
      <c r="G28" s="85" t="b">
        <v>0</v>
      </c>
      <c r="H28" s="85" t="b">
        <v>0</v>
      </c>
      <c r="I28" s="85" t="b">
        <v>1</v>
      </c>
      <c r="J28" s="85" t="b">
        <v>0</v>
      </c>
      <c r="K28" s="85" t="b">
        <v>0</v>
      </c>
      <c r="L28" s="85" t="b">
        <v>0</v>
      </c>
      <c r="M28" s="85" t="b">
        <v>0</v>
      </c>
      <c r="N28" s="85" t="b">
        <v>0</v>
      </c>
      <c r="O28" s="113" t="s">
        <v>158</v>
      </c>
    </row>
    <row r="29" spans="1:15" s="86" customFormat="1">
      <c r="A29" s="81" t="s">
        <v>4</v>
      </c>
      <c r="B29" s="129" t="s">
        <v>131</v>
      </c>
      <c r="C29" s="171">
        <v>1</v>
      </c>
      <c r="D29" s="903" t="s">
        <v>130</v>
      </c>
      <c r="E29" s="84"/>
      <c r="F29" s="85" t="b">
        <v>0</v>
      </c>
      <c r="G29" s="85" t="b">
        <v>0</v>
      </c>
      <c r="H29" s="85" t="b">
        <v>0</v>
      </c>
      <c r="I29" s="85" t="b">
        <v>1</v>
      </c>
      <c r="J29" s="85" t="b">
        <v>0</v>
      </c>
      <c r="K29" s="85" t="b">
        <v>0</v>
      </c>
      <c r="L29" s="85" t="b">
        <v>0</v>
      </c>
      <c r="M29" s="85" t="b">
        <v>0</v>
      </c>
      <c r="N29" s="85" t="b">
        <v>0</v>
      </c>
      <c r="O29" s="113" t="s">
        <v>158</v>
      </c>
    </row>
    <row r="30" spans="1:15" s="86" customFormat="1">
      <c r="A30" s="81" t="s">
        <v>4</v>
      </c>
      <c r="B30" s="129" t="s">
        <v>134</v>
      </c>
      <c r="C30" s="171">
        <v>1</v>
      </c>
      <c r="D30" s="140" t="s">
        <v>290</v>
      </c>
      <c r="E30" s="84" t="s">
        <v>41</v>
      </c>
      <c r="F30" s="85" t="b">
        <v>1</v>
      </c>
      <c r="G30" s="85" t="b">
        <v>0</v>
      </c>
      <c r="H30" s="85" t="b">
        <v>0</v>
      </c>
      <c r="I30" s="85" t="b">
        <v>0</v>
      </c>
      <c r="J30" s="85" t="b">
        <v>0</v>
      </c>
      <c r="K30" s="85" t="b">
        <v>0</v>
      </c>
      <c r="L30" s="85" t="b">
        <v>0</v>
      </c>
      <c r="M30" s="85" t="b">
        <v>0</v>
      </c>
      <c r="N30" s="85" t="b">
        <v>0</v>
      </c>
      <c r="O30" s="113" t="s">
        <v>158</v>
      </c>
    </row>
    <row r="31" spans="1:15" s="86" customFormat="1">
      <c r="A31" s="81" t="s">
        <v>4</v>
      </c>
      <c r="B31" s="129" t="s">
        <v>134</v>
      </c>
      <c r="C31" s="171">
        <v>1</v>
      </c>
      <c r="D31" s="141" t="s">
        <v>291</v>
      </c>
      <c r="E31" s="84" t="s">
        <v>41</v>
      </c>
      <c r="F31" s="85" t="b">
        <v>1</v>
      </c>
      <c r="G31" s="85" t="b">
        <v>0</v>
      </c>
      <c r="H31" s="85" t="b">
        <v>0</v>
      </c>
      <c r="I31" s="85" t="b">
        <v>0</v>
      </c>
      <c r="J31" s="85" t="b">
        <v>0</v>
      </c>
      <c r="K31" s="85" t="b">
        <v>0</v>
      </c>
      <c r="L31" s="85" t="b">
        <v>0</v>
      </c>
      <c r="M31" s="85" t="b">
        <v>0</v>
      </c>
      <c r="N31" s="85" t="b">
        <v>0</v>
      </c>
      <c r="O31" s="113" t="s">
        <v>158</v>
      </c>
    </row>
    <row r="32" spans="1:15" s="86" customFormat="1">
      <c r="A32" s="81" t="s">
        <v>4</v>
      </c>
      <c r="B32" s="129" t="s">
        <v>141</v>
      </c>
      <c r="C32" s="171">
        <v>1</v>
      </c>
      <c r="D32" s="140" t="s">
        <v>292</v>
      </c>
      <c r="E32" s="84" t="s">
        <v>41</v>
      </c>
      <c r="F32" s="85" t="b">
        <v>1</v>
      </c>
      <c r="G32" s="85" t="b">
        <v>0</v>
      </c>
      <c r="H32" s="85" t="b">
        <v>0</v>
      </c>
      <c r="I32" s="85" t="b">
        <v>0</v>
      </c>
      <c r="J32" s="85" t="b">
        <v>0</v>
      </c>
      <c r="K32" s="85" t="b">
        <v>0</v>
      </c>
      <c r="L32" s="85" t="b">
        <v>0</v>
      </c>
      <c r="M32" s="85" t="b">
        <v>0</v>
      </c>
      <c r="N32" s="85" t="b">
        <v>0</v>
      </c>
      <c r="O32" s="113" t="s">
        <v>158</v>
      </c>
    </row>
    <row r="33" spans="1:16" s="86" customFormat="1">
      <c r="B33" s="105">
        <f>COUNTIF(Table224[สถานที่],"*")</f>
        <v>31</v>
      </c>
      <c r="C33" s="105"/>
      <c r="D33" s="105">
        <f>COUNTIF(Table224[ชื่อห้อง],"*")</f>
        <v>31</v>
      </c>
      <c r="E33" s="87" t="s">
        <v>293</v>
      </c>
      <c r="F33" s="88">
        <f>(COUNTIF(F2:F32, TRUE))</f>
        <v>14</v>
      </c>
      <c r="G33" s="88">
        <f>COUNTIF(G2:G32, TRUE)</f>
        <v>0</v>
      </c>
      <c r="H33" s="88">
        <f>COUNTIF(H2:H32, TRUE)</f>
        <v>0</v>
      </c>
      <c r="I33" s="88">
        <f>(COUNTIF(I2:I32, TRUE))</f>
        <v>23</v>
      </c>
      <c r="J33" s="88">
        <f>(COUNTIF(J2:J32,TRUE))</f>
        <v>4</v>
      </c>
      <c r="K33" s="88">
        <f>COUNTIF(K2:K32, TRUE)</f>
        <v>0</v>
      </c>
      <c r="L33" s="88">
        <f>COUNTIF(L2:L32, TRUE)</f>
        <v>3</v>
      </c>
      <c r="M33" s="88">
        <f>COUNTIF(M2:M32, TRUE)</f>
        <v>0</v>
      </c>
      <c r="N33" s="88">
        <f>COUNTIF(N2:N32, TRUE)</f>
        <v>3</v>
      </c>
      <c r="O33" s="88">
        <f>COUNTIF(Table224[Pregress],"Done")</f>
        <v>31</v>
      </c>
    </row>
    <row r="34" spans="1:16" s="86" customFormat="1">
      <c r="B34" s="105"/>
      <c r="C34" s="105"/>
      <c r="E34" s="89"/>
      <c r="F34" s="90"/>
      <c r="G34" s="90"/>
      <c r="H34" s="90"/>
      <c r="I34" s="90"/>
      <c r="J34" s="90"/>
      <c r="K34" s="90"/>
      <c r="L34" s="90"/>
      <c r="M34" s="90"/>
      <c r="N34" s="90"/>
    </row>
    <row r="35" spans="1:16" ht="23.4">
      <c r="A35" s="91"/>
      <c r="O35" s="86"/>
      <c r="P35" s="86"/>
    </row>
    <row r="36" spans="1:16">
      <c r="O36" s="86"/>
      <c r="P36" s="86"/>
    </row>
    <row r="37" spans="1:16">
      <c r="O37" s="86"/>
      <c r="P37" s="86"/>
    </row>
    <row r="38" spans="1:16">
      <c r="O38" s="86"/>
      <c r="P38" s="86"/>
    </row>
    <row r="39" spans="1:16">
      <c r="O39" s="86"/>
      <c r="P39" s="86"/>
    </row>
    <row r="40" spans="1:16">
      <c r="O40" s="86"/>
      <c r="P40" s="86"/>
    </row>
    <row r="41" spans="1:16">
      <c r="O41" s="86"/>
      <c r="P41" s="86"/>
    </row>
    <row r="42" spans="1:16">
      <c r="O42" s="86"/>
      <c r="P42" s="86"/>
    </row>
    <row r="43" spans="1:16">
      <c r="O43" s="86"/>
      <c r="P43" s="86"/>
    </row>
    <row r="44" spans="1:16">
      <c r="O44" s="86"/>
      <c r="P44" s="86"/>
    </row>
    <row r="45" spans="1:16">
      <c r="O45" s="86"/>
      <c r="P45" s="86"/>
    </row>
    <row r="46" spans="1:16">
      <c r="O46" s="86"/>
      <c r="P46" s="86"/>
    </row>
    <row r="47" spans="1:16">
      <c r="O47" s="86"/>
      <c r="P47" s="86"/>
    </row>
    <row r="48" spans="1:16">
      <c r="O48" s="86"/>
      <c r="P48" s="86"/>
    </row>
    <row r="49" spans="15:16">
      <c r="O49" s="86"/>
      <c r="P49" s="86"/>
    </row>
    <row r="50" spans="15:16">
      <c r="O50" s="86"/>
      <c r="P50" s="86"/>
    </row>
    <row r="51" spans="15:16">
      <c r="O51" s="86"/>
      <c r="P51" s="86"/>
    </row>
    <row r="52" spans="15:16">
      <c r="O52" s="86"/>
      <c r="P52" s="86"/>
    </row>
    <row r="53" spans="15:16">
      <c r="O53" s="86"/>
      <c r="P53" s="86"/>
    </row>
    <row r="54" spans="15:16">
      <c r="O54" s="86"/>
      <c r="P54" s="86"/>
    </row>
    <row r="55" spans="15:16">
      <c r="O55" s="86"/>
      <c r="P55" s="86"/>
    </row>
    <row r="56" spans="15:16">
      <c r="O56" s="86"/>
      <c r="P56" s="86"/>
    </row>
    <row r="57" spans="15:16">
      <c r="O57" s="86"/>
      <c r="P57" s="86"/>
    </row>
    <row r="58" spans="15:16">
      <c r="O58" s="86"/>
      <c r="P58" s="86"/>
    </row>
    <row r="59" spans="15:16">
      <c r="O59" s="86"/>
      <c r="P59" s="86"/>
    </row>
    <row r="60" spans="15:16">
      <c r="O60" s="86"/>
      <c r="P60" s="86"/>
    </row>
    <row r="61" spans="15:16">
      <c r="O61" s="86"/>
      <c r="P61" s="86"/>
    </row>
    <row r="62" spans="15:16">
      <c r="O62" s="86"/>
      <c r="P62" s="86"/>
    </row>
    <row r="63" spans="15:16">
      <c r="O63" s="86"/>
      <c r="P63" s="86"/>
    </row>
    <row r="64" spans="15:16">
      <c r="O64" s="86"/>
      <c r="P64" s="86"/>
    </row>
    <row r="65" spans="15:16">
      <c r="O65" s="86"/>
      <c r="P65" s="86"/>
    </row>
    <row r="66" spans="15:16">
      <c r="O66" s="86"/>
      <c r="P66" s="86"/>
    </row>
    <row r="67" spans="15:16">
      <c r="O67" s="86"/>
      <c r="P67" s="86"/>
    </row>
    <row r="68" spans="15:16">
      <c r="O68" s="86"/>
      <c r="P68" s="86"/>
    </row>
    <row r="69" spans="15:16">
      <c r="O69" s="86"/>
      <c r="P69" s="86"/>
    </row>
    <row r="70" spans="15:16">
      <c r="O70" s="86"/>
      <c r="P70" s="86"/>
    </row>
    <row r="71" spans="15:16">
      <c r="O71" s="86"/>
      <c r="P71" s="86"/>
    </row>
    <row r="72" spans="15:16">
      <c r="O72" s="86"/>
      <c r="P72" s="86"/>
    </row>
    <row r="73" spans="15:16">
      <c r="O73" s="86"/>
      <c r="P73" s="86"/>
    </row>
    <row r="74" spans="15:16">
      <c r="O74" s="86"/>
      <c r="P74" s="86"/>
    </row>
    <row r="75" spans="15:16">
      <c r="O75" s="86"/>
      <c r="P75" s="86"/>
    </row>
    <row r="76" spans="15:16">
      <c r="O76" s="86"/>
      <c r="P76" s="86"/>
    </row>
    <row r="77" spans="15:16">
      <c r="O77" s="86"/>
      <c r="P77" s="86"/>
    </row>
    <row r="78" spans="15:16">
      <c r="O78" s="86"/>
      <c r="P78" s="86"/>
    </row>
    <row r="79" spans="15:16">
      <c r="O79" s="86"/>
      <c r="P79" s="86"/>
    </row>
    <row r="80" spans="15:16">
      <c r="O80" s="86"/>
      <c r="P80" s="86"/>
    </row>
    <row r="81" spans="15:16">
      <c r="O81" s="86"/>
      <c r="P81" s="86"/>
    </row>
    <row r="82" spans="15:16">
      <c r="O82" s="86"/>
      <c r="P82" s="86"/>
    </row>
    <row r="83" spans="15:16">
      <c r="O83" s="86"/>
      <c r="P83" s="86"/>
    </row>
    <row r="84" spans="15:16">
      <c r="O84" s="86"/>
      <c r="P84" s="86"/>
    </row>
    <row r="85" spans="15:16">
      <c r="O85" s="86"/>
      <c r="P85" s="86"/>
    </row>
    <row r="86" spans="15:16">
      <c r="O86" s="86"/>
      <c r="P86" s="86"/>
    </row>
    <row r="87" spans="15:16">
      <c r="O87" s="86"/>
      <c r="P87" s="86"/>
    </row>
    <row r="88" spans="15:16">
      <c r="O88" s="86"/>
      <c r="P88" s="86"/>
    </row>
    <row r="89" spans="15:16">
      <c r="O89" s="86"/>
      <c r="P89" s="86"/>
    </row>
    <row r="90" spans="15:16">
      <c r="O90" s="86"/>
      <c r="P90" s="86"/>
    </row>
    <row r="91" spans="15:16">
      <c r="O91" s="86"/>
      <c r="P91" s="86"/>
    </row>
    <row r="92" spans="15:16">
      <c r="O92" s="86"/>
      <c r="P92" s="86"/>
    </row>
    <row r="93" spans="15:16">
      <c r="O93" s="86"/>
      <c r="P93" s="86"/>
    </row>
    <row r="94" spans="15:16">
      <c r="O94" s="86"/>
      <c r="P94" s="86"/>
    </row>
    <row r="95" spans="15:16">
      <c r="O95" s="86"/>
      <c r="P95" s="86"/>
    </row>
    <row r="96" spans="15:16">
      <c r="O96" s="86"/>
      <c r="P96" s="86"/>
    </row>
    <row r="97" spans="15:16">
      <c r="O97" s="86"/>
      <c r="P97" s="86"/>
    </row>
    <row r="98" spans="15:16">
      <c r="O98" s="86"/>
      <c r="P98" s="86"/>
    </row>
    <row r="99" spans="15:16">
      <c r="O99" s="86"/>
      <c r="P99" s="86"/>
    </row>
    <row r="100" spans="15:16">
      <c r="O100" s="86"/>
      <c r="P100" s="86"/>
    </row>
    <row r="101" spans="15:16">
      <c r="O101" s="86"/>
      <c r="P101" s="86"/>
    </row>
    <row r="102" spans="15:16">
      <c r="O102" s="86"/>
      <c r="P102" s="86"/>
    </row>
    <row r="103" spans="15:16">
      <c r="O103" s="86"/>
      <c r="P103" s="86"/>
    </row>
    <row r="104" spans="15:16">
      <c r="O104" s="86"/>
      <c r="P104" s="86"/>
    </row>
    <row r="105" spans="15:16">
      <c r="O105" s="86"/>
      <c r="P105" s="86"/>
    </row>
    <row r="106" spans="15:16">
      <c r="O106" s="86"/>
      <c r="P106" s="86"/>
    </row>
    <row r="107" spans="15:16">
      <c r="O107" s="86"/>
      <c r="P107" s="86"/>
    </row>
    <row r="108" spans="15:16">
      <c r="O108" s="86"/>
      <c r="P108" s="86"/>
    </row>
    <row r="109" spans="15:16">
      <c r="O109" s="86"/>
      <c r="P109" s="86"/>
    </row>
    <row r="110" spans="15:16">
      <c r="O110" s="86"/>
      <c r="P110" s="86"/>
    </row>
    <row r="111" spans="15:16">
      <c r="O111" s="86"/>
      <c r="P111" s="86"/>
    </row>
    <row r="112" spans="15:16">
      <c r="O112" s="86"/>
      <c r="P112" s="86"/>
    </row>
    <row r="113" spans="15:16">
      <c r="O113" s="86"/>
      <c r="P113" s="86"/>
    </row>
    <row r="114" spans="15:16">
      <c r="O114" s="86"/>
      <c r="P114" s="86"/>
    </row>
    <row r="115" spans="15:16">
      <c r="O115" s="86"/>
      <c r="P115" s="86"/>
    </row>
    <row r="116" spans="15:16">
      <c r="O116" s="86"/>
      <c r="P116" s="86"/>
    </row>
    <row r="117" spans="15:16">
      <c r="O117" s="86"/>
      <c r="P117" s="86"/>
    </row>
    <row r="118" spans="15:16">
      <c r="O118" s="86"/>
      <c r="P118" s="86"/>
    </row>
    <row r="119" spans="15:16">
      <c r="O119" s="86"/>
      <c r="P119" s="86"/>
    </row>
    <row r="120" spans="15:16">
      <c r="O120" s="86"/>
      <c r="P120" s="86"/>
    </row>
    <row r="121" spans="15:16">
      <c r="O121" s="86"/>
      <c r="P121" s="86"/>
    </row>
    <row r="122" spans="15:16">
      <c r="O122" s="86"/>
      <c r="P122" s="86"/>
    </row>
    <row r="123" spans="15:16">
      <c r="O123" s="86"/>
      <c r="P123" s="86"/>
    </row>
    <row r="124" spans="15:16">
      <c r="O124" s="86"/>
      <c r="P124" s="86"/>
    </row>
    <row r="125" spans="15:16">
      <c r="O125" s="86"/>
      <c r="P125" s="86"/>
    </row>
    <row r="126" spans="15:16">
      <c r="O126" s="86"/>
      <c r="P126" s="86"/>
    </row>
    <row r="127" spans="15:16">
      <c r="O127" s="86"/>
      <c r="P127" s="86"/>
    </row>
    <row r="128" spans="15:16">
      <c r="O128" s="86"/>
      <c r="P128" s="86"/>
    </row>
    <row r="129" spans="15:16">
      <c r="O129" s="86"/>
      <c r="P129" s="86"/>
    </row>
    <row r="130" spans="15:16">
      <c r="O130" s="86"/>
      <c r="P130" s="86"/>
    </row>
    <row r="131" spans="15:16">
      <c r="O131" s="86"/>
      <c r="P131" s="86"/>
    </row>
    <row r="132" spans="15:16">
      <c r="O132" s="86"/>
      <c r="P132" s="86"/>
    </row>
    <row r="133" spans="15:16">
      <c r="O133" s="86"/>
      <c r="P133" s="86"/>
    </row>
    <row r="134" spans="15:16">
      <c r="O134" s="86"/>
      <c r="P134" s="86"/>
    </row>
    <row r="135" spans="15:16">
      <c r="O135" s="86"/>
      <c r="P135" s="86"/>
    </row>
    <row r="136" spans="15:16">
      <c r="O136" s="86"/>
      <c r="P136" s="86"/>
    </row>
    <row r="137" spans="15:16">
      <c r="O137" s="86"/>
      <c r="P137" s="86"/>
    </row>
    <row r="138" spans="15:16">
      <c r="O138" s="86"/>
      <c r="P138" s="86"/>
    </row>
    <row r="139" spans="15:16">
      <c r="O139" s="86"/>
      <c r="P139" s="86"/>
    </row>
    <row r="140" spans="15:16">
      <c r="O140" s="86"/>
    </row>
    <row r="141" spans="15:16">
      <c r="O141" s="86"/>
    </row>
    <row r="142" spans="15:16">
      <c r="O142" s="86"/>
    </row>
    <row r="143" spans="15:16">
      <c r="O143" s="86"/>
    </row>
    <row r="144" spans="15:16">
      <c r="O144" s="86"/>
    </row>
    <row r="145" spans="15:15">
      <c r="O145" s="86"/>
    </row>
  </sheetData>
  <conditionalFormatting sqref="O2:O32">
    <cfRule type="cellIs" dxfId="39" priority="1" operator="equal">
      <formula>"Done"</formula>
    </cfRule>
    <cfRule type="cellIs" dxfId="38" priority="2" operator="equal">
      <formula>"In Progress"</formula>
    </cfRule>
  </conditionalFormatting>
  <dataValidations count="1">
    <dataValidation type="list" allowBlank="1" showInputMessage="1" showErrorMessage="1" sqref="O140:O143 O2:O32" xr:uid="{01901182-9525-41D8-8578-2718CB18626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45" fitToHeight="0" orientation="landscape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AAAB-5200-4DAE-9A43-DD37541B6D73}">
  <dimension ref="A1:R42"/>
  <sheetViews>
    <sheetView zoomScale="60" zoomScaleNormal="6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46" sqref="I46"/>
    </sheetView>
  </sheetViews>
  <sheetFormatPr defaultColWidth="8.6640625" defaultRowHeight="14.4"/>
  <cols>
    <col min="1" max="1" width="30" style="416" customWidth="1"/>
    <col min="2" max="10" width="20" style="416" customWidth="1"/>
    <col min="11" max="11" width="16.6640625" customWidth="1"/>
    <col min="12" max="15" width="16.6640625" style="416" customWidth="1"/>
    <col min="16" max="16" width="15.6640625" customWidth="1"/>
    <col min="17" max="17" width="8.6640625" style="416"/>
    <col min="18" max="18" width="16" style="416" customWidth="1"/>
    <col min="19" max="16384" width="8.6640625" style="416"/>
  </cols>
  <sheetData>
    <row r="1" spans="1:16" ht="30" customHeight="1">
      <c r="A1" s="1130" t="s">
        <v>294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  <c r="P1" s="1131"/>
    </row>
    <row r="2" spans="1:16" ht="18" customHeight="1">
      <c r="A2" s="1132" t="s">
        <v>295</v>
      </c>
      <c r="B2" s="1133"/>
      <c r="C2" s="1133"/>
      <c r="D2" s="1133"/>
      <c r="E2" s="1133"/>
      <c r="F2" s="1133"/>
      <c r="G2" s="1133"/>
      <c r="H2" s="1133"/>
      <c r="I2" s="1133"/>
      <c r="J2" s="1133"/>
      <c r="K2" s="1133"/>
      <c r="L2" s="1133"/>
      <c r="M2" s="1133"/>
      <c r="N2" s="1133"/>
      <c r="O2" s="1133"/>
      <c r="P2" s="1133"/>
    </row>
    <row r="3" spans="1:16" ht="4.5" customHeight="1">
      <c r="A3" s="497"/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</row>
    <row r="4" spans="1:16" ht="42" customHeight="1">
      <c r="A4" s="1129" t="s">
        <v>296</v>
      </c>
      <c r="B4" s="498" t="s">
        <v>297</v>
      </c>
      <c r="C4" s="498" t="s">
        <v>298</v>
      </c>
      <c r="D4" s="498" t="s">
        <v>299</v>
      </c>
      <c r="E4" s="498" t="s">
        <v>300</v>
      </c>
      <c r="F4" s="498" t="s">
        <v>301</v>
      </c>
      <c r="G4" s="498" t="s">
        <v>302</v>
      </c>
      <c r="H4" s="498" t="s">
        <v>303</v>
      </c>
      <c r="I4" s="498" t="s">
        <v>304</v>
      </c>
      <c r="J4" s="498" t="s">
        <v>305</v>
      </c>
      <c r="K4" s="498" t="s">
        <v>306</v>
      </c>
      <c r="L4" s="498" t="s">
        <v>307</v>
      </c>
      <c r="M4" s="498" t="s">
        <v>308</v>
      </c>
      <c r="N4" s="498" t="s">
        <v>309</v>
      </c>
      <c r="O4" s="498" t="s">
        <v>310</v>
      </c>
      <c r="P4" s="1129" t="s">
        <v>311</v>
      </c>
    </row>
    <row r="5" spans="1:16" ht="4.5" customHeight="1">
      <c r="A5" s="1129"/>
      <c r="B5" s="497"/>
      <c r="C5" s="497"/>
      <c r="D5" s="497"/>
      <c r="E5" s="497"/>
      <c r="F5" s="497"/>
      <c r="G5" s="497"/>
      <c r="H5" s="497"/>
      <c r="I5" s="497"/>
      <c r="J5" s="497"/>
      <c r="P5" s="1129"/>
    </row>
    <row r="6" spans="1:16" ht="21.75" customHeight="1">
      <c r="A6" s="1134" t="s">
        <v>312</v>
      </c>
      <c r="B6" s="1135"/>
      <c r="C6" s="1135"/>
      <c r="D6" s="1135"/>
      <c r="E6" s="1135"/>
      <c r="F6" s="1135"/>
      <c r="G6" s="1135"/>
      <c r="H6" s="1135"/>
      <c r="I6" s="1135"/>
      <c r="J6" s="1135"/>
      <c r="K6" s="1135"/>
      <c r="L6" s="1135"/>
      <c r="M6" s="1135"/>
      <c r="N6" s="1135"/>
      <c r="O6" s="1135"/>
      <c r="P6" s="1135"/>
    </row>
    <row r="7" spans="1:16" ht="19.5" customHeight="1">
      <c r="A7" s="418" t="s">
        <v>313</v>
      </c>
      <c r="B7" s="499" cm="1">
        <f t="array" ref="B7">SUMPRODUCT((HQ!$T$3:$T$89&gt;=B40)*(HQ!$T$3:$T$89&lt;=B41)*(ISNUMBER(HQ!$G$3:$G$89))*(HQ!$G$3:$G$89))</f>
        <v>34</v>
      </c>
      <c r="C7" s="499" cm="1">
        <f t="array" ref="C7">SUMPRODUCT((HQ!$T$3:$T$89&gt;=C40)*(HQ!$T$3:$T$89&lt;=C41)*(ISNUMBER(HQ!$G$3:$G$89))*(HQ!$G$3:$G$89))</f>
        <v>10</v>
      </c>
      <c r="D7" s="499" cm="1">
        <f t="array" ref="D7">SUMPRODUCT((HQ!$T$3:$T$89&gt;=D40)*(HQ!$T$3:$T$89&lt;=D41)*(ISNUMBER(HQ!$G$3:$G$89))*(HQ!$G$3:$G$89))</f>
        <v>9</v>
      </c>
      <c r="E7" s="499" cm="1">
        <f t="array" ref="E7">SUMPRODUCT((HQ!$T$3:$T$89&gt;=E40)*(HQ!$T$3:$T$89&lt;=E41)*(ISNUMBER(HQ!$G$3:$G$89))*(HQ!$G$3:$G$89))</f>
        <v>52</v>
      </c>
      <c r="F7" s="499" cm="1">
        <f t="array" ref="F7">SUMPRODUCT((HQ!$T$3:$T$89&gt;=F40)*(HQ!$T$3:$T$89&lt;=F41)*(ISNUMBER(HQ!$G$3:$G$89))*(HQ!$G$3:$G$89))</f>
        <v>14</v>
      </c>
      <c r="G7" s="499" cm="1">
        <f t="array" ref="G7">SUMPRODUCT((HQ!$T$3:$T$89&gt;=G40)*(HQ!$T$3:$T$89&lt;=G41)*(ISNUMBER(HQ!$G$3:$G$89))*(HQ!$G$3:$G$89))</f>
        <v>18</v>
      </c>
      <c r="H7" s="499" cm="1">
        <f t="array" ref="H7">SUMPRODUCT((HQ!$T$3:$T$89&gt;=H40)*(HQ!$T$3:$T$89&lt;=H41)*(ISNUMBER(HQ!$G$3:$G$89))*(HQ!$G$3:$G$89))</f>
        <v>11</v>
      </c>
      <c r="I7" s="499" cm="1">
        <f t="array" ref="I7">SUMPRODUCT((HQ!$T$3:$T$89&gt;=I40)*(HQ!$T$3:$T$89&lt;=I41)*(ISNUMBER(HQ!$G$3:$G$89))*(HQ!$G$3:$G$89))</f>
        <v>15</v>
      </c>
      <c r="J7" s="499" cm="1">
        <f t="array" ref="J7">SUMPRODUCT((HQ!$T$3:$T$89&gt;=J40)*(HQ!$T$3:$T$89&lt;=J41)*(ISNUMBER(HQ!$G$3:$G$89))*(HQ!$G$3:$G$89))</f>
        <v>14</v>
      </c>
      <c r="K7" s="499" cm="1">
        <f t="array" ref="K7">SUMPRODUCT((HQ!$T$3:$T$89&gt;=K40)*(HQ!$T$3:$T$89&lt;=K41)*(ISNUMBER(HQ!$G$3:$G$89))*(HQ!$G$3:$G$89))</f>
        <v>16</v>
      </c>
      <c r="L7" s="499" cm="1">
        <f t="array" ref="L7">SUMPRODUCT((HQ!$T$3:$T$89&gt;=L40)*(HQ!$T$3:$T$89&lt;=L41)*(ISNUMBER(HQ!$G$3:$G$89))*(HQ!$G$3:$G$89))</f>
        <v>0</v>
      </c>
      <c r="M7" s="499" cm="1">
        <f t="array" ref="M7">SUMPRODUCT((HQ!$T$3:$T$89&gt;=M40)*(HQ!$T$3:$T$89&lt;=M41)*(ISNUMBER(HQ!$G$3:$G$89))*(HQ!$G$3:$G$89))</f>
        <v>0</v>
      </c>
      <c r="N7" s="499" cm="1">
        <f t="array" ref="N7">SUMPRODUCT((HQ!$T$3:$T$89&gt;=N40)*(HQ!$T$3:$T$89&lt;=N41)*(ISNUMBER(HQ!$G$3:$G$89))*(HQ!$G$3:$G$89))</f>
        <v>0</v>
      </c>
      <c r="O7" s="499" cm="1">
        <f t="array" ref="O7">SUMPRODUCT((HQ!$T$3:$T$89&gt;=O40)*(HQ!$T$3:$T$89&lt;=O41)*(ISNUMBER(HQ!$G$3:$G$89))*(HQ!$G$3:$G$89))</f>
        <v>0</v>
      </c>
      <c r="P7" s="426" cm="1">
        <f t="array" ref="P7">SUMPRODUCT((ISNUMBER(HQ!$G$3:$G$89))*(HQ!$G$3:$G$89))</f>
        <v>193</v>
      </c>
    </row>
    <row r="8" spans="1:16" ht="19.2" customHeight="1">
      <c r="A8" s="421" t="s">
        <v>314</v>
      </c>
      <c r="B8" s="422">
        <f t="shared" ref="B8:O8" si="0">IF(B7=0,"-",B7/$P$7)</f>
        <v>0.17616580310880828</v>
      </c>
      <c r="C8" s="422">
        <f t="shared" si="0"/>
        <v>5.181347150259067E-2</v>
      </c>
      <c r="D8" s="422">
        <f t="shared" si="0"/>
        <v>4.6632124352331605E-2</v>
      </c>
      <c r="E8" s="422">
        <f t="shared" si="0"/>
        <v>0.26943005181347152</v>
      </c>
      <c r="F8" s="422">
        <f t="shared" si="0"/>
        <v>7.2538860103626937E-2</v>
      </c>
      <c r="G8" s="422">
        <f t="shared" si="0"/>
        <v>9.3264248704663211E-2</v>
      </c>
      <c r="H8" s="422">
        <f t="shared" si="0"/>
        <v>5.6994818652849742E-2</v>
      </c>
      <c r="I8" s="422">
        <f t="shared" si="0"/>
        <v>7.7720207253886009E-2</v>
      </c>
      <c r="J8" s="422">
        <f t="shared" si="0"/>
        <v>7.2538860103626937E-2</v>
      </c>
      <c r="K8" s="422">
        <f t="shared" si="0"/>
        <v>8.2901554404145081E-2</v>
      </c>
      <c r="L8" s="422" t="str">
        <f t="shared" si="0"/>
        <v>-</v>
      </c>
      <c r="M8" s="422" t="str">
        <f t="shared" si="0"/>
        <v>-</v>
      </c>
      <c r="N8" s="422" t="str">
        <f t="shared" si="0"/>
        <v>-</v>
      </c>
      <c r="O8" s="422" t="str">
        <f t="shared" si="0"/>
        <v>-</v>
      </c>
      <c r="P8" s="423">
        <f>P7/P7</f>
        <v>1</v>
      </c>
    </row>
    <row r="9" spans="1:16" ht="4.2" customHeight="1">
      <c r="A9" s="497"/>
      <c r="B9" s="497"/>
      <c r="C9" s="497"/>
      <c r="D9" s="497"/>
      <c r="E9" s="497"/>
      <c r="F9" s="497"/>
      <c r="G9" s="497"/>
      <c r="H9" s="497"/>
      <c r="I9" s="497"/>
      <c r="J9" s="497"/>
      <c r="K9" s="497"/>
      <c r="L9" s="497"/>
      <c r="M9" s="497"/>
      <c r="N9" s="497"/>
      <c r="O9" s="497"/>
      <c r="P9" s="497"/>
    </row>
    <row r="10" spans="1:16" ht="21.75" customHeight="1">
      <c r="A10" s="907" t="s">
        <v>315</v>
      </c>
      <c r="B10" s="907"/>
      <c r="C10" s="907"/>
      <c r="D10" s="907"/>
      <c r="E10" s="907"/>
      <c r="F10" s="907"/>
      <c r="G10" s="907"/>
      <c r="H10" s="907"/>
      <c r="I10" s="907"/>
      <c r="J10" s="907"/>
      <c r="K10" s="907"/>
      <c r="L10" s="907"/>
      <c r="M10" s="907"/>
      <c r="N10" s="907"/>
      <c r="O10" s="907"/>
      <c r="P10" s="907"/>
    </row>
    <row r="11" spans="1:16" ht="19.5" customHeight="1">
      <c r="A11" s="424" t="s">
        <v>316</v>
      </c>
      <c r="B11" s="425">
        <f t="shared" ref="B11:J11" si="1">B7</f>
        <v>34</v>
      </c>
      <c r="C11" s="425">
        <f t="shared" si="1"/>
        <v>10</v>
      </c>
      <c r="D11" s="425">
        <f t="shared" si="1"/>
        <v>9</v>
      </c>
      <c r="E11" s="425">
        <f t="shared" si="1"/>
        <v>52</v>
      </c>
      <c r="F11" s="425">
        <f t="shared" si="1"/>
        <v>14</v>
      </c>
      <c r="G11" s="425">
        <f t="shared" si="1"/>
        <v>18</v>
      </c>
      <c r="H11" s="425">
        <f t="shared" si="1"/>
        <v>11</v>
      </c>
      <c r="I11" s="425">
        <f t="shared" si="1"/>
        <v>15</v>
      </c>
      <c r="J11" s="425">
        <f t="shared" si="1"/>
        <v>14</v>
      </c>
      <c r="K11" s="425">
        <f t="shared" ref="K11:O11" si="2">K7</f>
        <v>16</v>
      </c>
      <c r="L11" s="425">
        <f t="shared" si="2"/>
        <v>0</v>
      </c>
      <c r="M11" s="425">
        <f t="shared" si="2"/>
        <v>0</v>
      </c>
      <c r="N11" s="425">
        <f t="shared" si="2"/>
        <v>0</v>
      </c>
      <c r="O11" s="425">
        <f t="shared" si="2"/>
        <v>0</v>
      </c>
      <c r="P11" s="426">
        <f>P7</f>
        <v>193</v>
      </c>
    </row>
    <row r="12" spans="1:16" ht="19.5" customHeight="1">
      <c r="A12" s="427" t="s">
        <v>317</v>
      </c>
      <c r="B12" s="428" cm="1">
        <f t="array" ref="B12">SUMPRODUCT((HQ!$T$3:$T$89&gt;=B40)*(HQ!$T$3:$T$89&lt;=B41)*(ISNUMBER(HQ!$N$3:$N$89))*(HQ!$N$3:$N$89))</f>
        <v>30</v>
      </c>
      <c r="C12" s="428" cm="1">
        <f t="array" ref="C12">SUMPRODUCT((HQ!$T$3:$T$89&gt;=C40)*(HQ!$T$3:$T$89&lt;=C41)*(ISNUMBER(HQ!$N$3:$N$89))*(HQ!$N$3:$N$89))</f>
        <v>10</v>
      </c>
      <c r="D12" s="428" cm="1">
        <f t="array" ref="D12">SUMPRODUCT((HQ!$T$3:$T$89&gt;=D40)*(HQ!$T$3:$T$89&lt;=D41)*(ISNUMBER(HQ!$N$3:$N$89))*(HQ!$N$3:$N$89))</f>
        <v>9</v>
      </c>
      <c r="E12" s="428" cm="1">
        <f t="array" ref="E12">SUMPRODUCT((HQ!$T$3:$T$89&gt;=E40)*(HQ!$T$3:$T$89&lt;=E41)*(ISNUMBER(HQ!$N$3:$N$89))*(HQ!$N$3:$N$89))</f>
        <v>52</v>
      </c>
      <c r="F12" s="428" cm="1">
        <f t="array" ref="F12">SUMPRODUCT((HQ!$T$3:$T$89&gt;=F40)*(HQ!$T$3:$T$89&lt;=F41)*(ISNUMBER(HQ!$N$3:$N$89))*(HQ!$N$3:$N$89))</f>
        <v>14</v>
      </c>
      <c r="G12" s="428" cm="1">
        <f t="array" ref="G12">SUMPRODUCT((HQ!$T$3:$T$89&gt;=G40)*(HQ!$T$3:$T$89&lt;=G41)*(ISNUMBER(HQ!$N$3:$N$89))*(HQ!$N$3:$N$89))</f>
        <v>18</v>
      </c>
      <c r="H12" s="428" cm="1">
        <f t="array" ref="H12">SUMPRODUCT((HQ!$T$3:$T$89&gt;=H40)*(HQ!$T$3:$T$89&lt;=H41)*(ISNUMBER(HQ!$N$3:$N$89))*(HQ!$N$3:$N$89))</f>
        <v>11</v>
      </c>
      <c r="I12" s="428" cm="1">
        <f t="array" ref="I12">SUMPRODUCT((HQ!$T$3:$T$89&gt;=I40)*(HQ!$T$3:$T$89&lt;=I41)*(ISNUMBER(HQ!$N$3:$N$89))*(HQ!$N$3:$N$89))</f>
        <v>15</v>
      </c>
      <c r="J12" s="428" cm="1">
        <f t="array" ref="J12">SUMPRODUCT((HQ!$T$3:$T$89&gt;=J40)*(HQ!$T$3:$T$89&lt;=J41)*(ISNUMBER(HQ!$N$3:$N$89))*(HQ!$N$3:$N$89))</f>
        <v>14</v>
      </c>
      <c r="K12" s="428" cm="1">
        <f t="array" ref="K12">SUMPRODUCT((HQ!$T$3:$T$89&gt;=K40)*(HQ!$T$3:$T$89&lt;=K41)*(ISNUMBER(HQ!$N$3:$N$89))*(HQ!$N$3:$N$89))</f>
        <v>15</v>
      </c>
      <c r="L12" s="428" cm="1">
        <f t="array" ref="L12">SUMPRODUCT((HQ!$T$3:$T$89&gt;=L40)*(HQ!$T$3:$T$89&lt;=L41)*(ISNUMBER(HQ!$N$3:$N$89))*(HQ!$N$3:$N$89))</f>
        <v>0</v>
      </c>
      <c r="M12" s="428" cm="1">
        <f t="array" ref="M12">SUMPRODUCT((HQ!$T$3:$T$89&gt;=M40)*(HQ!$T$3:$T$89&lt;=M41)*(ISNUMBER(HQ!$N$3:$N$89))*(HQ!$N$3:$N$89))</f>
        <v>0</v>
      </c>
      <c r="N12" s="428" cm="1">
        <f t="array" ref="N12">SUMPRODUCT((HQ!$T$3:$T$89&gt;=N40)*(HQ!$T$3:$T$89&lt;=N41)*(ISNUMBER(HQ!$N$3:$N$89))*(HQ!$N$3:$N$89))</f>
        <v>0</v>
      </c>
      <c r="O12" s="428" cm="1">
        <f t="array" ref="O12">SUMPRODUCT((HQ!$T$3:$T$89&gt;=O40)*(HQ!$T$3:$T$89&lt;=O41)*(ISNUMBER(HQ!$N$3:$N$89))*(HQ!$N$3:$N$89))</f>
        <v>0</v>
      </c>
      <c r="P12" s="426">
        <f>SUM(B12:O12)</f>
        <v>188</v>
      </c>
    </row>
    <row r="13" spans="1:16" ht="19.5" customHeight="1">
      <c r="A13" s="429" t="s">
        <v>318</v>
      </c>
      <c r="B13" s="430">
        <f>IF(B11=0,IF(B12=0,"-","100%"),B12/B11)</f>
        <v>0.88235294117647056</v>
      </c>
      <c r="C13" s="430">
        <f>IF(C11=0,IF(C12=0,"-","100%"),C12/C11)</f>
        <v>1</v>
      </c>
      <c r="D13" s="430">
        <f t="shared" ref="D13:J13" si="3">IF(D11=0,IF(D12=0,"-","100%"),D12/D11)</f>
        <v>1</v>
      </c>
      <c r="E13" s="430">
        <f t="shared" si="3"/>
        <v>1</v>
      </c>
      <c r="F13" s="430">
        <f t="shared" si="3"/>
        <v>1</v>
      </c>
      <c r="G13" s="430">
        <f t="shared" si="3"/>
        <v>1</v>
      </c>
      <c r="H13" s="430">
        <f t="shared" si="3"/>
        <v>1</v>
      </c>
      <c r="I13" s="430">
        <f t="shared" si="3"/>
        <v>1</v>
      </c>
      <c r="J13" s="430">
        <f t="shared" si="3"/>
        <v>1</v>
      </c>
      <c r="K13" s="430">
        <f t="shared" ref="K13:O13" si="4">IF(K11=0,IF(K12=0,"-","100%"),K12/K11)</f>
        <v>0.9375</v>
      </c>
      <c r="L13" s="430" t="str">
        <f t="shared" si="4"/>
        <v>-</v>
      </c>
      <c r="M13" s="430" t="str">
        <f t="shared" si="4"/>
        <v>-</v>
      </c>
      <c r="N13" s="430" t="str">
        <f t="shared" si="4"/>
        <v>-</v>
      </c>
      <c r="O13" s="430" t="str">
        <f t="shared" si="4"/>
        <v>-</v>
      </c>
      <c r="P13" s="423">
        <f>IF(P11=0,"-",P12/P11)</f>
        <v>0.97409326424870468</v>
      </c>
    </row>
    <row r="14" spans="1:16" ht="4.5" customHeight="1">
      <c r="A14" s="497"/>
      <c r="B14" s="497"/>
      <c r="C14" s="497"/>
      <c r="D14" s="497"/>
      <c r="E14" s="497"/>
      <c r="F14" s="497"/>
      <c r="G14" s="497"/>
      <c r="H14" s="497"/>
      <c r="I14" s="497"/>
      <c r="J14" s="497"/>
      <c r="K14" s="497"/>
      <c r="L14" s="497"/>
      <c r="M14" s="497"/>
      <c r="N14" s="497"/>
      <c r="O14" s="497"/>
      <c r="P14" s="497"/>
    </row>
    <row r="15" spans="1:16" ht="21.75" customHeight="1">
      <c r="A15" s="908" t="s">
        <v>319</v>
      </c>
      <c r="B15" s="908"/>
      <c r="C15" s="908"/>
      <c r="D15" s="908"/>
      <c r="E15" s="908"/>
      <c r="F15" s="908"/>
      <c r="G15" s="908"/>
      <c r="H15" s="908"/>
      <c r="I15" s="908"/>
      <c r="J15" s="908"/>
      <c r="K15" s="908"/>
      <c r="L15" s="908"/>
      <c r="M15" s="908"/>
      <c r="N15" s="908"/>
      <c r="O15" s="908"/>
      <c r="P15" s="908"/>
    </row>
    <row r="16" spans="1:16" ht="19.5" customHeight="1">
      <c r="A16" s="424" t="s">
        <v>316</v>
      </c>
      <c r="B16" s="425">
        <f t="shared" ref="B16:J16" si="5">B7</f>
        <v>34</v>
      </c>
      <c r="C16" s="425">
        <f t="shared" si="5"/>
        <v>10</v>
      </c>
      <c r="D16" s="425">
        <f t="shared" si="5"/>
        <v>9</v>
      </c>
      <c r="E16" s="425">
        <f t="shared" si="5"/>
        <v>52</v>
      </c>
      <c r="F16" s="425">
        <f t="shared" si="5"/>
        <v>14</v>
      </c>
      <c r="G16" s="425">
        <f t="shared" si="5"/>
        <v>18</v>
      </c>
      <c r="H16" s="425">
        <f t="shared" si="5"/>
        <v>11</v>
      </c>
      <c r="I16" s="425">
        <f t="shared" si="5"/>
        <v>15</v>
      </c>
      <c r="J16" s="425">
        <f t="shared" si="5"/>
        <v>14</v>
      </c>
      <c r="K16" s="425">
        <f t="shared" ref="K16:O16" si="6">K7</f>
        <v>16</v>
      </c>
      <c r="L16" s="425">
        <f t="shared" si="6"/>
        <v>0</v>
      </c>
      <c r="M16" s="425">
        <f t="shared" si="6"/>
        <v>0</v>
      </c>
      <c r="N16" s="425">
        <f t="shared" si="6"/>
        <v>0</v>
      </c>
      <c r="O16" s="425">
        <f t="shared" si="6"/>
        <v>0</v>
      </c>
      <c r="P16" s="426">
        <f>P7</f>
        <v>193</v>
      </c>
    </row>
    <row r="17" spans="1:16" ht="19.5" customHeight="1">
      <c r="A17" s="427" t="s">
        <v>317</v>
      </c>
      <c r="B17" s="428" cm="1">
        <f t="array" ref="B17">SUMPRODUCT((HQ!$T$3:$T$89&gt;=B40)*(HQ!$T$3:$T$89&lt;=B41)*(ISNUMBER(HQ!$O$3:$O$89))*(HQ!$O$3:$O$89))</f>
        <v>30</v>
      </c>
      <c r="C17" s="428" cm="1">
        <f t="array" ref="C17">SUMPRODUCT((HQ!$T$3:$T$89&gt;=C40)*(HQ!$T$3:$T$89&lt;=C41)*(ISNUMBER(HQ!$O$3:$O$89))*(HQ!$O$3:$O$89))</f>
        <v>10</v>
      </c>
      <c r="D17" s="428" cm="1">
        <f t="array" ref="D17">SUMPRODUCT((HQ!$T$3:$T$89&gt;=D40)*(HQ!$T$3:$T$89&lt;=D41)*(ISNUMBER(HQ!$O$3:$O$89))*(HQ!$O$3:$O$89))</f>
        <v>9</v>
      </c>
      <c r="E17" s="428" cm="1">
        <f t="array" ref="E17">SUMPRODUCT((HQ!$T$3:$T$89&gt;=E40)*(HQ!$T$3:$T$89&lt;=E41)*(ISNUMBER(HQ!$O$3:$O$89))*(HQ!$O$3:$O$89))</f>
        <v>52</v>
      </c>
      <c r="F17" s="428" cm="1">
        <f t="array" ref="F17">SUMPRODUCT((HQ!$T$3:$T$89&gt;=F40)*(HQ!$T$3:$T$89&lt;=F41)*(ISNUMBER(HQ!$O$3:$O$89))*(HQ!$O$3:$O$89))</f>
        <v>14</v>
      </c>
      <c r="G17" s="428" cm="1">
        <f t="array" ref="G17">SUMPRODUCT((HQ!$T$3:$T$89&gt;=G40)*(HQ!$T$3:$T$89&lt;=G41)*(ISNUMBER(HQ!$O$3:$O$89))*(HQ!$O$3:$O$89))</f>
        <v>18</v>
      </c>
      <c r="H17" s="428" cm="1">
        <f t="array" ref="H17">SUMPRODUCT((HQ!$T$3:$T$89&gt;=H40)*(HQ!$T$3:$T$89&lt;=H41)*(ISNUMBER(HQ!$O$3:$O$89))*(HQ!$O$3:$O$89))</f>
        <v>11</v>
      </c>
      <c r="I17" s="428" cm="1">
        <f t="array" ref="I17">SUMPRODUCT((HQ!$T$3:$T$89&gt;=I40)*(HQ!$T$3:$T$89&lt;=I41)*(ISNUMBER(HQ!$O$3:$O$89))*(HQ!$O$3:$O$89))</f>
        <v>15</v>
      </c>
      <c r="J17" s="428" cm="1">
        <f t="array" ref="J17">SUMPRODUCT((HQ!$T$3:$T$89&gt;=J40)*(HQ!$T$3:$T$89&lt;=J41)*(ISNUMBER(HQ!$O$3:$O$89))*(HQ!$O$3:$O$89))</f>
        <v>14</v>
      </c>
      <c r="K17" s="428" cm="1">
        <f t="array" ref="K17">SUMPRODUCT((HQ!$T$3:$T$89&gt;=K40)*(HQ!$T$3:$T$89&lt;=K41)*(ISNUMBER(HQ!$O$3:$O$89))*(HQ!$O$3:$O$89))</f>
        <v>15</v>
      </c>
      <c r="L17" s="428" cm="1">
        <f t="array" ref="L17">SUMPRODUCT((HQ!$T$3:$T$89&gt;=L40)*(HQ!$T$3:$T$89&lt;=L41)*(ISNUMBER(HQ!$O$3:$O$89))*(HQ!$O$3:$O$89))</f>
        <v>0</v>
      </c>
      <c r="M17" s="428" cm="1">
        <f t="array" ref="M17">SUMPRODUCT((HQ!$T$3:$T$89&gt;=M40)*(HQ!$T$3:$T$89&lt;=M41)*(ISNUMBER(HQ!$O$3:$O$89))*(HQ!$O$3:$O$89))</f>
        <v>0</v>
      </c>
      <c r="N17" s="428" cm="1">
        <f t="array" ref="N17">SUMPRODUCT((HQ!$T$3:$T$89&gt;=N40)*(HQ!$T$3:$T$89&lt;=N41)*(ISNUMBER(HQ!$O$3:$O$89))*(HQ!$O$3:$O$89))</f>
        <v>0</v>
      </c>
      <c r="O17" s="428" cm="1">
        <f t="array" ref="O17">SUMPRODUCT((HQ!$T$3:$T$89&gt;=O40)*(HQ!$T$3:$T$89&lt;=O41)*(ISNUMBER(HQ!$O$3:$O$89))*(HQ!$O$3:$O$89))</f>
        <v>0</v>
      </c>
      <c r="P17" s="426">
        <f>SUM(B17:O17)</f>
        <v>188</v>
      </c>
    </row>
    <row r="18" spans="1:16" ht="19.5" customHeight="1">
      <c r="A18" s="429" t="s">
        <v>320</v>
      </c>
      <c r="B18" s="430">
        <f t="shared" ref="B18:G18" si="7">IF(B16=0,IF(B17=0,"-","100%"),B17/B16)</f>
        <v>0.88235294117647056</v>
      </c>
      <c r="C18" s="430">
        <f t="shared" si="7"/>
        <v>1</v>
      </c>
      <c r="D18" s="430">
        <f t="shared" si="7"/>
        <v>1</v>
      </c>
      <c r="E18" s="430">
        <f t="shared" si="7"/>
        <v>1</v>
      </c>
      <c r="F18" s="430">
        <f t="shared" si="7"/>
        <v>1</v>
      </c>
      <c r="G18" s="430">
        <f t="shared" si="7"/>
        <v>1</v>
      </c>
      <c r="H18" s="430">
        <f t="shared" ref="H18:I18" si="8">IF(H16=0,IF(H17=0,"-","100%"),H17/H16)</f>
        <v>1</v>
      </c>
      <c r="I18" s="430">
        <f t="shared" si="8"/>
        <v>1</v>
      </c>
      <c r="J18" s="430">
        <f t="shared" ref="J18:O18" si="9">IF(J16=0,IF(J17=0,"-","100%"),J17/J16)</f>
        <v>1</v>
      </c>
      <c r="K18" s="430">
        <f t="shared" si="9"/>
        <v>0.9375</v>
      </c>
      <c r="L18" s="430" t="str">
        <f t="shared" si="9"/>
        <v>-</v>
      </c>
      <c r="M18" s="430" t="str">
        <f t="shared" si="9"/>
        <v>-</v>
      </c>
      <c r="N18" s="430" t="str">
        <f t="shared" si="9"/>
        <v>-</v>
      </c>
      <c r="O18" s="430" t="str">
        <f t="shared" si="9"/>
        <v>-</v>
      </c>
      <c r="P18" s="423">
        <f>IF(P16=0,"-",P17/P16)</f>
        <v>0.97409326424870468</v>
      </c>
    </row>
    <row r="19" spans="1:16" ht="4.5" customHeight="1">
      <c r="A19" s="497"/>
      <c r="B19" s="497"/>
      <c r="C19" s="497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497"/>
      <c r="O19" s="497"/>
      <c r="P19" s="497"/>
    </row>
    <row r="20" spans="1:16" ht="21.75" customHeight="1">
      <c r="A20" s="909" t="s">
        <v>321</v>
      </c>
      <c r="B20" s="909"/>
      <c r="C20" s="909"/>
      <c r="D20" s="909"/>
      <c r="E20" s="909"/>
      <c r="F20" s="909"/>
      <c r="G20" s="909"/>
      <c r="H20" s="909"/>
      <c r="I20" s="909"/>
      <c r="J20" s="909"/>
      <c r="K20" s="909"/>
      <c r="L20" s="909"/>
      <c r="M20" s="909"/>
      <c r="N20" s="909"/>
      <c r="O20" s="909"/>
      <c r="P20" s="909"/>
    </row>
    <row r="21" spans="1:16" ht="19.5" customHeight="1">
      <c r="A21" s="424" t="s">
        <v>316</v>
      </c>
      <c r="B21" s="425">
        <f t="shared" ref="B21:J21" si="10">B7</f>
        <v>34</v>
      </c>
      <c r="C21" s="425">
        <f t="shared" si="10"/>
        <v>10</v>
      </c>
      <c r="D21" s="425">
        <f t="shared" si="10"/>
        <v>9</v>
      </c>
      <c r="E21" s="425">
        <f t="shared" si="10"/>
        <v>52</v>
      </c>
      <c r="F21" s="425">
        <f t="shared" si="10"/>
        <v>14</v>
      </c>
      <c r="G21" s="425">
        <f t="shared" si="10"/>
        <v>18</v>
      </c>
      <c r="H21" s="425">
        <f t="shared" si="10"/>
        <v>11</v>
      </c>
      <c r="I21" s="425">
        <f t="shared" si="10"/>
        <v>15</v>
      </c>
      <c r="J21" s="425">
        <f t="shared" si="10"/>
        <v>14</v>
      </c>
      <c r="K21" s="425">
        <f t="shared" ref="K21:O21" si="11">K7</f>
        <v>16</v>
      </c>
      <c r="L21" s="425">
        <f t="shared" si="11"/>
        <v>0</v>
      </c>
      <c r="M21" s="425">
        <f t="shared" si="11"/>
        <v>0</v>
      </c>
      <c r="N21" s="425">
        <f t="shared" si="11"/>
        <v>0</v>
      </c>
      <c r="O21" s="425">
        <f t="shared" si="11"/>
        <v>0</v>
      </c>
      <c r="P21" s="426">
        <f>P7</f>
        <v>193</v>
      </c>
    </row>
    <row r="22" spans="1:16" ht="19.5" customHeight="1">
      <c r="A22" s="427" t="s">
        <v>317</v>
      </c>
      <c r="B22" s="428" cm="1">
        <f t="array" ref="B22">SUMPRODUCT((HQ!$T$3:$T$89&gt;=B40)*(HQ!$T$3:$T$89&lt;=B41)*(ISNUMBER(HQ!$P$3:$P$89))*(HQ!$P$3:$P$89))</f>
        <v>27</v>
      </c>
      <c r="C22" s="428" cm="1">
        <f t="array" ref="C22">SUMPRODUCT((HQ!$T$3:$T$89&gt;=C40)*(HQ!$T$3:$T$89&lt;=C41)*(ISNUMBER(HQ!$P$3:$P$89))*(HQ!$P$3:$P$89))</f>
        <v>10</v>
      </c>
      <c r="D22" s="428" cm="1">
        <f t="array" ref="D22">SUMPRODUCT((HQ!$T$3:$T$89&gt;=D40)*(HQ!$T$3:$T$89&lt;=D41)*(ISNUMBER(HQ!$P$3:$P$89))*(HQ!$P$3:$P$89))</f>
        <v>9</v>
      </c>
      <c r="E22" s="428" cm="1">
        <f t="array" ref="E22">SUMPRODUCT((HQ!$T$3:$T$89&gt;=E40)*(HQ!$T$3:$T$89&lt;=E41)*(ISNUMBER(HQ!$P$3:$P$89))*(HQ!$P$3:$P$89))</f>
        <v>52</v>
      </c>
      <c r="F22" s="428" cm="1">
        <f t="array" ref="F22">SUMPRODUCT((HQ!$T$3:$T$89&gt;=F40)*(HQ!$T$3:$T$89&lt;=F41)*(ISNUMBER(HQ!$P$3:$P$89))*(HQ!$P$3:$P$89))</f>
        <v>14</v>
      </c>
      <c r="G22" s="428" cm="1">
        <f t="array" ref="G22">SUMPRODUCT((HQ!$T$3:$T$89&gt;=G40)*(HQ!$T$3:$T$89&lt;=G41)*(ISNUMBER(HQ!$P$3:$P$89))*(HQ!$P$3:$P$89))</f>
        <v>18</v>
      </c>
      <c r="H22" s="428" cm="1">
        <f t="array" ref="H22">SUMPRODUCT((HQ!$T$3:$T$89&gt;=H40)*(HQ!$T$3:$T$89&lt;=H41)*(ISNUMBER(HQ!$P$3:$P$89))*(HQ!$P$3:$P$89))</f>
        <v>11</v>
      </c>
      <c r="I22" s="428" cm="1">
        <f t="array" ref="I22">SUMPRODUCT((HQ!$T$3:$T$89&gt;=I40)*(HQ!$T$3:$T$89&lt;=I41)*(ISNUMBER(HQ!$P$3:$P$89))*(HQ!$P$3:$P$89))</f>
        <v>15</v>
      </c>
      <c r="J22" s="428" cm="1">
        <f t="array" ref="J22">SUMPRODUCT((HQ!$T$3:$T$89&gt;=J40)*(HQ!$T$3:$T$89&lt;=J41)*(ISNUMBER(HQ!$P$3:$P$89))*(HQ!$P$3:$P$89))</f>
        <v>14</v>
      </c>
      <c r="K22" s="428" cm="1">
        <f t="array" ref="K22">SUMPRODUCT((HQ!$T$3:$T$89&gt;=K40)*(HQ!$T$3:$T$89&lt;=K41)*(ISNUMBER(HQ!$P$3:$P$89))*(HQ!$P$3:$P$89))</f>
        <v>13</v>
      </c>
      <c r="L22" s="428" cm="1">
        <f t="array" ref="L22">SUMPRODUCT((HQ!$T$3:$T$89&gt;=L40)*(HQ!$T$3:$T$89&lt;=L41)*(ISNUMBER(HQ!$P$3:$P$89))*(HQ!$P$3:$P$89))</f>
        <v>0</v>
      </c>
      <c r="M22" s="428" cm="1">
        <f t="array" ref="M22">SUMPRODUCT((HQ!$T$3:$T$89&gt;=M40)*(HQ!$T$3:$T$89&lt;=M41)*(ISNUMBER(HQ!$P$3:$P$89))*(HQ!$P$3:$P$89))</f>
        <v>0</v>
      </c>
      <c r="N22" s="428" cm="1">
        <f t="array" ref="N22">SUMPRODUCT((HQ!$T$3:$T$89&gt;=N40)*(HQ!$T$3:$T$89&lt;=N41)*(ISNUMBER(HQ!$P$3:$P$89))*(HQ!$P$3:$P$89))</f>
        <v>0</v>
      </c>
      <c r="O22" s="428" cm="1">
        <f t="array" ref="O22">SUMPRODUCT((HQ!$T$3:$T$89&gt;=O40)*(HQ!$T$3:$T$89&lt;=O41)*(ISNUMBER(HQ!$P$3:$P$89))*(HQ!$P$3:$P$89))</f>
        <v>0</v>
      </c>
      <c r="P22" s="426">
        <f>SUM(B22:O22)</f>
        <v>183</v>
      </c>
    </row>
    <row r="23" spans="1:16" ht="19.5" customHeight="1">
      <c r="A23" s="433" t="s">
        <v>322</v>
      </c>
      <c r="B23" s="434">
        <f>MAX(B22-B21,0)</f>
        <v>0</v>
      </c>
      <c r="C23" s="434">
        <f t="shared" ref="C23:J23" si="12">MAX(C22-C21,0)</f>
        <v>0</v>
      </c>
      <c r="D23" s="434">
        <f t="shared" si="12"/>
        <v>0</v>
      </c>
      <c r="E23" s="434">
        <f t="shared" si="12"/>
        <v>0</v>
      </c>
      <c r="F23" s="434">
        <f t="shared" si="12"/>
        <v>0</v>
      </c>
      <c r="G23" s="434">
        <f t="shared" si="12"/>
        <v>0</v>
      </c>
      <c r="H23" s="434">
        <f t="shared" si="12"/>
        <v>0</v>
      </c>
      <c r="I23" s="434">
        <f t="shared" si="12"/>
        <v>0</v>
      </c>
      <c r="J23" s="434">
        <f t="shared" si="12"/>
        <v>0</v>
      </c>
      <c r="K23" s="434">
        <f t="shared" ref="K23:O23" si="13">MAX(K22-K21,0)</f>
        <v>0</v>
      </c>
      <c r="L23" s="434">
        <f t="shared" si="13"/>
        <v>0</v>
      </c>
      <c r="M23" s="434">
        <f t="shared" si="13"/>
        <v>0</v>
      </c>
      <c r="N23" s="434">
        <f t="shared" si="13"/>
        <v>0</v>
      </c>
      <c r="O23" s="434">
        <f t="shared" si="13"/>
        <v>0</v>
      </c>
      <c r="P23" s="426">
        <f>MAX(P22-P21,0)</f>
        <v>0</v>
      </c>
    </row>
    <row r="24" spans="1:16" ht="19.5" customHeight="1">
      <c r="A24" s="433" t="s">
        <v>323</v>
      </c>
      <c r="B24" s="434">
        <f>MAX(B21-B22,0)</f>
        <v>7</v>
      </c>
      <c r="C24" s="434">
        <f>MAX(C21-C22,0)</f>
        <v>0</v>
      </c>
      <c r="D24" s="434">
        <f t="shared" ref="D24:J24" si="14">MAX(D21-D22,0)</f>
        <v>0</v>
      </c>
      <c r="E24" s="434">
        <f t="shared" si="14"/>
        <v>0</v>
      </c>
      <c r="F24" s="434">
        <f t="shared" si="14"/>
        <v>0</v>
      </c>
      <c r="G24" s="434">
        <f t="shared" si="14"/>
        <v>0</v>
      </c>
      <c r="H24" s="434">
        <f t="shared" si="14"/>
        <v>0</v>
      </c>
      <c r="I24" s="434">
        <f t="shared" si="14"/>
        <v>0</v>
      </c>
      <c r="J24" s="434">
        <f t="shared" si="14"/>
        <v>0</v>
      </c>
      <c r="K24" s="434">
        <f t="shared" ref="K24:O24" si="15">MAX(K21-K22,0)</f>
        <v>3</v>
      </c>
      <c r="L24" s="434">
        <f t="shared" si="15"/>
        <v>0</v>
      </c>
      <c r="M24" s="434">
        <f t="shared" si="15"/>
        <v>0</v>
      </c>
      <c r="N24" s="434">
        <f t="shared" si="15"/>
        <v>0</v>
      </c>
      <c r="O24" s="434">
        <f t="shared" si="15"/>
        <v>0</v>
      </c>
      <c r="P24" s="426">
        <f>MAX(P21-P22,0)</f>
        <v>10</v>
      </c>
    </row>
    <row r="25" spans="1:16" ht="19.5" customHeight="1">
      <c r="A25" s="429" t="s">
        <v>324</v>
      </c>
      <c r="B25" s="430">
        <f t="shared" ref="B25:J25" si="16">IF(B21=0,IF(B22=0,"-","100%"),B22/B21)</f>
        <v>0.79411764705882348</v>
      </c>
      <c r="C25" s="430">
        <f t="shared" si="16"/>
        <v>1</v>
      </c>
      <c r="D25" s="430">
        <f t="shared" si="16"/>
        <v>1</v>
      </c>
      <c r="E25" s="430">
        <f t="shared" si="16"/>
        <v>1</v>
      </c>
      <c r="F25" s="430">
        <f t="shared" si="16"/>
        <v>1</v>
      </c>
      <c r="G25" s="430">
        <f t="shared" si="16"/>
        <v>1</v>
      </c>
      <c r="H25" s="430">
        <f t="shared" si="16"/>
        <v>1</v>
      </c>
      <c r="I25" s="430">
        <f t="shared" si="16"/>
        <v>1</v>
      </c>
      <c r="J25" s="430">
        <f t="shared" si="16"/>
        <v>1</v>
      </c>
      <c r="K25" s="430">
        <f t="shared" ref="K25:O25" si="17">IF(K21=0,IF(K22=0,"-","100%"),K22/K21)</f>
        <v>0.8125</v>
      </c>
      <c r="L25" s="430" t="str">
        <f t="shared" si="17"/>
        <v>-</v>
      </c>
      <c r="M25" s="430" t="str">
        <f t="shared" si="17"/>
        <v>-</v>
      </c>
      <c r="N25" s="430" t="str">
        <f t="shared" si="17"/>
        <v>-</v>
      </c>
      <c r="O25" s="430" t="str">
        <f t="shared" si="17"/>
        <v>-</v>
      </c>
      <c r="P25" s="423">
        <f>IF(P21=0,"-",P22/P21)</f>
        <v>0.94818652849740936</v>
      </c>
    </row>
    <row r="26" spans="1:16" ht="4.2" customHeight="1">
      <c r="A26" s="497"/>
      <c r="B26" s="497"/>
      <c r="C26" s="497"/>
      <c r="D26" s="497"/>
      <c r="E26" s="497"/>
      <c r="F26" s="497"/>
      <c r="G26" s="497"/>
      <c r="H26" s="497"/>
      <c r="I26" s="497"/>
      <c r="J26" s="497"/>
      <c r="K26" s="497"/>
      <c r="L26" s="497"/>
      <c r="M26" s="497"/>
      <c r="N26" s="497"/>
      <c r="O26" s="497"/>
      <c r="P26" s="497"/>
    </row>
    <row r="27" spans="1:16" ht="21.75" customHeight="1">
      <c r="A27" s="1127" t="s">
        <v>325</v>
      </c>
      <c r="B27" s="1128"/>
      <c r="C27" s="1128"/>
      <c r="D27" s="1128"/>
      <c r="E27" s="1128"/>
      <c r="F27" s="1128"/>
      <c r="G27" s="1128"/>
      <c r="H27" s="1128"/>
      <c r="I27" s="1128"/>
      <c r="J27" s="1128"/>
      <c r="K27" s="1128"/>
      <c r="L27" s="1128"/>
      <c r="M27" s="1128"/>
      <c r="N27" s="1128"/>
      <c r="O27" s="1128"/>
      <c r="P27" s="1128"/>
    </row>
    <row r="28" spans="1:16" ht="19.5" customHeight="1">
      <c r="A28" s="500" t="s">
        <v>326</v>
      </c>
      <c r="B28" s="501">
        <f t="shared" ref="B28:J28" si="18">IF(B7=0,"-",(B12+B17+B22)/(B7*3))</f>
        <v>0.8529411764705882</v>
      </c>
      <c r="C28" s="501">
        <f t="shared" si="18"/>
        <v>1</v>
      </c>
      <c r="D28" s="501">
        <f t="shared" si="18"/>
        <v>1</v>
      </c>
      <c r="E28" s="501">
        <f t="shared" si="18"/>
        <v>1</v>
      </c>
      <c r="F28" s="501">
        <f t="shared" si="18"/>
        <v>1</v>
      </c>
      <c r="G28" s="501">
        <f t="shared" si="18"/>
        <v>1</v>
      </c>
      <c r="H28" s="501">
        <f t="shared" si="18"/>
        <v>1</v>
      </c>
      <c r="I28" s="501">
        <f t="shared" si="18"/>
        <v>1</v>
      </c>
      <c r="J28" s="501">
        <f t="shared" si="18"/>
        <v>1</v>
      </c>
      <c r="K28" s="501">
        <f t="shared" ref="K28:O28" si="19">IF(K7=0,"-",(K12+K17+K22)/(K7*3))</f>
        <v>0.89583333333333337</v>
      </c>
      <c r="L28" s="501" t="str">
        <f t="shared" si="19"/>
        <v>-</v>
      </c>
      <c r="M28" s="501" t="str">
        <f t="shared" si="19"/>
        <v>-</v>
      </c>
      <c r="N28" s="501" t="str">
        <f t="shared" si="19"/>
        <v>-</v>
      </c>
      <c r="O28" s="501" t="str">
        <f t="shared" si="19"/>
        <v>-</v>
      </c>
      <c r="P28" s="423">
        <f>IF(P7=0,"-",(P12+P17+P22)/(P7*3))</f>
        <v>0.9654576856649395</v>
      </c>
    </row>
    <row r="29" spans="1:16" ht="4.5" customHeight="1">
      <c r="A29" s="497"/>
      <c r="B29" s="497"/>
      <c r="C29" s="497"/>
      <c r="D29" s="497"/>
      <c r="E29" s="497"/>
      <c r="F29" s="497"/>
      <c r="G29" s="497"/>
      <c r="H29" s="497"/>
      <c r="I29" s="497"/>
      <c r="J29" s="497"/>
      <c r="K29" s="497"/>
      <c r="L29" s="497"/>
      <c r="M29" s="497"/>
      <c r="N29" s="497"/>
      <c r="O29" s="497"/>
      <c r="P29" s="497"/>
    </row>
    <row r="30" spans="1:16" ht="19.5" customHeight="1">
      <c r="A30" s="433" t="s">
        <v>327</v>
      </c>
      <c r="B30" s="434">
        <f>SUM($B7:B7)</f>
        <v>34</v>
      </c>
      <c r="C30" s="434">
        <f>SUM($B7:C7)</f>
        <v>44</v>
      </c>
      <c r="D30" s="434">
        <f>SUM($B7:D7)</f>
        <v>53</v>
      </c>
      <c r="E30" s="434">
        <f>SUM($B7:E7)</f>
        <v>105</v>
      </c>
      <c r="F30" s="434">
        <f>SUM($B7:F7)</f>
        <v>119</v>
      </c>
      <c r="G30" s="434">
        <f>SUM($B7:G7)</f>
        <v>137</v>
      </c>
      <c r="H30" s="434">
        <f>SUM($B7:H7)</f>
        <v>148</v>
      </c>
      <c r="I30" s="434">
        <f>SUM($B7:I7)</f>
        <v>163</v>
      </c>
      <c r="J30" s="434">
        <f>SUM($B7:J7)</f>
        <v>177</v>
      </c>
      <c r="K30" s="434">
        <f>SUM($B7:K7)</f>
        <v>193</v>
      </c>
      <c r="L30" s="434">
        <f>SUM($B7:L7)</f>
        <v>193</v>
      </c>
      <c r="M30" s="434">
        <f>SUM($B7:M7)</f>
        <v>193</v>
      </c>
      <c r="N30" s="434">
        <f>SUM($B7:N7)</f>
        <v>193</v>
      </c>
      <c r="O30" s="434">
        <f>SUM($B7:O7)</f>
        <v>193</v>
      </c>
      <c r="P30" s="426">
        <f>P7</f>
        <v>193</v>
      </c>
    </row>
    <row r="31" spans="1:16" ht="19.5" customHeight="1">
      <c r="A31" s="433" t="s">
        <v>328</v>
      </c>
      <c r="B31" s="434">
        <f>SUM($B22:B22)</f>
        <v>27</v>
      </c>
      <c r="C31" s="434">
        <f>SUM($B22:C22)</f>
        <v>37</v>
      </c>
      <c r="D31" s="434">
        <f>SUM($B22:D22)</f>
        <v>46</v>
      </c>
      <c r="E31" s="434">
        <f>SUM($B22:E22)</f>
        <v>98</v>
      </c>
      <c r="F31" s="434">
        <f>SUM($B22:F22)</f>
        <v>112</v>
      </c>
      <c r="G31" s="434">
        <f>SUM($B22:G22)</f>
        <v>130</v>
      </c>
      <c r="H31" s="434">
        <f>SUM($B22:H22)</f>
        <v>141</v>
      </c>
      <c r="I31" s="434">
        <f>SUM($B22:I22)</f>
        <v>156</v>
      </c>
      <c r="J31" s="434">
        <f>SUM($B22:J22)</f>
        <v>170</v>
      </c>
      <c r="K31" s="434">
        <f>SUM($B22:K22)</f>
        <v>183</v>
      </c>
      <c r="L31" s="434">
        <f>SUM($B22:L22)</f>
        <v>183</v>
      </c>
      <c r="M31" s="434">
        <f>SUM($B22:M22)</f>
        <v>183</v>
      </c>
      <c r="N31" s="434">
        <f>SUM($B22:N22)</f>
        <v>183</v>
      </c>
      <c r="O31" s="434">
        <f>SUM($B22:O22)</f>
        <v>183</v>
      </c>
      <c r="P31" s="426">
        <f>P22</f>
        <v>183</v>
      </c>
    </row>
    <row r="32" spans="1:16" ht="19.5" customHeight="1">
      <c r="A32" s="435" t="s">
        <v>329</v>
      </c>
      <c r="B32" s="436">
        <f t="shared" ref="B32:O32" si="20">IF($P$7=0,"-",B31/$P$7)</f>
        <v>0.13989637305699482</v>
      </c>
      <c r="C32" s="436">
        <f t="shared" si="20"/>
        <v>0.19170984455958548</v>
      </c>
      <c r="D32" s="436">
        <f t="shared" si="20"/>
        <v>0.23834196891191708</v>
      </c>
      <c r="E32" s="436">
        <f t="shared" si="20"/>
        <v>0.50777202072538863</v>
      </c>
      <c r="F32" s="436">
        <f t="shared" si="20"/>
        <v>0.5803108808290155</v>
      </c>
      <c r="G32" s="436">
        <f t="shared" si="20"/>
        <v>0.67357512953367871</v>
      </c>
      <c r="H32" s="436">
        <f t="shared" si="20"/>
        <v>0.73056994818652854</v>
      </c>
      <c r="I32" s="436">
        <f t="shared" si="20"/>
        <v>0.80829015544041449</v>
      </c>
      <c r="J32" s="436">
        <f t="shared" si="20"/>
        <v>0.88082901554404147</v>
      </c>
      <c r="K32" s="436">
        <f t="shared" si="20"/>
        <v>0.94818652849740936</v>
      </c>
      <c r="L32" s="436">
        <f t="shared" si="20"/>
        <v>0.94818652849740936</v>
      </c>
      <c r="M32" s="436">
        <f t="shared" si="20"/>
        <v>0.94818652849740936</v>
      </c>
      <c r="N32" s="436">
        <f t="shared" si="20"/>
        <v>0.94818652849740936</v>
      </c>
      <c r="O32" s="436">
        <f t="shared" si="20"/>
        <v>0.94818652849740936</v>
      </c>
      <c r="P32" s="423">
        <f>IF(P7=0,"-",P31/P7)</f>
        <v>0.94818652849740936</v>
      </c>
    </row>
    <row r="33" spans="1:18" ht="19.5" customHeight="1">
      <c r="A33" s="437" t="s">
        <v>330</v>
      </c>
      <c r="B33" s="438">
        <f t="shared" ref="B33:O33" si="21">IF($P$7=0,"-",B30/$P$7)</f>
        <v>0.17616580310880828</v>
      </c>
      <c r="C33" s="438">
        <f t="shared" si="21"/>
        <v>0.22797927461139897</v>
      </c>
      <c r="D33" s="438">
        <f t="shared" si="21"/>
        <v>0.27461139896373055</v>
      </c>
      <c r="E33" s="438">
        <f t="shared" si="21"/>
        <v>0.54404145077720212</v>
      </c>
      <c r="F33" s="438">
        <f t="shared" si="21"/>
        <v>0.61658031088082899</v>
      </c>
      <c r="G33" s="438">
        <f t="shared" si="21"/>
        <v>0.7098445595854922</v>
      </c>
      <c r="H33" s="438">
        <f t="shared" si="21"/>
        <v>0.76683937823834192</v>
      </c>
      <c r="I33" s="438">
        <f t="shared" si="21"/>
        <v>0.84455958549222798</v>
      </c>
      <c r="J33" s="438">
        <f t="shared" si="21"/>
        <v>0.91709844559585496</v>
      </c>
      <c r="K33" s="438">
        <f t="shared" si="21"/>
        <v>1</v>
      </c>
      <c r="L33" s="438">
        <f t="shared" si="21"/>
        <v>1</v>
      </c>
      <c r="M33" s="438">
        <f t="shared" si="21"/>
        <v>1</v>
      </c>
      <c r="N33" s="438">
        <f t="shared" si="21"/>
        <v>1</v>
      </c>
      <c r="O33" s="438">
        <f t="shared" si="21"/>
        <v>1</v>
      </c>
      <c r="P33" s="423">
        <f>IF(P7=0,"-",P30/P7)</f>
        <v>1</v>
      </c>
    </row>
    <row r="34" spans="1:18" ht="17.25" customHeight="1">
      <c r="A34" s="497"/>
      <c r="B34" s="497"/>
      <c r="C34" s="497"/>
      <c r="D34" s="497"/>
      <c r="E34" s="497"/>
      <c r="F34" s="497"/>
      <c r="G34" s="497"/>
      <c r="H34" s="497"/>
      <c r="I34" s="497"/>
      <c r="J34" s="497"/>
      <c r="K34" s="416"/>
      <c r="P34" s="416"/>
      <c r="R34" s="497"/>
    </row>
    <row r="35" spans="1:18" ht="17.25" customHeight="1">
      <c r="A35" s="497" t="s">
        <v>331</v>
      </c>
      <c r="B35" s="497"/>
      <c r="C35" s="497"/>
      <c r="D35" s="497"/>
      <c r="E35" s="497"/>
      <c r="F35" s="497"/>
      <c r="G35" s="497"/>
      <c r="H35" s="497"/>
      <c r="I35" s="497"/>
      <c r="J35" s="497"/>
      <c r="K35" s="416"/>
      <c r="P35" s="416"/>
      <c r="R35" s="497"/>
    </row>
    <row r="39" spans="1:18" hidden="1"/>
    <row r="40" spans="1:18" ht="15" hidden="1" customHeight="1">
      <c r="B40" s="439">
        <f>DATE(2026,2,2)</f>
        <v>46055</v>
      </c>
      <c r="C40" s="439">
        <f>DATE(2026,2,9)</f>
        <v>46062</v>
      </c>
      <c r="D40" s="439">
        <f>DATE(2026,2,16)</f>
        <v>46069</v>
      </c>
      <c r="E40" s="439">
        <f>DATE(2026,2,23)</f>
        <v>46076</v>
      </c>
      <c r="F40" s="439">
        <f>DATE(2026,3,2)</f>
        <v>46083</v>
      </c>
      <c r="G40" s="439">
        <f>DATE(2026,3,9)</f>
        <v>46090</v>
      </c>
      <c r="H40" s="439">
        <f>DATE(2026,3,16)</f>
        <v>46097</v>
      </c>
      <c r="I40" s="439">
        <f>DATE(2026,3,23)</f>
        <v>46104</v>
      </c>
      <c r="J40" s="439">
        <f>DATE(2026,3,30)</f>
        <v>46111</v>
      </c>
      <c r="K40" s="439">
        <f>J40+7</f>
        <v>46118</v>
      </c>
      <c r="L40" s="439">
        <f t="shared" ref="L40:O40" si="22">K40+7</f>
        <v>46125</v>
      </c>
      <c r="M40" s="439">
        <f t="shared" si="22"/>
        <v>46132</v>
      </c>
      <c r="N40" s="439">
        <f t="shared" si="22"/>
        <v>46139</v>
      </c>
      <c r="O40" s="439">
        <f t="shared" si="22"/>
        <v>46146</v>
      </c>
    </row>
    <row r="41" spans="1:18" ht="15" hidden="1" customHeight="1">
      <c r="B41" s="439">
        <f>DATE(2026,2,8)</f>
        <v>46061</v>
      </c>
      <c r="C41" s="439">
        <f>DATE(2026,2,15)</f>
        <v>46068</v>
      </c>
      <c r="D41" s="439">
        <f>DATE(2026,2,22)</f>
        <v>46075</v>
      </c>
      <c r="E41" s="439">
        <f>DATE(2026,3,1)</f>
        <v>46082</v>
      </c>
      <c r="F41" s="439">
        <f>DATE(2026,3,8)</f>
        <v>46089</v>
      </c>
      <c r="G41" s="439">
        <f>DATE(2026,3,15)</f>
        <v>46096</v>
      </c>
      <c r="H41" s="439">
        <f>DATE(2026,3,22)</f>
        <v>46103</v>
      </c>
      <c r="I41" s="439">
        <f>DATE(2026,3,29)</f>
        <v>46110</v>
      </c>
      <c r="J41" s="439">
        <f>DATE(2026,4,5)</f>
        <v>46117</v>
      </c>
      <c r="K41" s="439">
        <f>J41+7</f>
        <v>46124</v>
      </c>
      <c r="L41" s="439">
        <f t="shared" ref="L41:O41" si="23">K41+7</f>
        <v>46131</v>
      </c>
      <c r="M41" s="439">
        <f t="shared" si="23"/>
        <v>46138</v>
      </c>
      <c r="N41" s="439">
        <f t="shared" si="23"/>
        <v>46145</v>
      </c>
      <c r="O41" s="439">
        <f t="shared" si="23"/>
        <v>46152</v>
      </c>
    </row>
    <row r="42" spans="1:18" hidden="1"/>
  </sheetData>
  <mergeCells count="6">
    <mergeCell ref="A27:P27"/>
    <mergeCell ref="A4:A5"/>
    <mergeCell ref="P4:P5"/>
    <mergeCell ref="A1:P1"/>
    <mergeCell ref="A2:P2"/>
    <mergeCell ref="A6:P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B05B-3124-49F8-9386-05722B261E73}">
  <dimension ref="A1:CY42"/>
  <sheetViews>
    <sheetView zoomScale="70" zoomScaleNormal="70" workbookViewId="0">
      <pane xSplit="1" ySplit="5" topLeftCell="CC18" activePane="bottomRight" state="frozen"/>
      <selection pane="topRight" activeCell="B1" sqref="B1"/>
      <selection pane="bottomLeft" activeCell="A6" sqref="A6"/>
      <selection pane="bottomRight" activeCell="CG46" sqref="CG46"/>
    </sheetView>
  </sheetViews>
  <sheetFormatPr defaultColWidth="8.6640625" defaultRowHeight="14.4"/>
  <cols>
    <col min="1" max="1" width="28" style="416" bestFit="1" customWidth="1"/>
    <col min="2" max="61" width="11.5546875" style="416" bestFit="1" customWidth="1"/>
    <col min="62" max="62" width="11.5546875" bestFit="1" customWidth="1"/>
    <col min="63" max="95" width="11.5546875" style="416" bestFit="1" customWidth="1"/>
    <col min="96" max="96" width="11.5546875" style="416" customWidth="1"/>
    <col min="97" max="98" width="11.5546875" style="416" bestFit="1" customWidth="1"/>
    <col min="99" max="99" width="8.88671875" style="416" bestFit="1" customWidth="1"/>
    <col min="100" max="102" width="8.6640625" style="416"/>
    <col min="104" max="16384" width="8.6640625" style="416"/>
  </cols>
  <sheetData>
    <row r="1" spans="1:99" ht="30" customHeight="1">
      <c r="A1" s="1130" t="s">
        <v>332</v>
      </c>
      <c r="B1" s="1131"/>
      <c r="C1" s="1131"/>
      <c r="D1" s="1131"/>
      <c r="E1" s="1131"/>
      <c r="F1" s="1131"/>
      <c r="G1" s="1131"/>
      <c r="H1" s="1131"/>
      <c r="I1" s="1131"/>
      <c r="J1" s="1131"/>
      <c r="K1" s="1131"/>
      <c r="L1" s="1131"/>
      <c r="M1" s="1131"/>
      <c r="N1" s="1131"/>
      <c r="O1" s="1131"/>
      <c r="P1" s="1131"/>
      <c r="Q1" s="1131"/>
      <c r="R1" s="1131"/>
      <c r="S1" s="1131"/>
      <c r="T1" s="1131"/>
      <c r="U1" s="1131"/>
      <c r="V1" s="1131"/>
      <c r="W1" s="1131"/>
      <c r="X1" s="1131"/>
      <c r="Y1" s="1131"/>
      <c r="Z1" s="1131"/>
      <c r="AA1" s="1131"/>
      <c r="AB1" s="1131"/>
      <c r="AC1" s="1131"/>
      <c r="AD1" s="1131"/>
      <c r="AE1" s="1131"/>
      <c r="AF1" s="1131"/>
      <c r="AG1" s="1131"/>
      <c r="AH1" s="1131"/>
      <c r="AI1" s="1131"/>
      <c r="AJ1" s="1131"/>
      <c r="AK1" s="1131"/>
      <c r="AL1" s="1131"/>
      <c r="AM1" s="1131"/>
      <c r="AN1" s="1131"/>
      <c r="AO1" s="1131"/>
      <c r="AP1" s="1131"/>
      <c r="AQ1" s="1131"/>
      <c r="AR1" s="1131"/>
      <c r="AS1" s="1131"/>
      <c r="AT1" s="1131"/>
      <c r="AU1" s="1131"/>
      <c r="AV1" s="1131"/>
      <c r="AW1" s="1131"/>
      <c r="AX1" s="1131"/>
      <c r="AY1" s="1131"/>
      <c r="AZ1" s="1131"/>
      <c r="BA1" s="1131"/>
      <c r="BB1" s="1131"/>
      <c r="BC1" s="1131"/>
      <c r="BD1" s="1131"/>
      <c r="BE1" s="1131"/>
      <c r="BF1" s="1131"/>
      <c r="BG1" s="1131"/>
      <c r="BH1" s="1131"/>
      <c r="BI1" s="1131"/>
      <c r="BJ1" s="1131"/>
      <c r="BK1" s="1131"/>
      <c r="BL1" s="1131"/>
      <c r="BM1" s="1131"/>
      <c r="BN1" s="1131"/>
      <c r="BO1" s="1131"/>
      <c r="BP1" s="1131"/>
      <c r="BQ1" s="1131"/>
      <c r="BR1" s="1131"/>
      <c r="BS1" s="1131"/>
      <c r="BT1" s="1131"/>
      <c r="BU1" s="1131"/>
      <c r="BV1" s="1131"/>
      <c r="BW1" s="1131"/>
      <c r="BX1" s="1131"/>
      <c r="BY1" s="1131"/>
      <c r="BZ1" s="1131"/>
      <c r="CA1" s="1131"/>
      <c r="CB1" s="1131"/>
      <c r="CC1" s="1131"/>
      <c r="CD1" s="1131"/>
      <c r="CE1" s="1131"/>
      <c r="CF1" s="1131"/>
      <c r="CG1" s="1131"/>
      <c r="CH1" s="1131"/>
      <c r="CI1" s="1131"/>
      <c r="CJ1" s="1131"/>
      <c r="CK1" s="1131"/>
      <c r="CL1" s="1131"/>
      <c r="CM1" s="1131"/>
      <c r="CN1" s="1131"/>
      <c r="CO1" s="1131"/>
      <c r="CP1" s="1131"/>
      <c r="CQ1" s="1131"/>
      <c r="CR1" s="1131"/>
      <c r="CS1" s="1131"/>
      <c r="CT1" s="1131"/>
      <c r="CU1" s="1131"/>
    </row>
    <row r="2" spans="1:99" ht="18" customHeight="1">
      <c r="A2" s="1132" t="s">
        <v>333</v>
      </c>
      <c r="B2" s="1133"/>
      <c r="C2" s="1133"/>
      <c r="D2" s="1133"/>
      <c r="E2" s="1133"/>
      <c r="F2" s="1133"/>
      <c r="G2" s="1133"/>
      <c r="H2" s="1133"/>
      <c r="I2" s="1133"/>
      <c r="J2" s="1133"/>
      <c r="K2" s="1133"/>
      <c r="L2" s="1133"/>
      <c r="M2" s="1133"/>
      <c r="N2" s="1133"/>
      <c r="O2" s="1133"/>
      <c r="P2" s="1133"/>
      <c r="Q2" s="1133"/>
      <c r="R2" s="1133"/>
      <c r="S2" s="1133"/>
      <c r="T2" s="1133"/>
      <c r="U2" s="1133"/>
      <c r="V2" s="1133"/>
      <c r="W2" s="1133"/>
      <c r="X2" s="1133"/>
      <c r="Y2" s="1133"/>
      <c r="Z2" s="1133"/>
      <c r="AA2" s="1133"/>
      <c r="AB2" s="1133"/>
      <c r="AC2" s="1133"/>
      <c r="AD2" s="1133"/>
      <c r="AE2" s="1133"/>
      <c r="AF2" s="1133"/>
      <c r="AG2" s="1133"/>
      <c r="AH2" s="1133"/>
      <c r="AI2" s="1133"/>
      <c r="AJ2" s="1133"/>
      <c r="AK2" s="1133"/>
      <c r="AL2" s="1133"/>
      <c r="AM2" s="1133"/>
      <c r="AN2" s="1133"/>
      <c r="AO2" s="1133"/>
      <c r="AP2" s="1133"/>
      <c r="AQ2" s="1133"/>
      <c r="AR2" s="1133"/>
      <c r="AS2" s="1133"/>
      <c r="AT2" s="1133"/>
      <c r="AU2" s="1133"/>
      <c r="AV2" s="1133"/>
      <c r="AW2" s="1133"/>
      <c r="AX2" s="1133"/>
      <c r="AY2" s="1133"/>
      <c r="AZ2" s="1133"/>
      <c r="BA2" s="1133"/>
      <c r="BB2" s="1133"/>
      <c r="BC2" s="1133"/>
      <c r="BD2" s="1133"/>
      <c r="BE2" s="1133"/>
      <c r="BF2" s="1133"/>
      <c r="BG2" s="1133"/>
      <c r="BH2" s="1133"/>
      <c r="BI2" s="1133"/>
      <c r="BJ2" s="1133"/>
      <c r="BK2" s="1133"/>
      <c r="BL2" s="1133"/>
      <c r="BM2" s="1133"/>
      <c r="BN2" s="1133"/>
      <c r="BO2" s="1133"/>
      <c r="BP2" s="1133"/>
      <c r="BQ2" s="1133"/>
      <c r="BR2" s="1133"/>
      <c r="BS2" s="1133"/>
      <c r="BT2" s="1133"/>
      <c r="BU2" s="1133"/>
      <c r="BV2" s="1133"/>
      <c r="BW2" s="1133"/>
      <c r="BX2" s="1133"/>
      <c r="BY2" s="1133"/>
      <c r="BZ2" s="1133"/>
      <c r="CA2" s="1133"/>
      <c r="CB2" s="1133"/>
      <c r="CC2" s="1133"/>
      <c r="CD2" s="1133"/>
      <c r="CE2" s="1133"/>
      <c r="CF2" s="1133"/>
      <c r="CG2" s="1133"/>
      <c r="CH2" s="1133"/>
      <c r="CI2" s="1133"/>
      <c r="CJ2" s="1133"/>
      <c r="CK2" s="1133"/>
      <c r="CL2" s="1133"/>
      <c r="CM2" s="1133"/>
      <c r="CN2" s="1133"/>
      <c r="CO2" s="1133"/>
      <c r="CP2" s="1133"/>
      <c r="CQ2" s="1133"/>
      <c r="CR2" s="1133"/>
      <c r="CS2" s="1133"/>
      <c r="CT2" s="1133"/>
      <c r="CU2" s="1133"/>
    </row>
    <row r="3" spans="1:99" ht="4.5" customHeight="1">
      <c r="BJ3" s="416"/>
    </row>
    <row r="4" spans="1:99">
      <c r="A4" s="1129" t="s">
        <v>296</v>
      </c>
      <c r="B4" s="417" t="str">
        <f>TEXT(B42, "d mmm")</f>
        <v>3 ก.พ.</v>
      </c>
      <c r="C4" s="417" t="str">
        <f t="shared" ref="C4:BN4" si="0">TEXT(C42, "d mmm")</f>
        <v>4 ก.พ.</v>
      </c>
      <c r="D4" s="417" t="str">
        <f t="shared" si="0"/>
        <v>5 ก.พ.</v>
      </c>
      <c r="E4" s="417" t="str">
        <f t="shared" si="0"/>
        <v>6 ก.พ.</v>
      </c>
      <c r="F4" s="706" t="str">
        <f t="shared" si="0"/>
        <v>7 ก.พ.</v>
      </c>
      <c r="G4" s="706" t="str">
        <f t="shared" si="0"/>
        <v>8 ก.พ.</v>
      </c>
      <c r="H4" s="417" t="str">
        <f t="shared" si="0"/>
        <v>9 ก.พ.</v>
      </c>
      <c r="I4" s="417" t="str">
        <f t="shared" si="0"/>
        <v>10 ก.พ.</v>
      </c>
      <c r="J4" s="417" t="str">
        <f t="shared" si="0"/>
        <v>11 ก.พ.</v>
      </c>
      <c r="K4" s="417" t="str">
        <f t="shared" si="0"/>
        <v>12 ก.พ.</v>
      </c>
      <c r="L4" s="417" t="str">
        <f t="shared" si="0"/>
        <v>13 ก.พ.</v>
      </c>
      <c r="M4" s="706" t="str">
        <f t="shared" si="0"/>
        <v>14 ก.พ.</v>
      </c>
      <c r="N4" s="706" t="str">
        <f t="shared" si="0"/>
        <v>15 ก.พ.</v>
      </c>
      <c r="O4" s="417" t="str">
        <f t="shared" si="0"/>
        <v>16 ก.พ.</v>
      </c>
      <c r="P4" s="417" t="str">
        <f t="shared" si="0"/>
        <v>17 ก.พ.</v>
      </c>
      <c r="Q4" s="417" t="str">
        <f t="shared" si="0"/>
        <v>18 ก.พ.</v>
      </c>
      <c r="R4" s="417" t="str">
        <f t="shared" si="0"/>
        <v>19 ก.พ.</v>
      </c>
      <c r="S4" s="417" t="str">
        <f t="shared" si="0"/>
        <v>20 ก.พ.</v>
      </c>
      <c r="T4" s="706" t="str">
        <f t="shared" si="0"/>
        <v>21 ก.พ.</v>
      </c>
      <c r="U4" s="706" t="str">
        <f t="shared" si="0"/>
        <v>22 ก.พ.</v>
      </c>
      <c r="V4" s="417" t="str">
        <f t="shared" si="0"/>
        <v>23 ก.พ.</v>
      </c>
      <c r="W4" s="417" t="str">
        <f t="shared" si="0"/>
        <v>24 ก.พ.</v>
      </c>
      <c r="X4" s="417" t="str">
        <f t="shared" si="0"/>
        <v>25 ก.พ.</v>
      </c>
      <c r="Y4" s="417" t="str">
        <f t="shared" si="0"/>
        <v>26 ก.พ.</v>
      </c>
      <c r="Z4" s="417" t="str">
        <f t="shared" si="0"/>
        <v>27 ก.พ.</v>
      </c>
      <c r="AA4" s="706" t="str">
        <f t="shared" si="0"/>
        <v>28 ก.พ.</v>
      </c>
      <c r="AB4" s="706" t="str">
        <f t="shared" si="0"/>
        <v>1 มี.ค.</v>
      </c>
      <c r="AC4" s="417" t="str">
        <f t="shared" si="0"/>
        <v>2 มี.ค.</v>
      </c>
      <c r="AD4" s="417" t="str">
        <f t="shared" si="0"/>
        <v>3 มี.ค.</v>
      </c>
      <c r="AE4" s="417" t="str">
        <f t="shared" si="0"/>
        <v>4 มี.ค.</v>
      </c>
      <c r="AF4" s="417" t="str">
        <f t="shared" si="0"/>
        <v>5 มี.ค.</v>
      </c>
      <c r="AG4" s="417" t="str">
        <f t="shared" si="0"/>
        <v>6 มี.ค.</v>
      </c>
      <c r="AH4" s="706" t="str">
        <f t="shared" si="0"/>
        <v>7 มี.ค.</v>
      </c>
      <c r="AI4" s="706" t="str">
        <f t="shared" si="0"/>
        <v>8 มี.ค.</v>
      </c>
      <c r="AJ4" s="417" t="str">
        <f t="shared" si="0"/>
        <v>9 มี.ค.</v>
      </c>
      <c r="AK4" s="417" t="str">
        <f t="shared" si="0"/>
        <v>10 มี.ค.</v>
      </c>
      <c r="AL4" s="417" t="str">
        <f t="shared" si="0"/>
        <v>11 มี.ค.</v>
      </c>
      <c r="AM4" s="417" t="str">
        <f t="shared" si="0"/>
        <v>12 มี.ค.</v>
      </c>
      <c r="AN4" s="417" t="str">
        <f t="shared" si="0"/>
        <v>13 มี.ค.</v>
      </c>
      <c r="AO4" s="706" t="str">
        <f t="shared" si="0"/>
        <v>14 มี.ค.</v>
      </c>
      <c r="AP4" s="706" t="str">
        <f t="shared" si="0"/>
        <v>15 มี.ค.</v>
      </c>
      <c r="AQ4" s="417" t="str">
        <f t="shared" si="0"/>
        <v>16 มี.ค.</v>
      </c>
      <c r="AR4" s="417" t="str">
        <f t="shared" si="0"/>
        <v>17 มี.ค.</v>
      </c>
      <c r="AS4" s="417" t="str">
        <f t="shared" si="0"/>
        <v>18 มี.ค.</v>
      </c>
      <c r="AT4" s="417" t="str">
        <f t="shared" si="0"/>
        <v>19 มี.ค.</v>
      </c>
      <c r="AU4" s="417" t="str">
        <f t="shared" si="0"/>
        <v>20 มี.ค.</v>
      </c>
      <c r="AV4" s="706" t="str">
        <f t="shared" si="0"/>
        <v>21 มี.ค.</v>
      </c>
      <c r="AW4" s="706" t="str">
        <f t="shared" si="0"/>
        <v>22 มี.ค.</v>
      </c>
      <c r="AX4" s="417" t="str">
        <f t="shared" si="0"/>
        <v>23 มี.ค.</v>
      </c>
      <c r="AY4" s="417" t="str">
        <f t="shared" si="0"/>
        <v>24 มี.ค.</v>
      </c>
      <c r="AZ4" s="417" t="str">
        <f t="shared" si="0"/>
        <v>25 มี.ค.</v>
      </c>
      <c r="BA4" s="417" t="str">
        <f t="shared" si="0"/>
        <v>26 มี.ค.</v>
      </c>
      <c r="BB4" s="417" t="str">
        <f t="shared" si="0"/>
        <v>27 มี.ค.</v>
      </c>
      <c r="BC4" s="706" t="str">
        <f t="shared" si="0"/>
        <v>28 มี.ค.</v>
      </c>
      <c r="BD4" s="706" t="str">
        <f t="shared" si="0"/>
        <v>29 มี.ค.</v>
      </c>
      <c r="BE4" s="417" t="str">
        <f t="shared" si="0"/>
        <v>30 มี.ค.</v>
      </c>
      <c r="BF4" s="417" t="str">
        <f t="shared" si="0"/>
        <v>31 มี.ค.</v>
      </c>
      <c r="BG4" s="417" t="str">
        <f t="shared" si="0"/>
        <v>1 เม.ย.</v>
      </c>
      <c r="BH4" s="417" t="str">
        <f t="shared" si="0"/>
        <v>2 เม.ย.</v>
      </c>
      <c r="BI4" s="417" t="str">
        <f t="shared" si="0"/>
        <v>3 เม.ย.</v>
      </c>
      <c r="BJ4" s="706" t="str">
        <f>TEXT(BJ42, "d mmm")</f>
        <v>4 เม.ย.</v>
      </c>
      <c r="BK4" s="706" t="str">
        <f t="shared" si="0"/>
        <v>5 เม.ย.</v>
      </c>
      <c r="BL4" s="417" t="str">
        <f t="shared" si="0"/>
        <v>6 เม.ย.</v>
      </c>
      <c r="BM4" s="417" t="str">
        <f t="shared" si="0"/>
        <v>7 เม.ย.</v>
      </c>
      <c r="BN4" s="417" t="str">
        <f t="shared" si="0"/>
        <v>8 เม.ย.</v>
      </c>
      <c r="BO4" s="417" t="str">
        <f t="shared" ref="BO4:CT4" si="1">TEXT(BO42, "d mmm")</f>
        <v>9 เม.ย.</v>
      </c>
      <c r="BP4" s="417" t="str">
        <f t="shared" si="1"/>
        <v>10 เม.ย.</v>
      </c>
      <c r="BQ4" s="706" t="str">
        <f t="shared" si="1"/>
        <v>11 เม.ย.</v>
      </c>
      <c r="BR4" s="706" t="str">
        <f t="shared" si="1"/>
        <v>12 เม.ย.</v>
      </c>
      <c r="BS4" s="417" t="str">
        <f t="shared" si="1"/>
        <v>13 เม.ย.</v>
      </c>
      <c r="BT4" s="417" t="str">
        <f t="shared" si="1"/>
        <v>14 เม.ย.</v>
      </c>
      <c r="BU4" s="417" t="str">
        <f t="shared" si="1"/>
        <v>15 เม.ย.</v>
      </c>
      <c r="BV4" s="417" t="str">
        <f t="shared" si="1"/>
        <v>16 เม.ย.</v>
      </c>
      <c r="BW4" s="417" t="str">
        <f t="shared" si="1"/>
        <v>17 เม.ย.</v>
      </c>
      <c r="BX4" s="706" t="str">
        <f t="shared" si="1"/>
        <v>18 เม.ย.</v>
      </c>
      <c r="BY4" s="706" t="str">
        <f t="shared" si="1"/>
        <v>19 เม.ย.</v>
      </c>
      <c r="BZ4" s="417" t="str">
        <f t="shared" si="1"/>
        <v>20 เม.ย.</v>
      </c>
      <c r="CA4" s="417" t="str">
        <f t="shared" si="1"/>
        <v>21 เม.ย.</v>
      </c>
      <c r="CB4" s="417" t="str">
        <f t="shared" si="1"/>
        <v>22 เม.ย.</v>
      </c>
      <c r="CC4" s="417" t="str">
        <f t="shared" si="1"/>
        <v>23 เม.ย.</v>
      </c>
      <c r="CD4" s="417" t="str">
        <f t="shared" si="1"/>
        <v>24 เม.ย.</v>
      </c>
      <c r="CE4" s="706" t="str">
        <f t="shared" si="1"/>
        <v>25 เม.ย.</v>
      </c>
      <c r="CF4" s="706" t="str">
        <f t="shared" si="1"/>
        <v>26 เม.ย.</v>
      </c>
      <c r="CG4" s="417" t="str">
        <f t="shared" si="1"/>
        <v>27 เม.ย.</v>
      </c>
      <c r="CH4" s="417" t="str">
        <f t="shared" si="1"/>
        <v>28 เม.ย.</v>
      </c>
      <c r="CI4" s="417" t="str">
        <f t="shared" si="1"/>
        <v>29 เม.ย.</v>
      </c>
      <c r="CJ4" s="417" t="str">
        <f t="shared" si="1"/>
        <v>30 เม.ย.</v>
      </c>
      <c r="CK4" s="417" t="str">
        <f t="shared" si="1"/>
        <v>1 พ.ค.</v>
      </c>
      <c r="CL4" s="706" t="str">
        <f t="shared" si="1"/>
        <v>2 พ.ค.</v>
      </c>
      <c r="CM4" s="706" t="str">
        <f t="shared" si="1"/>
        <v>3 พ.ค.</v>
      </c>
      <c r="CN4" s="417" t="str">
        <f t="shared" si="1"/>
        <v>4 พ.ค.</v>
      </c>
      <c r="CO4" s="417" t="str">
        <f t="shared" si="1"/>
        <v>5 พ.ค.</v>
      </c>
      <c r="CP4" s="417" t="str">
        <f t="shared" si="1"/>
        <v>6 พ.ค.</v>
      </c>
      <c r="CQ4" s="417" t="str">
        <f t="shared" si="1"/>
        <v>7 พ.ค.</v>
      </c>
      <c r="CR4" s="417" t="str">
        <f t="shared" si="1"/>
        <v>8 พ.ค.</v>
      </c>
      <c r="CS4" s="706" t="str">
        <f t="shared" si="1"/>
        <v>9 พ.ค.</v>
      </c>
      <c r="CT4" s="706" t="str">
        <f t="shared" si="1"/>
        <v>10 พ.ค.</v>
      </c>
      <c r="CU4" s="1129" t="s">
        <v>311</v>
      </c>
    </row>
    <row r="5" spans="1:99" ht="18" customHeight="1">
      <c r="A5" s="1129"/>
      <c r="B5" s="704" t="str">
        <f>TEXT(B42, "ddd")</f>
        <v>อ.</v>
      </c>
      <c r="C5" s="704" t="str">
        <f t="shared" ref="C5:BN5" si="2">TEXT(C42, "ddd")</f>
        <v>พ.</v>
      </c>
      <c r="D5" s="704" t="str">
        <f t="shared" si="2"/>
        <v>พฤ.</v>
      </c>
      <c r="E5" s="704" t="str">
        <f t="shared" si="2"/>
        <v>ศ.</v>
      </c>
      <c r="F5" s="705" t="str">
        <f t="shared" si="2"/>
        <v>ส.</v>
      </c>
      <c r="G5" s="705" t="str">
        <f t="shared" si="2"/>
        <v>อา.</v>
      </c>
      <c r="H5" s="704" t="str">
        <f t="shared" si="2"/>
        <v>จ.</v>
      </c>
      <c r="I5" s="704" t="str">
        <f t="shared" si="2"/>
        <v>อ.</v>
      </c>
      <c r="J5" s="704" t="str">
        <f t="shared" si="2"/>
        <v>พ.</v>
      </c>
      <c r="K5" s="704" t="str">
        <f t="shared" si="2"/>
        <v>พฤ.</v>
      </c>
      <c r="L5" s="704" t="str">
        <f t="shared" si="2"/>
        <v>ศ.</v>
      </c>
      <c r="M5" s="705" t="str">
        <f t="shared" si="2"/>
        <v>ส.</v>
      </c>
      <c r="N5" s="705" t="str">
        <f t="shared" si="2"/>
        <v>อา.</v>
      </c>
      <c r="O5" s="704" t="str">
        <f t="shared" si="2"/>
        <v>จ.</v>
      </c>
      <c r="P5" s="704" t="str">
        <f t="shared" si="2"/>
        <v>อ.</v>
      </c>
      <c r="Q5" s="704" t="str">
        <f t="shared" si="2"/>
        <v>พ.</v>
      </c>
      <c r="R5" s="704" t="str">
        <f t="shared" si="2"/>
        <v>พฤ.</v>
      </c>
      <c r="S5" s="704" t="str">
        <f t="shared" si="2"/>
        <v>ศ.</v>
      </c>
      <c r="T5" s="705" t="str">
        <f t="shared" si="2"/>
        <v>ส.</v>
      </c>
      <c r="U5" s="705" t="str">
        <f t="shared" si="2"/>
        <v>อา.</v>
      </c>
      <c r="V5" s="704" t="str">
        <f t="shared" si="2"/>
        <v>จ.</v>
      </c>
      <c r="W5" s="704" t="str">
        <f t="shared" si="2"/>
        <v>อ.</v>
      </c>
      <c r="X5" s="704" t="str">
        <f t="shared" si="2"/>
        <v>พ.</v>
      </c>
      <c r="Y5" s="704" t="str">
        <f t="shared" si="2"/>
        <v>พฤ.</v>
      </c>
      <c r="Z5" s="704" t="str">
        <f t="shared" si="2"/>
        <v>ศ.</v>
      </c>
      <c r="AA5" s="705" t="str">
        <f t="shared" si="2"/>
        <v>ส.</v>
      </c>
      <c r="AB5" s="705" t="str">
        <f t="shared" si="2"/>
        <v>อา.</v>
      </c>
      <c r="AC5" s="704" t="str">
        <f t="shared" si="2"/>
        <v>จ.</v>
      </c>
      <c r="AD5" s="704" t="str">
        <f t="shared" si="2"/>
        <v>อ.</v>
      </c>
      <c r="AE5" s="704" t="str">
        <f t="shared" si="2"/>
        <v>พ.</v>
      </c>
      <c r="AF5" s="704" t="str">
        <f t="shared" si="2"/>
        <v>พฤ.</v>
      </c>
      <c r="AG5" s="704" t="str">
        <f t="shared" si="2"/>
        <v>ศ.</v>
      </c>
      <c r="AH5" s="705" t="str">
        <f t="shared" si="2"/>
        <v>ส.</v>
      </c>
      <c r="AI5" s="705" t="str">
        <f t="shared" si="2"/>
        <v>อา.</v>
      </c>
      <c r="AJ5" s="704" t="str">
        <f t="shared" si="2"/>
        <v>จ.</v>
      </c>
      <c r="AK5" s="704" t="str">
        <f t="shared" si="2"/>
        <v>อ.</v>
      </c>
      <c r="AL5" s="704" t="str">
        <f t="shared" si="2"/>
        <v>พ.</v>
      </c>
      <c r="AM5" s="704" t="str">
        <f t="shared" si="2"/>
        <v>พฤ.</v>
      </c>
      <c r="AN5" s="704" t="str">
        <f t="shared" si="2"/>
        <v>ศ.</v>
      </c>
      <c r="AO5" s="705" t="str">
        <f t="shared" si="2"/>
        <v>ส.</v>
      </c>
      <c r="AP5" s="705" t="str">
        <f t="shared" si="2"/>
        <v>อา.</v>
      </c>
      <c r="AQ5" s="704" t="str">
        <f t="shared" si="2"/>
        <v>จ.</v>
      </c>
      <c r="AR5" s="704" t="str">
        <f t="shared" si="2"/>
        <v>อ.</v>
      </c>
      <c r="AS5" s="704" t="str">
        <f t="shared" si="2"/>
        <v>พ.</v>
      </c>
      <c r="AT5" s="704" t="str">
        <f t="shared" si="2"/>
        <v>พฤ.</v>
      </c>
      <c r="AU5" s="704" t="str">
        <f t="shared" si="2"/>
        <v>ศ.</v>
      </c>
      <c r="AV5" s="705" t="str">
        <f t="shared" si="2"/>
        <v>ส.</v>
      </c>
      <c r="AW5" s="705" t="str">
        <f t="shared" si="2"/>
        <v>อา.</v>
      </c>
      <c r="AX5" s="704" t="str">
        <f t="shared" si="2"/>
        <v>จ.</v>
      </c>
      <c r="AY5" s="704" t="str">
        <f t="shared" si="2"/>
        <v>อ.</v>
      </c>
      <c r="AZ5" s="704" t="str">
        <f t="shared" si="2"/>
        <v>พ.</v>
      </c>
      <c r="BA5" s="704" t="str">
        <f t="shared" si="2"/>
        <v>พฤ.</v>
      </c>
      <c r="BB5" s="704" t="str">
        <f t="shared" si="2"/>
        <v>ศ.</v>
      </c>
      <c r="BC5" s="705" t="str">
        <f t="shared" si="2"/>
        <v>ส.</v>
      </c>
      <c r="BD5" s="705" t="str">
        <f t="shared" si="2"/>
        <v>อา.</v>
      </c>
      <c r="BE5" s="704" t="str">
        <f t="shared" si="2"/>
        <v>จ.</v>
      </c>
      <c r="BF5" s="704" t="str">
        <f t="shared" si="2"/>
        <v>อ.</v>
      </c>
      <c r="BG5" s="704" t="str">
        <f t="shared" si="2"/>
        <v>พ.</v>
      </c>
      <c r="BH5" s="704" t="str">
        <f t="shared" si="2"/>
        <v>พฤ.</v>
      </c>
      <c r="BI5" s="704" t="str">
        <f t="shared" si="2"/>
        <v>ศ.</v>
      </c>
      <c r="BJ5" s="705" t="str">
        <f t="shared" si="2"/>
        <v>ส.</v>
      </c>
      <c r="BK5" s="705" t="str">
        <f t="shared" si="2"/>
        <v>อา.</v>
      </c>
      <c r="BL5" s="704" t="str">
        <f t="shared" si="2"/>
        <v>จ.</v>
      </c>
      <c r="BM5" s="704" t="str">
        <f t="shared" si="2"/>
        <v>อ.</v>
      </c>
      <c r="BN5" s="704" t="str">
        <f t="shared" si="2"/>
        <v>พ.</v>
      </c>
      <c r="BO5" s="704" t="str">
        <f t="shared" ref="BO5:CT5" si="3">TEXT(BO42, "ddd")</f>
        <v>พฤ.</v>
      </c>
      <c r="BP5" s="704" t="str">
        <f t="shared" si="3"/>
        <v>ศ.</v>
      </c>
      <c r="BQ5" s="705" t="str">
        <f t="shared" si="3"/>
        <v>ส.</v>
      </c>
      <c r="BR5" s="705" t="str">
        <f t="shared" si="3"/>
        <v>อา.</v>
      </c>
      <c r="BS5" s="704" t="str">
        <f t="shared" si="3"/>
        <v>จ.</v>
      </c>
      <c r="BT5" s="704" t="str">
        <f t="shared" si="3"/>
        <v>อ.</v>
      </c>
      <c r="BU5" s="704" t="str">
        <f t="shared" si="3"/>
        <v>พ.</v>
      </c>
      <c r="BV5" s="704" t="str">
        <f t="shared" si="3"/>
        <v>พฤ.</v>
      </c>
      <c r="BW5" s="704" t="str">
        <f t="shared" si="3"/>
        <v>ศ.</v>
      </c>
      <c r="BX5" s="705" t="str">
        <f t="shared" si="3"/>
        <v>ส.</v>
      </c>
      <c r="BY5" s="705" t="str">
        <f t="shared" si="3"/>
        <v>อา.</v>
      </c>
      <c r="BZ5" s="704" t="str">
        <f t="shared" si="3"/>
        <v>จ.</v>
      </c>
      <c r="CA5" s="704" t="str">
        <f t="shared" si="3"/>
        <v>อ.</v>
      </c>
      <c r="CB5" s="704" t="str">
        <f t="shared" si="3"/>
        <v>พ.</v>
      </c>
      <c r="CC5" s="704" t="str">
        <f t="shared" si="3"/>
        <v>พฤ.</v>
      </c>
      <c r="CD5" s="704" t="str">
        <f t="shared" si="3"/>
        <v>ศ.</v>
      </c>
      <c r="CE5" s="705" t="str">
        <f t="shared" si="3"/>
        <v>ส.</v>
      </c>
      <c r="CF5" s="705" t="str">
        <f t="shared" si="3"/>
        <v>อา.</v>
      </c>
      <c r="CG5" s="704" t="str">
        <f t="shared" si="3"/>
        <v>จ.</v>
      </c>
      <c r="CH5" s="704" t="str">
        <f t="shared" si="3"/>
        <v>อ.</v>
      </c>
      <c r="CI5" s="704" t="str">
        <f t="shared" si="3"/>
        <v>พ.</v>
      </c>
      <c r="CJ5" s="704" t="str">
        <f t="shared" si="3"/>
        <v>พฤ.</v>
      </c>
      <c r="CK5" s="704" t="str">
        <f t="shared" si="3"/>
        <v>ศ.</v>
      </c>
      <c r="CL5" s="705" t="str">
        <f t="shared" si="3"/>
        <v>ส.</v>
      </c>
      <c r="CM5" s="705" t="str">
        <f t="shared" si="3"/>
        <v>อา.</v>
      </c>
      <c r="CN5" s="704" t="str">
        <f t="shared" si="3"/>
        <v>จ.</v>
      </c>
      <c r="CO5" s="704" t="str">
        <f t="shared" si="3"/>
        <v>อ.</v>
      </c>
      <c r="CP5" s="704" t="str">
        <f t="shared" si="3"/>
        <v>พ.</v>
      </c>
      <c r="CQ5" s="704" t="str">
        <f t="shared" si="3"/>
        <v>พฤ.</v>
      </c>
      <c r="CR5" s="704" t="str">
        <f t="shared" si="3"/>
        <v>ศ.</v>
      </c>
      <c r="CS5" s="705" t="str">
        <f t="shared" si="3"/>
        <v>ส.</v>
      </c>
      <c r="CT5" s="705" t="str">
        <f t="shared" si="3"/>
        <v>อา.</v>
      </c>
      <c r="CU5" s="1129"/>
    </row>
    <row r="6" spans="1:99" ht="21.75" customHeight="1">
      <c r="A6" s="1134" t="s">
        <v>312</v>
      </c>
      <c r="B6" s="1135"/>
      <c r="C6" s="1135"/>
      <c r="D6" s="1135"/>
      <c r="E6" s="1135"/>
      <c r="F6" s="1135"/>
      <c r="G6" s="1135"/>
      <c r="H6" s="1135"/>
      <c r="I6" s="1135"/>
      <c r="J6" s="1135"/>
      <c r="K6" s="1135"/>
      <c r="L6" s="1135"/>
      <c r="M6" s="1135"/>
      <c r="N6" s="1135"/>
      <c r="O6" s="1135"/>
      <c r="P6" s="1135"/>
      <c r="Q6" s="1135"/>
      <c r="R6" s="1135"/>
      <c r="S6" s="1135"/>
      <c r="T6" s="1135"/>
      <c r="U6" s="1135"/>
      <c r="V6" s="1135"/>
      <c r="W6" s="1135"/>
      <c r="X6" s="1135"/>
      <c r="Y6" s="1135"/>
      <c r="Z6" s="1135"/>
      <c r="AA6" s="1135"/>
      <c r="AB6" s="1135"/>
      <c r="AC6" s="1135"/>
      <c r="AD6" s="1135"/>
      <c r="AE6" s="1135"/>
      <c r="AF6" s="1135"/>
      <c r="AG6" s="1135"/>
      <c r="AH6" s="1135"/>
      <c r="AI6" s="1135"/>
      <c r="AJ6" s="1135"/>
      <c r="AK6" s="1135"/>
      <c r="AL6" s="1135"/>
      <c r="AM6" s="1135"/>
      <c r="AN6" s="1135"/>
      <c r="AO6" s="1135"/>
      <c r="AP6" s="1135"/>
      <c r="AQ6" s="1135"/>
      <c r="AR6" s="1135"/>
      <c r="AS6" s="1135"/>
      <c r="AT6" s="1135"/>
      <c r="AU6" s="1135"/>
      <c r="AV6" s="1135"/>
      <c r="AW6" s="1135"/>
      <c r="AX6" s="1135"/>
      <c r="AY6" s="1135"/>
      <c r="AZ6" s="1135"/>
      <c r="BA6" s="1135"/>
      <c r="BB6" s="1135"/>
      <c r="BC6" s="1135"/>
      <c r="BD6" s="1135"/>
      <c r="BE6" s="1135"/>
      <c r="BF6" s="1135"/>
      <c r="BG6" s="1135"/>
      <c r="BH6" s="1135"/>
      <c r="BI6" s="1135"/>
      <c r="BJ6" s="1135"/>
      <c r="BK6" s="1135"/>
      <c r="BL6" s="1135"/>
      <c r="BM6" s="1135"/>
      <c r="BN6" s="1135"/>
      <c r="BO6" s="1135"/>
      <c r="BP6" s="1135"/>
      <c r="BQ6" s="1135"/>
      <c r="BR6" s="1135"/>
      <c r="BS6" s="1135"/>
      <c r="BT6" s="1135"/>
      <c r="BU6" s="1135"/>
      <c r="BV6" s="1135"/>
      <c r="BW6" s="1135"/>
      <c r="BX6" s="1135"/>
      <c r="BY6" s="1135"/>
      <c r="BZ6" s="1135"/>
      <c r="CA6" s="1135"/>
      <c r="CB6" s="1135"/>
      <c r="CC6" s="1135"/>
      <c r="CD6" s="1135"/>
      <c r="CE6" s="1135"/>
      <c r="CF6" s="1135"/>
      <c r="CG6" s="1135"/>
      <c r="CH6" s="1135"/>
      <c r="CI6" s="1135"/>
      <c r="CJ6" s="1135"/>
      <c r="CK6" s="1135"/>
      <c r="CL6" s="1135"/>
      <c r="CM6" s="1135"/>
      <c r="CN6" s="1135"/>
      <c r="CO6" s="1135"/>
      <c r="CP6" s="1135"/>
      <c r="CQ6" s="1135"/>
      <c r="CR6" s="1135"/>
      <c r="CS6" s="1135"/>
      <c r="CT6" s="1135"/>
      <c r="CU6" s="1135"/>
    </row>
    <row r="7" spans="1:99" ht="19.5" customHeight="1">
      <c r="A7" s="418" t="s">
        <v>313</v>
      </c>
      <c r="B7" s="499" cm="1">
        <f t="array" ref="B7">SUMPRODUCT((HQ!$T$3:$T$89=B42)*(ISNUMBER(HQ!$G$3:$G$89))*(HQ!$G$3:$G$89))</f>
        <v>34</v>
      </c>
      <c r="C7" s="499" cm="1">
        <f t="array" ref="C7">SUMPRODUCT((HQ!$T$3:$T$89=C42)*(ISNUMBER(HQ!$G$3:$G$89))*(HQ!$G$3:$G$89))</f>
        <v>0</v>
      </c>
      <c r="D7" s="499" cm="1">
        <f t="array" ref="D7">SUMPRODUCT((HQ!$T$3:$T$89=D42)*(ISNUMBER(HQ!$G$3:$G$89))*(HQ!$G$3:$G$89))</f>
        <v>0</v>
      </c>
      <c r="E7" s="499" cm="1">
        <f t="array" ref="E7">SUMPRODUCT((HQ!$T$3:$T$89=E42)*(ISNUMBER(HQ!$G$3:$G$89))*(HQ!$G$3:$G$89))</f>
        <v>0</v>
      </c>
      <c r="F7" s="499" cm="1">
        <f t="array" ref="F7">SUMPRODUCT((HQ!$T$3:$T$89=F42)*(ISNUMBER(HQ!$G$3:$G$89))*(HQ!$G$3:$G$89))</f>
        <v>0</v>
      </c>
      <c r="G7" s="499" cm="1">
        <f t="array" ref="G7">SUMPRODUCT((HQ!$T$3:$T$89=G42)*(ISNUMBER(HQ!$G$3:$G$89))*(HQ!$G$3:$G$89))</f>
        <v>0</v>
      </c>
      <c r="H7" s="499" cm="1">
        <f t="array" ref="H7">SUMPRODUCT((HQ!$T$3:$T$89=H42)*(ISNUMBER(HQ!$G$3:$G$89))*(HQ!$G$3:$G$89))</f>
        <v>0</v>
      </c>
      <c r="I7" s="499" cm="1">
        <f t="array" ref="I7">SUMPRODUCT((HQ!$T$3:$T$89=I42)*(ISNUMBER(HQ!$G$3:$G$89))*(HQ!$G$3:$G$89))</f>
        <v>0</v>
      </c>
      <c r="J7" s="499" cm="1">
        <f t="array" ref="J7">SUMPRODUCT((HQ!$T$3:$T$89=J42)*(ISNUMBER(HQ!$G$3:$G$89))*(HQ!$G$3:$G$89))</f>
        <v>10</v>
      </c>
      <c r="K7" s="499" cm="1">
        <f t="array" ref="K7">SUMPRODUCT((HQ!$T$3:$T$89=K42)*(ISNUMBER(HQ!$G$3:$G$89))*(HQ!$G$3:$G$89))</f>
        <v>0</v>
      </c>
      <c r="L7" s="499" cm="1">
        <f t="array" ref="L7">SUMPRODUCT((HQ!$T$3:$T$89=L42)*(ISNUMBER(HQ!$G$3:$G$89))*(HQ!$G$3:$G$89))</f>
        <v>0</v>
      </c>
      <c r="M7" s="499" cm="1">
        <f t="array" ref="M7">SUMPRODUCT((HQ!$T$3:$T$89=M42)*(ISNUMBER(HQ!$G$3:$G$89))*(HQ!$G$3:$G$89))</f>
        <v>0</v>
      </c>
      <c r="N7" s="499" cm="1">
        <f t="array" ref="N7">SUMPRODUCT((HQ!$T$3:$T$89=N42)*(ISNUMBER(HQ!$G$3:$G$89))*(HQ!$G$3:$G$89))</f>
        <v>0</v>
      </c>
      <c r="O7" s="499" cm="1">
        <f t="array" ref="O7">SUMPRODUCT((HQ!$T$3:$T$89=O42)*(ISNUMBER(HQ!$G$3:$G$89))*(HQ!$G$3:$G$89))</f>
        <v>0</v>
      </c>
      <c r="P7" s="499" cm="1">
        <f t="array" ref="P7">SUMPRODUCT((HQ!$T$3:$T$89=P42)*(ISNUMBER(HQ!$G$3:$G$89))*(HQ!$G$3:$G$89))</f>
        <v>0</v>
      </c>
      <c r="Q7" s="499" cm="1">
        <f t="array" ref="Q7">SUMPRODUCT((HQ!$T$3:$T$89=Q42)*(ISNUMBER(HQ!$G$3:$G$89))*(HQ!$G$3:$G$89))</f>
        <v>5</v>
      </c>
      <c r="R7" s="499" cm="1">
        <f t="array" ref="R7">SUMPRODUCT((HQ!$T$3:$T$89=R42)*(ISNUMBER(HQ!$G$3:$G$89))*(HQ!$G$3:$G$89))</f>
        <v>0</v>
      </c>
      <c r="S7" s="499" cm="1">
        <f t="array" ref="S7">SUMPRODUCT((HQ!$T$3:$T$89=S42)*(ISNUMBER(HQ!$G$3:$G$89))*(HQ!$G$3:$G$89))</f>
        <v>4</v>
      </c>
      <c r="T7" s="499" cm="1">
        <f t="array" ref="T7">SUMPRODUCT((HQ!$T$3:$T$89=T42)*(ISNUMBER(HQ!$G$3:$G$89))*(HQ!$G$3:$G$89))</f>
        <v>0</v>
      </c>
      <c r="U7" s="499" cm="1">
        <f t="array" ref="U7">SUMPRODUCT((HQ!$T$3:$T$89=U42)*(ISNUMBER(HQ!$G$3:$G$89))*(HQ!$G$3:$G$89))</f>
        <v>0</v>
      </c>
      <c r="V7" s="499" cm="1">
        <f t="array" ref="V7">SUMPRODUCT((HQ!$T$3:$T$89=V42)*(ISNUMBER(HQ!$G$3:$G$89))*(HQ!$G$3:$G$89))</f>
        <v>15</v>
      </c>
      <c r="W7" s="499" cm="1">
        <f t="array" ref="W7">SUMPRODUCT((HQ!$T$3:$T$89=W42)*(ISNUMBER(HQ!$G$3:$G$89))*(HQ!$G$3:$G$89))</f>
        <v>0</v>
      </c>
      <c r="X7" s="499" cm="1">
        <f t="array" ref="X7">SUMPRODUCT((HQ!$T$3:$T$89=X42)*(ISNUMBER(HQ!$G$3:$G$89))*(HQ!$G$3:$G$89))</f>
        <v>20</v>
      </c>
      <c r="Y7" s="499" cm="1">
        <f t="array" ref="Y7">SUMPRODUCT((HQ!$T$3:$T$89=Y42)*(ISNUMBER(HQ!$G$3:$G$89))*(HQ!$G$3:$G$89))</f>
        <v>0</v>
      </c>
      <c r="Z7" s="499" cm="1">
        <f t="array" ref="Z7">SUMPRODUCT((HQ!$T$3:$T$89=Z42)*(ISNUMBER(HQ!$G$3:$G$89))*(HQ!$G$3:$G$89))</f>
        <v>17</v>
      </c>
      <c r="AA7" s="499" cm="1">
        <f t="array" ref="AA7">SUMPRODUCT((HQ!$T$3:$T$89=AA42)*(ISNUMBER(HQ!$G$3:$G$89))*(HQ!$G$3:$G$89))</f>
        <v>0</v>
      </c>
      <c r="AB7" s="499" cm="1">
        <f t="array" ref="AB7">SUMPRODUCT((HQ!$T$3:$T$89=AB42)*(ISNUMBER(HQ!$G$3:$G$89))*(HQ!$G$3:$G$89))</f>
        <v>0</v>
      </c>
      <c r="AC7" s="499" cm="1">
        <f t="array" ref="AC7">SUMPRODUCT((HQ!$T$3:$T$89=AC42)*(ISNUMBER(HQ!$G$3:$G$89))*(HQ!$G$3:$G$89))</f>
        <v>14</v>
      </c>
      <c r="AD7" s="499" cm="1">
        <f t="array" ref="AD7">SUMPRODUCT((HQ!$T$3:$T$89=AD42)*(ISNUMBER(HQ!$G$3:$G$89))*(HQ!$G$3:$G$89))</f>
        <v>0</v>
      </c>
      <c r="AE7" s="499" cm="1">
        <f t="array" ref="AE7">SUMPRODUCT((HQ!$T$3:$T$89=AE42)*(ISNUMBER(HQ!$G$3:$G$89))*(HQ!$G$3:$G$89))</f>
        <v>0</v>
      </c>
      <c r="AF7" s="499" cm="1">
        <f t="array" ref="AF7">SUMPRODUCT((HQ!$T$3:$T$89=AF42)*(ISNUMBER(HQ!$G$3:$G$89))*(HQ!$G$3:$G$89))</f>
        <v>0</v>
      </c>
      <c r="AG7" s="499" cm="1">
        <f t="array" ref="AG7">SUMPRODUCT((HQ!$T$3:$T$89=AG42)*(ISNUMBER(HQ!$G$3:$G$89))*(HQ!$G$3:$G$89))</f>
        <v>0</v>
      </c>
      <c r="AH7" s="499" cm="1">
        <f t="array" ref="AH7">SUMPRODUCT((HQ!$T$3:$T$89=AH42)*(ISNUMBER(HQ!$G$3:$G$89))*(HQ!$G$3:$G$89))</f>
        <v>0</v>
      </c>
      <c r="AI7" s="499" cm="1">
        <f t="array" ref="AI7">SUMPRODUCT((HQ!$T$3:$T$89=AI42)*(ISNUMBER(HQ!$G$3:$G$89))*(HQ!$G$3:$G$89))</f>
        <v>0</v>
      </c>
      <c r="AJ7" s="499" cm="1">
        <f t="array" ref="AJ7">SUMPRODUCT((HQ!$T$3:$T$89=AJ42)*(ISNUMBER(HQ!$G$3:$G$89))*(HQ!$G$3:$G$89))</f>
        <v>10</v>
      </c>
      <c r="AK7" s="499" cm="1">
        <f t="array" ref="AK7">SUMPRODUCT((HQ!$T$3:$T$89=AK42)*(ISNUMBER(HQ!$G$3:$G$89))*(HQ!$G$3:$G$89))</f>
        <v>0</v>
      </c>
      <c r="AL7" s="499" cm="1">
        <f t="array" ref="AL7">SUMPRODUCT((HQ!$T$3:$T$89=AL42)*(ISNUMBER(HQ!$G$3:$G$89))*(HQ!$G$3:$G$89))</f>
        <v>8</v>
      </c>
      <c r="AM7" s="499" cm="1">
        <f t="array" ref="AM7">SUMPRODUCT((HQ!$T$3:$T$89=AM42)*(ISNUMBER(HQ!$G$3:$G$89))*(HQ!$G$3:$G$89))</f>
        <v>0</v>
      </c>
      <c r="AN7" s="499" cm="1">
        <f t="array" ref="AN7">SUMPRODUCT((HQ!$T$3:$T$89=AN42)*(ISNUMBER(HQ!$G$3:$G$89))*(HQ!$G$3:$G$89))</f>
        <v>0</v>
      </c>
      <c r="AO7" s="499" cm="1">
        <f t="array" ref="AO7">SUMPRODUCT((HQ!$T$3:$T$89=AO42)*(ISNUMBER(HQ!$G$3:$G$89))*(HQ!$G$3:$G$89))</f>
        <v>0</v>
      </c>
      <c r="AP7" s="499" cm="1">
        <f t="array" ref="AP7">SUMPRODUCT((HQ!$T$3:$T$89=AP42)*(ISNUMBER(HQ!$G$3:$G$89))*(HQ!$G$3:$G$89))</f>
        <v>0</v>
      </c>
      <c r="AQ7" s="499" cm="1">
        <f t="array" ref="AQ7">SUMPRODUCT((HQ!$T$3:$T$89=AQ42)*(ISNUMBER(HQ!$G$3:$G$89))*(HQ!$G$3:$G$89))</f>
        <v>11</v>
      </c>
      <c r="AR7" s="499" cm="1">
        <f t="array" ref="AR7">SUMPRODUCT((HQ!$T$3:$T$89=AR42)*(ISNUMBER(HQ!$G$3:$G$89))*(HQ!$G$3:$G$89))</f>
        <v>0</v>
      </c>
      <c r="AS7" s="499" cm="1">
        <f t="array" ref="AS7">SUMPRODUCT((HQ!$T$3:$T$89=AS42)*(ISNUMBER(HQ!$G$3:$G$89))*(HQ!$G$3:$G$89))</f>
        <v>0</v>
      </c>
      <c r="AT7" s="499" cm="1">
        <f t="array" ref="AT7">SUMPRODUCT((HQ!$T$3:$T$89=AT42)*(ISNUMBER(HQ!$G$3:$G$89))*(HQ!$G$3:$G$89))</f>
        <v>0</v>
      </c>
      <c r="AU7" s="499" cm="1">
        <f t="array" ref="AU7">SUMPRODUCT((HQ!$T$3:$T$89=AU42)*(ISNUMBER(HQ!$G$3:$G$89))*(HQ!$G$3:$G$89))</f>
        <v>0</v>
      </c>
      <c r="AV7" s="499" cm="1">
        <f t="array" ref="AV7">SUMPRODUCT((HQ!$T$3:$T$89=AV42)*(ISNUMBER(HQ!$G$3:$G$89))*(HQ!$G$3:$G$89))</f>
        <v>0</v>
      </c>
      <c r="AW7" s="499" cm="1">
        <f t="array" ref="AW7">SUMPRODUCT((HQ!$T$3:$T$89=AW42)*(ISNUMBER(HQ!$G$3:$G$89))*(HQ!$G$3:$G$89))</f>
        <v>0</v>
      </c>
      <c r="AX7" s="499" cm="1">
        <f t="array" ref="AX7">SUMPRODUCT((HQ!$T$3:$T$89=AX42)*(ISNUMBER(HQ!$G$3:$G$89))*(HQ!$G$3:$G$89))</f>
        <v>0</v>
      </c>
      <c r="AY7" s="499" cm="1">
        <f t="array" ref="AY7">SUMPRODUCT((HQ!$T$3:$T$89=AY42)*(ISNUMBER(HQ!$G$3:$G$89))*(HQ!$G$3:$G$89))</f>
        <v>7</v>
      </c>
      <c r="AZ7" s="499" cm="1">
        <f t="array" ref="AZ7">SUMPRODUCT((HQ!$T$3:$T$89=AZ42)*(ISNUMBER(HQ!$G$3:$G$89))*(HQ!$G$3:$G$89))</f>
        <v>2</v>
      </c>
      <c r="BA7" s="499" cm="1">
        <f t="array" ref="BA7">SUMPRODUCT((HQ!$T$3:$T$89=BA42)*(ISNUMBER(HQ!$G$3:$G$89))*(HQ!$G$3:$G$89))</f>
        <v>0</v>
      </c>
      <c r="BB7" s="499" cm="1">
        <f t="array" ref="BB7">SUMPRODUCT((HQ!$T$3:$T$89=BB42)*(ISNUMBER(HQ!$G$3:$G$89))*(HQ!$G$3:$G$89))</f>
        <v>6</v>
      </c>
      <c r="BC7" s="499" cm="1">
        <f t="array" ref="BC7">SUMPRODUCT((HQ!$T$3:$T$89=BC42)*(ISNUMBER(HQ!$G$3:$G$89))*(HQ!$G$3:$G$89))</f>
        <v>0</v>
      </c>
      <c r="BD7" s="499" cm="1">
        <f t="array" ref="BD7">SUMPRODUCT((HQ!$T$3:$T$89=BD42)*(ISNUMBER(HQ!$G$3:$G$89))*(HQ!$G$3:$G$89))</f>
        <v>0</v>
      </c>
      <c r="BE7" s="499" cm="1">
        <f t="array" ref="BE7">SUMPRODUCT((HQ!$T$3:$T$89=BE42)*(ISNUMBER(HQ!$G$3:$G$89))*(HQ!$G$3:$G$89))</f>
        <v>0</v>
      </c>
      <c r="BF7" s="499" cm="1">
        <f t="array" ref="BF7">SUMPRODUCT((HQ!$T$3:$T$89=BF42)*(ISNUMBER(HQ!$G$3:$G$89))*(HQ!$G$3:$G$89))</f>
        <v>0</v>
      </c>
      <c r="BG7" s="499" cm="1">
        <f t="array" ref="BG7">SUMPRODUCT((HQ!$T$3:$T$89=BG42)*(ISNUMBER(HQ!$G$3:$G$89))*(HQ!$G$3:$G$89))</f>
        <v>12</v>
      </c>
      <c r="BH7" s="499" cm="1">
        <f t="array" ref="BH7">SUMPRODUCT((HQ!$T$3:$T$89=BH42)*(ISNUMBER(HQ!$G$3:$G$89))*(HQ!$G$3:$G$89))</f>
        <v>0</v>
      </c>
      <c r="BI7" s="499" cm="1">
        <f t="array" ref="BI7">SUMPRODUCT((HQ!$T$3:$T$89=BI42)*(ISNUMBER(HQ!$G$3:$G$89))*(HQ!$G$3:$G$89))</f>
        <v>2</v>
      </c>
      <c r="BJ7" s="499" cm="1">
        <f t="array" ref="BJ7">SUMPRODUCT((HQ!$T$3:$T$89=BJ42)*(ISNUMBER(HQ!$G$3:$G$89))*(HQ!$G$3:$G$89))</f>
        <v>0</v>
      </c>
      <c r="BK7" s="499" cm="1">
        <f t="array" ref="BK7">SUMPRODUCT((HQ!$T$3:$T$89=BK42)*(ISNUMBER(HQ!$G$3:$G$89))*(HQ!$G$3:$G$89))</f>
        <v>0</v>
      </c>
      <c r="BL7" s="499" cm="1">
        <f t="array" ref="BL7">SUMPRODUCT((HQ!$T$3:$T$89=BL42)*(ISNUMBER(HQ!$G$3:$G$89))*(HQ!$G$3:$G$89))</f>
        <v>4</v>
      </c>
      <c r="BM7" s="499" cm="1">
        <f t="array" ref="BM7">SUMPRODUCT((HQ!$T$3:$T$89=BM42)*(ISNUMBER(HQ!$G$3:$G$89))*(HQ!$G$3:$G$89))</f>
        <v>3</v>
      </c>
      <c r="BN7" s="499" cm="1">
        <f t="array" ref="BN7">SUMPRODUCT((HQ!$T$3:$T$89=BN42)*(ISNUMBER(HQ!$G$3:$G$89))*(HQ!$G$3:$G$89))</f>
        <v>3</v>
      </c>
      <c r="BO7" s="499" cm="1">
        <f t="array" ref="BO7">SUMPRODUCT((HQ!$T$3:$T$89=BO42)*(ISNUMBER(HQ!$G$3:$G$89))*(HQ!$G$3:$G$89))</f>
        <v>0</v>
      </c>
      <c r="BP7" s="499" cm="1">
        <f t="array" ref="BP7">SUMPRODUCT((HQ!$T$3:$T$89=BP42)*(ISNUMBER(HQ!$G$3:$G$89))*(HQ!$G$3:$G$89))</f>
        <v>6</v>
      </c>
      <c r="BQ7" s="499" cm="1">
        <f t="array" ref="BQ7">SUMPRODUCT((HQ!$T$3:$T$89=BQ42)*(ISNUMBER(HQ!$G$3:$G$89))*(HQ!$G$3:$G$89))</f>
        <v>0</v>
      </c>
      <c r="BR7" s="499" cm="1">
        <f t="array" ref="BR7">SUMPRODUCT((HQ!$T$3:$T$89=BR42)*(ISNUMBER(HQ!$G$3:$G$89))*(HQ!$G$3:$G$89))</f>
        <v>0</v>
      </c>
      <c r="BS7" s="499" cm="1">
        <f t="array" ref="BS7">SUMPRODUCT((HQ!$T$3:$T$89=BS42)*(ISNUMBER(HQ!$G$3:$G$89))*(HQ!$G$3:$G$89))</f>
        <v>0</v>
      </c>
      <c r="BT7" s="499" cm="1">
        <f t="array" ref="BT7">SUMPRODUCT((HQ!$T$3:$T$89=BT42)*(ISNUMBER(HQ!$G$3:$G$89))*(HQ!$G$3:$G$89))</f>
        <v>0</v>
      </c>
      <c r="BU7" s="499" cm="1">
        <f t="array" ref="BU7">SUMPRODUCT((HQ!$T$3:$T$89=BU42)*(ISNUMBER(HQ!$G$3:$G$89))*(HQ!$G$3:$G$89))</f>
        <v>0</v>
      </c>
      <c r="BV7" s="499" cm="1">
        <f t="array" ref="BV7">SUMPRODUCT((HQ!$T$3:$T$89=BV42)*(ISNUMBER(HQ!$G$3:$G$89))*(HQ!$G$3:$G$89))</f>
        <v>0</v>
      </c>
      <c r="BW7" s="499" cm="1">
        <f t="array" ref="BW7">SUMPRODUCT((HQ!$T$3:$T$89=BW42)*(ISNUMBER(HQ!$G$3:$G$89))*(HQ!$G$3:$G$89))</f>
        <v>0</v>
      </c>
      <c r="BX7" s="499" cm="1">
        <f t="array" ref="BX7">SUMPRODUCT((HQ!$T$3:$T$89=BX42)*(ISNUMBER(HQ!$G$3:$G$89))*(HQ!$G$3:$G$89))</f>
        <v>0</v>
      </c>
      <c r="BY7" s="499" cm="1">
        <f t="array" ref="BY7">SUMPRODUCT((HQ!$T$3:$T$89=BY42)*(ISNUMBER(HQ!$G$3:$G$89))*(HQ!$G$3:$G$89))</f>
        <v>0</v>
      </c>
      <c r="BZ7" s="499" cm="1">
        <f t="array" ref="BZ7">SUMPRODUCT((HQ!$T$3:$T$89=BZ42)*(ISNUMBER(HQ!$G$3:$G$89))*(HQ!$G$3:$G$89))</f>
        <v>0</v>
      </c>
      <c r="CA7" s="499" cm="1">
        <f t="array" ref="CA7">SUMPRODUCT((HQ!$T$3:$T$89=CA42)*(ISNUMBER(HQ!$G$3:$G$89))*(HQ!$G$3:$G$89))</f>
        <v>0</v>
      </c>
      <c r="CB7" s="499" cm="1">
        <f t="array" ref="CB7">SUMPRODUCT((HQ!$T$3:$T$89=CB42)*(ISNUMBER(HQ!$G$3:$G$89))*(HQ!$G$3:$G$89))</f>
        <v>0</v>
      </c>
      <c r="CC7" s="499" cm="1">
        <f t="array" ref="CC7">SUMPRODUCT((HQ!$T$3:$T$89=CC42)*(ISNUMBER(HQ!$G$3:$G$89))*(HQ!$G$3:$G$89))</f>
        <v>0</v>
      </c>
      <c r="CD7" s="499" cm="1">
        <f t="array" ref="CD7">SUMPRODUCT((HQ!$T$3:$T$89=CD42)*(ISNUMBER(HQ!$G$3:$G$89))*(HQ!$G$3:$G$89))</f>
        <v>0</v>
      </c>
      <c r="CE7" s="499" cm="1">
        <f t="array" ref="CE7">SUMPRODUCT((HQ!$T$3:$T$89=CE42)*(ISNUMBER(HQ!$G$3:$G$89))*(HQ!$G$3:$G$89))</f>
        <v>0</v>
      </c>
      <c r="CF7" s="499" cm="1">
        <f t="array" ref="CF7">SUMPRODUCT((HQ!$T$3:$T$89=CF42)*(ISNUMBER(HQ!$G$3:$G$89))*(HQ!$G$3:$G$89))</f>
        <v>0</v>
      </c>
      <c r="CG7" s="499" cm="1">
        <f t="array" ref="CG7">SUMPRODUCT((HQ!$T$3:$T$89=CG42)*(ISNUMBER(HQ!$G$3:$G$89))*(HQ!$G$3:$G$89))</f>
        <v>0</v>
      </c>
      <c r="CH7" s="499" cm="1">
        <f t="array" ref="CH7">SUMPRODUCT((HQ!$T$3:$T$89=CH42)*(ISNUMBER(HQ!$G$3:$G$89))*(HQ!$G$3:$G$89))</f>
        <v>0</v>
      </c>
      <c r="CI7" s="499" cm="1">
        <f t="array" ref="CI7">SUMPRODUCT((HQ!$T$3:$T$89=CI42)*(ISNUMBER(HQ!$G$3:$G$89))*(HQ!$G$3:$G$89))</f>
        <v>0</v>
      </c>
      <c r="CJ7" s="499" cm="1">
        <f t="array" ref="CJ7">SUMPRODUCT((HQ!$T$3:$T$89=CJ42)*(ISNUMBER(HQ!$G$3:$G$89))*(HQ!$G$3:$G$89))</f>
        <v>0</v>
      </c>
      <c r="CK7" s="499" cm="1">
        <f t="array" ref="CK7">SUMPRODUCT((HQ!$T$3:$T$89=CK42)*(ISNUMBER(HQ!$G$3:$G$89))*(HQ!$G$3:$G$89))</f>
        <v>0</v>
      </c>
      <c r="CL7" s="499" cm="1">
        <f t="array" ref="CL7">SUMPRODUCT((HQ!$T$3:$T$89=CL42)*(ISNUMBER(HQ!$G$3:$G$89))*(HQ!$G$3:$G$89))</f>
        <v>0</v>
      </c>
      <c r="CM7" s="499" cm="1">
        <f t="array" ref="CM7">SUMPRODUCT((HQ!$T$3:$T$89=CM42)*(ISNUMBER(HQ!$G$3:$G$89))*(HQ!$G$3:$G$89))</f>
        <v>0</v>
      </c>
      <c r="CN7" s="499" cm="1">
        <f t="array" ref="CN7">SUMPRODUCT((HQ!$T$3:$T$89=CN42)*(ISNUMBER(HQ!$G$3:$G$89))*(HQ!$G$3:$G$89))</f>
        <v>0</v>
      </c>
      <c r="CO7" s="499" cm="1">
        <f t="array" ref="CO7">SUMPRODUCT((HQ!$T$3:$T$89=CO42)*(ISNUMBER(HQ!$G$3:$G$89))*(HQ!$G$3:$G$89))</f>
        <v>0</v>
      </c>
      <c r="CP7" s="499" cm="1">
        <f t="array" ref="CP7">SUMPRODUCT((HQ!$T$3:$T$89=CP42)*(ISNUMBER(HQ!$G$3:$G$89))*(HQ!$G$3:$G$89))</f>
        <v>0</v>
      </c>
      <c r="CQ7" s="499" cm="1">
        <f t="array" ref="CQ7">SUMPRODUCT((HQ!$T$3:$T$89=CQ42)*(ISNUMBER(HQ!$G$3:$G$89))*(HQ!$G$3:$G$89))</f>
        <v>0</v>
      </c>
      <c r="CR7" s="499" cm="1">
        <f t="array" ref="CR7">SUMPRODUCT((HQ!$T$3:$T$89=CR42)*(ISNUMBER(HQ!$G$3:$G$89))*(HQ!$G$3:$G$89))</f>
        <v>0</v>
      </c>
      <c r="CS7" s="499" cm="1">
        <f t="array" ref="CS7">SUMPRODUCT((HQ!$T$3:$T$89=CS42)*(ISNUMBER(HQ!$G$3:$G$89))*(HQ!$G$3:$G$89))</f>
        <v>0</v>
      </c>
      <c r="CT7" s="499" cm="1">
        <f t="array" ref="CT7">SUMPRODUCT((HQ!$T$3:$T$89=CT42)*(ISNUMBER(HQ!$G$3:$G$89))*(HQ!$G$3:$G$89))</f>
        <v>0</v>
      </c>
      <c r="CU7" s="426" cm="1">
        <f t="array" ref="CU7">SUMPRODUCT((ISNUMBER(HQ!$G$3:$G$89))*(HQ!$G$3:$G$89))</f>
        <v>193</v>
      </c>
    </row>
    <row r="8" spans="1:99" ht="19.5" customHeight="1">
      <c r="A8" s="421" t="s">
        <v>334</v>
      </c>
      <c r="B8" s="422">
        <f t="shared" ref="B8:AG8" si="4">IF(B7=0,0,B7/$CU$7)</f>
        <v>0.17616580310880828</v>
      </c>
      <c r="C8" s="422">
        <f t="shared" si="4"/>
        <v>0</v>
      </c>
      <c r="D8" s="422">
        <f t="shared" si="4"/>
        <v>0</v>
      </c>
      <c r="E8" s="422">
        <f t="shared" si="4"/>
        <v>0</v>
      </c>
      <c r="F8" s="422">
        <f t="shared" si="4"/>
        <v>0</v>
      </c>
      <c r="G8" s="422">
        <f t="shared" si="4"/>
        <v>0</v>
      </c>
      <c r="H8" s="422">
        <f t="shared" si="4"/>
        <v>0</v>
      </c>
      <c r="I8" s="422">
        <f t="shared" si="4"/>
        <v>0</v>
      </c>
      <c r="J8" s="422">
        <f t="shared" si="4"/>
        <v>5.181347150259067E-2</v>
      </c>
      <c r="K8" s="422">
        <f t="shared" si="4"/>
        <v>0</v>
      </c>
      <c r="L8" s="422">
        <f t="shared" si="4"/>
        <v>0</v>
      </c>
      <c r="M8" s="422">
        <f t="shared" si="4"/>
        <v>0</v>
      </c>
      <c r="N8" s="422">
        <f t="shared" si="4"/>
        <v>0</v>
      </c>
      <c r="O8" s="422">
        <f t="shared" si="4"/>
        <v>0</v>
      </c>
      <c r="P8" s="422">
        <f t="shared" si="4"/>
        <v>0</v>
      </c>
      <c r="Q8" s="422">
        <f t="shared" si="4"/>
        <v>2.5906735751295335E-2</v>
      </c>
      <c r="R8" s="422">
        <f t="shared" si="4"/>
        <v>0</v>
      </c>
      <c r="S8" s="422">
        <f t="shared" si="4"/>
        <v>2.072538860103627E-2</v>
      </c>
      <c r="T8" s="422">
        <f t="shared" si="4"/>
        <v>0</v>
      </c>
      <c r="U8" s="422">
        <f t="shared" si="4"/>
        <v>0</v>
      </c>
      <c r="V8" s="422">
        <f t="shared" si="4"/>
        <v>7.7720207253886009E-2</v>
      </c>
      <c r="W8" s="422">
        <f t="shared" si="4"/>
        <v>0</v>
      </c>
      <c r="X8" s="422">
        <f t="shared" si="4"/>
        <v>0.10362694300518134</v>
      </c>
      <c r="Y8" s="422">
        <f t="shared" si="4"/>
        <v>0</v>
      </c>
      <c r="Z8" s="422">
        <f t="shared" si="4"/>
        <v>8.8082901554404139E-2</v>
      </c>
      <c r="AA8" s="422">
        <f t="shared" si="4"/>
        <v>0</v>
      </c>
      <c r="AB8" s="422">
        <f t="shared" si="4"/>
        <v>0</v>
      </c>
      <c r="AC8" s="422">
        <f t="shared" si="4"/>
        <v>7.2538860103626937E-2</v>
      </c>
      <c r="AD8" s="422">
        <f t="shared" si="4"/>
        <v>0</v>
      </c>
      <c r="AE8" s="422">
        <f t="shared" si="4"/>
        <v>0</v>
      </c>
      <c r="AF8" s="422">
        <f t="shared" si="4"/>
        <v>0</v>
      </c>
      <c r="AG8" s="422">
        <f t="shared" si="4"/>
        <v>0</v>
      </c>
      <c r="AH8" s="422">
        <f t="shared" ref="AH8:BM8" si="5">IF(AH7=0,0,AH7/$CU$7)</f>
        <v>0</v>
      </c>
      <c r="AI8" s="422">
        <f t="shared" si="5"/>
        <v>0</v>
      </c>
      <c r="AJ8" s="422">
        <f t="shared" si="5"/>
        <v>5.181347150259067E-2</v>
      </c>
      <c r="AK8" s="422">
        <f t="shared" si="5"/>
        <v>0</v>
      </c>
      <c r="AL8" s="422">
        <f t="shared" si="5"/>
        <v>4.145077720207254E-2</v>
      </c>
      <c r="AM8" s="422">
        <f t="shared" si="5"/>
        <v>0</v>
      </c>
      <c r="AN8" s="422">
        <f t="shared" si="5"/>
        <v>0</v>
      </c>
      <c r="AO8" s="422">
        <f t="shared" si="5"/>
        <v>0</v>
      </c>
      <c r="AP8" s="422">
        <f t="shared" si="5"/>
        <v>0</v>
      </c>
      <c r="AQ8" s="422">
        <f t="shared" si="5"/>
        <v>5.6994818652849742E-2</v>
      </c>
      <c r="AR8" s="422">
        <f t="shared" si="5"/>
        <v>0</v>
      </c>
      <c r="AS8" s="422">
        <f t="shared" si="5"/>
        <v>0</v>
      </c>
      <c r="AT8" s="422">
        <f t="shared" si="5"/>
        <v>0</v>
      </c>
      <c r="AU8" s="422">
        <f t="shared" si="5"/>
        <v>0</v>
      </c>
      <c r="AV8" s="422">
        <f t="shared" si="5"/>
        <v>0</v>
      </c>
      <c r="AW8" s="422">
        <f t="shared" si="5"/>
        <v>0</v>
      </c>
      <c r="AX8" s="422">
        <f t="shared" si="5"/>
        <v>0</v>
      </c>
      <c r="AY8" s="422">
        <f t="shared" si="5"/>
        <v>3.6269430051813469E-2</v>
      </c>
      <c r="AZ8" s="422">
        <f t="shared" si="5"/>
        <v>1.0362694300518135E-2</v>
      </c>
      <c r="BA8" s="422">
        <f t="shared" si="5"/>
        <v>0</v>
      </c>
      <c r="BB8" s="422">
        <f t="shared" si="5"/>
        <v>3.1088082901554404E-2</v>
      </c>
      <c r="BC8" s="422">
        <f t="shared" si="5"/>
        <v>0</v>
      </c>
      <c r="BD8" s="422">
        <f t="shared" si="5"/>
        <v>0</v>
      </c>
      <c r="BE8" s="422">
        <f t="shared" si="5"/>
        <v>0</v>
      </c>
      <c r="BF8" s="422">
        <f t="shared" si="5"/>
        <v>0</v>
      </c>
      <c r="BG8" s="422">
        <f t="shared" si="5"/>
        <v>6.2176165803108807E-2</v>
      </c>
      <c r="BH8" s="422">
        <f t="shared" si="5"/>
        <v>0</v>
      </c>
      <c r="BI8" s="422">
        <f t="shared" si="5"/>
        <v>1.0362694300518135E-2</v>
      </c>
      <c r="BJ8" s="422">
        <f t="shared" si="5"/>
        <v>0</v>
      </c>
      <c r="BK8" s="422">
        <f t="shared" si="5"/>
        <v>0</v>
      </c>
      <c r="BL8" s="422">
        <f t="shared" si="5"/>
        <v>2.072538860103627E-2</v>
      </c>
      <c r="BM8" s="422">
        <f t="shared" si="5"/>
        <v>1.5544041450777202E-2</v>
      </c>
      <c r="BN8" s="422">
        <f t="shared" ref="BN8:CS8" si="6">IF(BN7=0,0,BN7/$CU$7)</f>
        <v>1.5544041450777202E-2</v>
      </c>
      <c r="BO8" s="422">
        <f t="shared" si="6"/>
        <v>0</v>
      </c>
      <c r="BP8" s="422">
        <f t="shared" si="6"/>
        <v>3.1088082901554404E-2</v>
      </c>
      <c r="BQ8" s="422">
        <f t="shared" si="6"/>
        <v>0</v>
      </c>
      <c r="BR8" s="422">
        <f t="shared" si="6"/>
        <v>0</v>
      </c>
      <c r="BS8" s="422">
        <f t="shared" si="6"/>
        <v>0</v>
      </c>
      <c r="BT8" s="422">
        <f t="shared" si="6"/>
        <v>0</v>
      </c>
      <c r="BU8" s="422">
        <f t="shared" si="6"/>
        <v>0</v>
      </c>
      <c r="BV8" s="422">
        <f t="shared" si="6"/>
        <v>0</v>
      </c>
      <c r="BW8" s="422">
        <f t="shared" si="6"/>
        <v>0</v>
      </c>
      <c r="BX8" s="422">
        <f t="shared" si="6"/>
        <v>0</v>
      </c>
      <c r="BY8" s="422">
        <f t="shared" si="6"/>
        <v>0</v>
      </c>
      <c r="BZ8" s="422">
        <f t="shared" si="6"/>
        <v>0</v>
      </c>
      <c r="CA8" s="422">
        <f t="shared" si="6"/>
        <v>0</v>
      </c>
      <c r="CB8" s="422">
        <f t="shared" si="6"/>
        <v>0</v>
      </c>
      <c r="CC8" s="422">
        <f t="shared" si="6"/>
        <v>0</v>
      </c>
      <c r="CD8" s="422">
        <f t="shared" si="6"/>
        <v>0</v>
      </c>
      <c r="CE8" s="422">
        <f t="shared" si="6"/>
        <v>0</v>
      </c>
      <c r="CF8" s="422">
        <f t="shared" si="6"/>
        <v>0</v>
      </c>
      <c r="CG8" s="422">
        <f t="shared" si="6"/>
        <v>0</v>
      </c>
      <c r="CH8" s="422">
        <f t="shared" si="6"/>
        <v>0</v>
      </c>
      <c r="CI8" s="422">
        <f t="shared" si="6"/>
        <v>0</v>
      </c>
      <c r="CJ8" s="422">
        <f t="shared" si="6"/>
        <v>0</v>
      </c>
      <c r="CK8" s="422">
        <f t="shared" si="6"/>
        <v>0</v>
      </c>
      <c r="CL8" s="422">
        <f t="shared" si="6"/>
        <v>0</v>
      </c>
      <c r="CM8" s="422">
        <f t="shared" si="6"/>
        <v>0</v>
      </c>
      <c r="CN8" s="422">
        <f t="shared" si="6"/>
        <v>0</v>
      </c>
      <c r="CO8" s="422">
        <f t="shared" si="6"/>
        <v>0</v>
      </c>
      <c r="CP8" s="422">
        <f t="shared" si="6"/>
        <v>0</v>
      </c>
      <c r="CQ8" s="422">
        <f t="shared" si="6"/>
        <v>0</v>
      </c>
      <c r="CR8" s="422">
        <f t="shared" si="6"/>
        <v>0</v>
      </c>
      <c r="CS8" s="422">
        <f t="shared" si="6"/>
        <v>0</v>
      </c>
      <c r="CT8" s="422">
        <f t="shared" ref="CT8" si="7">IF(CT7=0,0,CT7/$CU$7)</f>
        <v>0</v>
      </c>
      <c r="CU8" s="423">
        <f>CU7/CU7</f>
        <v>1</v>
      </c>
    </row>
    <row r="9" spans="1:99" ht="3.75" customHeight="1">
      <c r="BJ9" s="416"/>
    </row>
    <row r="10" spans="1:99" ht="21.75" customHeight="1">
      <c r="A10" s="1136" t="s">
        <v>315</v>
      </c>
      <c r="B10" s="1137"/>
      <c r="C10" s="1137"/>
      <c r="D10" s="1137"/>
      <c r="E10" s="1137"/>
      <c r="F10" s="1137"/>
      <c r="G10" s="1137"/>
      <c r="H10" s="1137"/>
      <c r="I10" s="1137"/>
      <c r="J10" s="1137"/>
      <c r="K10" s="1137"/>
      <c r="L10" s="1137"/>
      <c r="M10" s="1137"/>
      <c r="N10" s="1137"/>
      <c r="O10" s="1137"/>
      <c r="P10" s="1137"/>
      <c r="Q10" s="1137"/>
      <c r="R10" s="1137"/>
      <c r="S10" s="1137"/>
      <c r="T10" s="1137"/>
      <c r="U10" s="1137"/>
      <c r="V10" s="1137"/>
      <c r="W10" s="1137"/>
      <c r="X10" s="1137"/>
      <c r="Y10" s="1137"/>
      <c r="Z10" s="1137"/>
      <c r="AA10" s="1137"/>
      <c r="AB10" s="1137"/>
      <c r="AC10" s="1137"/>
      <c r="AD10" s="1137"/>
      <c r="AE10" s="1137"/>
      <c r="AF10" s="1137"/>
      <c r="AG10" s="1137"/>
      <c r="AH10" s="1137"/>
      <c r="AI10" s="1137"/>
      <c r="AJ10" s="1137"/>
      <c r="AK10" s="1137"/>
      <c r="AL10" s="1137"/>
      <c r="AM10" s="1137"/>
      <c r="AN10" s="1137"/>
      <c r="AO10" s="1137"/>
      <c r="AP10" s="1137"/>
      <c r="AQ10" s="1137"/>
      <c r="AR10" s="1137"/>
      <c r="AS10" s="1137"/>
      <c r="AT10" s="1137"/>
      <c r="AU10" s="1137"/>
      <c r="AV10" s="1137"/>
      <c r="AW10" s="1137"/>
      <c r="AX10" s="1137"/>
      <c r="AY10" s="1137"/>
      <c r="AZ10" s="1137"/>
      <c r="BA10" s="1137"/>
      <c r="BB10" s="1137"/>
      <c r="BC10" s="1137"/>
      <c r="BD10" s="1137"/>
      <c r="BE10" s="1137"/>
      <c r="BF10" s="1137"/>
      <c r="BG10" s="1137"/>
      <c r="BH10" s="1137"/>
      <c r="BI10" s="1137"/>
      <c r="BJ10" s="1137"/>
      <c r="BK10" s="1137"/>
      <c r="BL10" s="1137"/>
      <c r="BM10" s="1137"/>
      <c r="BN10" s="1137"/>
      <c r="BO10" s="1137"/>
      <c r="BP10" s="1137"/>
      <c r="BQ10" s="1137"/>
      <c r="BR10" s="1137"/>
      <c r="BS10" s="1137"/>
      <c r="BT10" s="1137"/>
      <c r="BU10" s="1137"/>
      <c r="BV10" s="1137"/>
      <c r="BW10" s="1137"/>
      <c r="BX10" s="1137"/>
      <c r="BY10" s="1137"/>
      <c r="BZ10" s="1137"/>
      <c r="CA10" s="1137"/>
      <c r="CB10" s="1137"/>
      <c r="CC10" s="1137"/>
      <c r="CD10" s="1137"/>
      <c r="CE10" s="1137"/>
      <c r="CF10" s="1137"/>
      <c r="CG10" s="1137"/>
      <c r="CH10" s="1137"/>
      <c r="CI10" s="1137"/>
      <c r="CJ10" s="1137"/>
      <c r="CK10" s="1137"/>
      <c r="CL10" s="1137"/>
      <c r="CM10" s="1137"/>
      <c r="CN10" s="1137"/>
      <c r="CO10" s="1137"/>
      <c r="CP10" s="1137"/>
      <c r="CQ10" s="1137"/>
      <c r="CR10" s="1137"/>
      <c r="CS10" s="1137"/>
      <c r="CT10" s="1137"/>
      <c r="CU10" s="1137"/>
    </row>
    <row r="11" spans="1:99" ht="19.5" customHeight="1">
      <c r="A11" s="424" t="s">
        <v>316</v>
      </c>
      <c r="B11" s="425">
        <f t="shared" ref="B11:BI11" si="8">B7</f>
        <v>34</v>
      </c>
      <c r="C11" s="425">
        <f t="shared" si="8"/>
        <v>0</v>
      </c>
      <c r="D11" s="425">
        <f t="shared" si="8"/>
        <v>0</v>
      </c>
      <c r="E11" s="425">
        <f t="shared" si="8"/>
        <v>0</v>
      </c>
      <c r="F11" s="425">
        <f t="shared" si="8"/>
        <v>0</v>
      </c>
      <c r="G11" s="425">
        <f t="shared" si="8"/>
        <v>0</v>
      </c>
      <c r="H11" s="425">
        <f t="shared" si="8"/>
        <v>0</v>
      </c>
      <c r="I11" s="425">
        <f t="shared" si="8"/>
        <v>0</v>
      </c>
      <c r="J11" s="425">
        <f t="shared" si="8"/>
        <v>10</v>
      </c>
      <c r="K11" s="425">
        <f t="shared" si="8"/>
        <v>0</v>
      </c>
      <c r="L11" s="425">
        <f t="shared" si="8"/>
        <v>0</v>
      </c>
      <c r="M11" s="425">
        <f t="shared" si="8"/>
        <v>0</v>
      </c>
      <c r="N11" s="425">
        <f t="shared" si="8"/>
        <v>0</v>
      </c>
      <c r="O11" s="425">
        <f t="shared" si="8"/>
        <v>0</v>
      </c>
      <c r="P11" s="425">
        <f t="shared" si="8"/>
        <v>0</v>
      </c>
      <c r="Q11" s="425">
        <f t="shared" si="8"/>
        <v>5</v>
      </c>
      <c r="R11" s="425">
        <f t="shared" si="8"/>
        <v>0</v>
      </c>
      <c r="S11" s="425">
        <f t="shared" si="8"/>
        <v>4</v>
      </c>
      <c r="T11" s="425">
        <f t="shared" si="8"/>
        <v>0</v>
      </c>
      <c r="U11" s="425">
        <f t="shared" si="8"/>
        <v>0</v>
      </c>
      <c r="V11" s="425">
        <f t="shared" si="8"/>
        <v>15</v>
      </c>
      <c r="W11" s="425">
        <f t="shared" si="8"/>
        <v>0</v>
      </c>
      <c r="X11" s="425">
        <f t="shared" si="8"/>
        <v>20</v>
      </c>
      <c r="Y11" s="425">
        <f t="shared" si="8"/>
        <v>0</v>
      </c>
      <c r="Z11" s="425">
        <f t="shared" si="8"/>
        <v>17</v>
      </c>
      <c r="AA11" s="425">
        <f t="shared" si="8"/>
        <v>0</v>
      </c>
      <c r="AB11" s="425">
        <f t="shared" si="8"/>
        <v>0</v>
      </c>
      <c r="AC11" s="425">
        <f t="shared" si="8"/>
        <v>14</v>
      </c>
      <c r="AD11" s="425">
        <f t="shared" si="8"/>
        <v>0</v>
      </c>
      <c r="AE11" s="425">
        <f t="shared" si="8"/>
        <v>0</v>
      </c>
      <c r="AF11" s="425">
        <f t="shared" si="8"/>
        <v>0</v>
      </c>
      <c r="AG11" s="425">
        <f t="shared" si="8"/>
        <v>0</v>
      </c>
      <c r="AH11" s="425">
        <f t="shared" si="8"/>
        <v>0</v>
      </c>
      <c r="AI11" s="425">
        <f t="shared" si="8"/>
        <v>0</v>
      </c>
      <c r="AJ11" s="425">
        <f t="shared" si="8"/>
        <v>10</v>
      </c>
      <c r="AK11" s="425">
        <f t="shared" si="8"/>
        <v>0</v>
      </c>
      <c r="AL11" s="425">
        <f t="shared" si="8"/>
        <v>8</v>
      </c>
      <c r="AM11" s="425">
        <f t="shared" si="8"/>
        <v>0</v>
      </c>
      <c r="AN11" s="425">
        <f t="shared" si="8"/>
        <v>0</v>
      </c>
      <c r="AO11" s="425">
        <f t="shared" si="8"/>
        <v>0</v>
      </c>
      <c r="AP11" s="425">
        <f t="shared" si="8"/>
        <v>0</v>
      </c>
      <c r="AQ11" s="425">
        <f t="shared" si="8"/>
        <v>11</v>
      </c>
      <c r="AR11" s="425">
        <f t="shared" si="8"/>
        <v>0</v>
      </c>
      <c r="AS11" s="425">
        <f t="shared" si="8"/>
        <v>0</v>
      </c>
      <c r="AT11" s="425">
        <f t="shared" si="8"/>
        <v>0</v>
      </c>
      <c r="AU11" s="425">
        <f t="shared" si="8"/>
        <v>0</v>
      </c>
      <c r="AV11" s="425">
        <f t="shared" si="8"/>
        <v>0</v>
      </c>
      <c r="AW11" s="425">
        <f t="shared" si="8"/>
        <v>0</v>
      </c>
      <c r="AX11" s="425">
        <f t="shared" si="8"/>
        <v>0</v>
      </c>
      <c r="AY11" s="425">
        <f t="shared" si="8"/>
        <v>7</v>
      </c>
      <c r="AZ11" s="425">
        <f t="shared" si="8"/>
        <v>2</v>
      </c>
      <c r="BA11" s="425">
        <f t="shared" si="8"/>
        <v>0</v>
      </c>
      <c r="BB11" s="425">
        <f t="shared" si="8"/>
        <v>6</v>
      </c>
      <c r="BC11" s="425">
        <f t="shared" si="8"/>
        <v>0</v>
      </c>
      <c r="BD11" s="425">
        <f t="shared" si="8"/>
        <v>0</v>
      </c>
      <c r="BE11" s="425">
        <f t="shared" si="8"/>
        <v>0</v>
      </c>
      <c r="BF11" s="425">
        <f t="shared" si="8"/>
        <v>0</v>
      </c>
      <c r="BG11" s="425">
        <f t="shared" si="8"/>
        <v>12</v>
      </c>
      <c r="BH11" s="425">
        <f t="shared" si="8"/>
        <v>0</v>
      </c>
      <c r="BI11" s="425">
        <f t="shared" si="8"/>
        <v>2</v>
      </c>
      <c r="BJ11" s="425">
        <f t="shared" ref="BJ11:CJ11" si="9">BJ7</f>
        <v>0</v>
      </c>
      <c r="BK11" s="425">
        <f t="shared" si="9"/>
        <v>0</v>
      </c>
      <c r="BL11" s="425">
        <f t="shared" si="9"/>
        <v>4</v>
      </c>
      <c r="BM11" s="425">
        <f t="shared" si="9"/>
        <v>3</v>
      </c>
      <c r="BN11" s="425">
        <f t="shared" si="9"/>
        <v>3</v>
      </c>
      <c r="BO11" s="425">
        <f t="shared" si="9"/>
        <v>0</v>
      </c>
      <c r="BP11" s="425">
        <f t="shared" si="9"/>
        <v>6</v>
      </c>
      <c r="BQ11" s="425">
        <f t="shared" si="9"/>
        <v>0</v>
      </c>
      <c r="BR11" s="425">
        <f t="shared" si="9"/>
        <v>0</v>
      </c>
      <c r="BS11" s="425">
        <f t="shared" si="9"/>
        <v>0</v>
      </c>
      <c r="BT11" s="425">
        <f t="shared" si="9"/>
        <v>0</v>
      </c>
      <c r="BU11" s="425">
        <f t="shared" si="9"/>
        <v>0</v>
      </c>
      <c r="BV11" s="425">
        <f t="shared" si="9"/>
        <v>0</v>
      </c>
      <c r="BW11" s="425">
        <f t="shared" si="9"/>
        <v>0</v>
      </c>
      <c r="BX11" s="425">
        <f t="shared" si="9"/>
        <v>0</v>
      </c>
      <c r="BY11" s="425">
        <f t="shared" si="9"/>
        <v>0</v>
      </c>
      <c r="BZ11" s="425">
        <f t="shared" si="9"/>
        <v>0</v>
      </c>
      <c r="CA11" s="425">
        <f t="shared" si="9"/>
        <v>0</v>
      </c>
      <c r="CB11" s="425">
        <f t="shared" si="9"/>
        <v>0</v>
      </c>
      <c r="CC11" s="425">
        <f t="shared" si="9"/>
        <v>0</v>
      </c>
      <c r="CD11" s="425">
        <f t="shared" si="9"/>
        <v>0</v>
      </c>
      <c r="CE11" s="425">
        <f t="shared" si="9"/>
        <v>0</v>
      </c>
      <c r="CF11" s="425">
        <f t="shared" si="9"/>
        <v>0</v>
      </c>
      <c r="CG11" s="425">
        <f t="shared" si="9"/>
        <v>0</v>
      </c>
      <c r="CH11" s="425">
        <f t="shared" si="9"/>
        <v>0</v>
      </c>
      <c r="CI11" s="425">
        <f t="shared" si="9"/>
        <v>0</v>
      </c>
      <c r="CJ11" s="425">
        <f t="shared" si="9"/>
        <v>0</v>
      </c>
      <c r="CK11" s="425">
        <f t="shared" ref="CK11:CT11" si="10">CK7</f>
        <v>0</v>
      </c>
      <c r="CL11" s="425">
        <f t="shared" si="10"/>
        <v>0</v>
      </c>
      <c r="CM11" s="425">
        <f t="shared" si="10"/>
        <v>0</v>
      </c>
      <c r="CN11" s="425">
        <f t="shared" si="10"/>
        <v>0</v>
      </c>
      <c r="CO11" s="425">
        <f t="shared" si="10"/>
        <v>0</v>
      </c>
      <c r="CP11" s="425">
        <f t="shared" si="10"/>
        <v>0</v>
      </c>
      <c r="CQ11" s="425">
        <f t="shared" si="10"/>
        <v>0</v>
      </c>
      <c r="CR11" s="425">
        <f t="shared" si="10"/>
        <v>0</v>
      </c>
      <c r="CS11" s="425">
        <f t="shared" si="10"/>
        <v>0</v>
      </c>
      <c r="CT11" s="425">
        <f t="shared" si="10"/>
        <v>0</v>
      </c>
      <c r="CU11" s="426">
        <f>CU7</f>
        <v>193</v>
      </c>
    </row>
    <row r="12" spans="1:99" ht="19.5" customHeight="1">
      <c r="A12" s="427" t="s">
        <v>317</v>
      </c>
      <c r="B12" s="428" cm="1">
        <f t="array" ref="B12">SUMPRODUCT((HQ!$T$3:$T$89=B42)*(ISNUMBER(HQ!$N$3:$N$89))*(HQ!$N$3:$N$89))</f>
        <v>30</v>
      </c>
      <c r="C12" s="428" cm="1">
        <f t="array" ref="C12">SUMPRODUCT((HQ!$T$3:$T$89=C42)*(ISNUMBER(HQ!$N$3:$N$89))*(HQ!$N$3:$N$89))</f>
        <v>0</v>
      </c>
      <c r="D12" s="428" cm="1">
        <f t="array" ref="D12">SUMPRODUCT((HQ!$T$3:$T$89=D42)*(ISNUMBER(HQ!$N$3:$N$89))*(HQ!$N$3:$N$89))</f>
        <v>0</v>
      </c>
      <c r="E12" s="428" cm="1">
        <f t="array" ref="E12">SUMPRODUCT((HQ!$T$3:$T$89=E42)*(ISNUMBER(HQ!$N$3:$N$89))*(HQ!$N$3:$N$89))</f>
        <v>0</v>
      </c>
      <c r="F12" s="428" cm="1">
        <f t="array" ref="F12">SUMPRODUCT((HQ!$T$3:$T$89=F42)*(ISNUMBER(HQ!$N$3:$N$89))*(HQ!$N$3:$N$89))</f>
        <v>0</v>
      </c>
      <c r="G12" s="428" cm="1">
        <f t="array" ref="G12">SUMPRODUCT((HQ!$T$3:$T$89=G42)*(ISNUMBER(HQ!$N$3:$N$89))*(HQ!$N$3:$N$89))</f>
        <v>0</v>
      </c>
      <c r="H12" s="428" cm="1">
        <f t="array" ref="H12">SUMPRODUCT((HQ!$T$3:$T$89=H42)*(ISNUMBER(HQ!$N$3:$N$89))*(HQ!$N$3:$N$89))</f>
        <v>0</v>
      </c>
      <c r="I12" s="428" cm="1">
        <f t="array" ref="I12">SUMPRODUCT((HQ!$T$3:$T$89=I42)*(ISNUMBER(HQ!$N$3:$N$89))*(HQ!$N$3:$N$89))</f>
        <v>0</v>
      </c>
      <c r="J12" s="428" cm="1">
        <f t="array" ref="J12">SUMPRODUCT((HQ!$T$3:$T$89=J42)*(ISNUMBER(HQ!$N$3:$N$89))*(HQ!$N$3:$N$89))</f>
        <v>10</v>
      </c>
      <c r="K12" s="428" cm="1">
        <f t="array" ref="K12">SUMPRODUCT((HQ!$T$3:$T$89=K42)*(ISNUMBER(HQ!$N$3:$N$89))*(HQ!$N$3:$N$89))</f>
        <v>0</v>
      </c>
      <c r="L12" s="428" cm="1">
        <f t="array" ref="L12">SUMPRODUCT((HQ!$T$3:$T$89=L42)*(ISNUMBER(HQ!$N$3:$N$89))*(HQ!$N$3:$N$89))</f>
        <v>0</v>
      </c>
      <c r="M12" s="428" cm="1">
        <f t="array" ref="M12">SUMPRODUCT((HQ!$T$3:$T$89=M42)*(ISNUMBER(HQ!$N$3:$N$89))*(HQ!$N$3:$N$89))</f>
        <v>0</v>
      </c>
      <c r="N12" s="428" cm="1">
        <f t="array" ref="N12">SUMPRODUCT((HQ!$T$3:$T$89=N42)*(ISNUMBER(HQ!$N$3:$N$89))*(HQ!$N$3:$N$89))</f>
        <v>0</v>
      </c>
      <c r="O12" s="428" cm="1">
        <f t="array" ref="O12">SUMPRODUCT((HQ!$T$3:$T$89=O42)*(ISNUMBER(HQ!$N$3:$N$89))*(HQ!$N$3:$N$89))</f>
        <v>0</v>
      </c>
      <c r="P12" s="428" cm="1">
        <f t="array" ref="P12">SUMPRODUCT((HQ!$T$3:$T$89=P42)*(ISNUMBER(HQ!$N$3:$N$89))*(HQ!$N$3:$N$89))</f>
        <v>0</v>
      </c>
      <c r="Q12" s="428" cm="1">
        <f t="array" ref="Q12">SUMPRODUCT((HQ!$T$3:$T$89=Q42)*(ISNUMBER(HQ!$N$3:$N$89))*(HQ!$N$3:$N$89))</f>
        <v>5</v>
      </c>
      <c r="R12" s="428" cm="1">
        <f t="array" ref="R12">SUMPRODUCT((HQ!$T$3:$T$89=R42)*(ISNUMBER(HQ!$N$3:$N$89))*(HQ!$N$3:$N$89))</f>
        <v>0</v>
      </c>
      <c r="S12" s="428" cm="1">
        <f t="array" ref="S12">SUMPRODUCT((HQ!$T$3:$T$89=S42)*(ISNUMBER(HQ!$N$3:$N$89))*(HQ!$N$3:$N$89))</f>
        <v>4</v>
      </c>
      <c r="T12" s="428" cm="1">
        <f t="array" ref="T12">SUMPRODUCT((HQ!$T$3:$T$89=T42)*(ISNUMBER(HQ!$N$3:$N$89))*(HQ!$N$3:$N$89))</f>
        <v>0</v>
      </c>
      <c r="U12" s="428" cm="1">
        <f t="array" ref="U12">SUMPRODUCT((HQ!$T$3:$T$89=U42)*(ISNUMBER(HQ!$N$3:$N$89))*(HQ!$N$3:$N$89))</f>
        <v>0</v>
      </c>
      <c r="V12" s="428" cm="1">
        <f t="array" ref="V12">SUMPRODUCT((HQ!$T$3:$T$89=V42)*(ISNUMBER(HQ!$N$3:$N$89))*(HQ!$N$3:$N$89))</f>
        <v>15</v>
      </c>
      <c r="W12" s="428" cm="1">
        <f t="array" ref="W12">SUMPRODUCT((HQ!$T$3:$T$89=W42)*(ISNUMBER(HQ!$N$3:$N$89))*(HQ!$N$3:$N$89))</f>
        <v>0</v>
      </c>
      <c r="X12" s="428" cm="1">
        <f t="array" ref="X12">SUMPRODUCT((HQ!$T$3:$T$89=X42)*(ISNUMBER(HQ!$N$3:$N$89))*(HQ!$N$3:$N$89))</f>
        <v>20</v>
      </c>
      <c r="Y12" s="428" cm="1">
        <f t="array" ref="Y12">SUMPRODUCT((HQ!$T$3:$T$89=Y42)*(ISNUMBER(HQ!$N$3:$N$89))*(HQ!$N$3:$N$89))</f>
        <v>0</v>
      </c>
      <c r="Z12" s="428" cm="1">
        <f t="array" ref="Z12">SUMPRODUCT((HQ!$T$3:$T$89=Z42)*(ISNUMBER(HQ!$N$3:$N$89))*(HQ!$N$3:$N$89))</f>
        <v>17</v>
      </c>
      <c r="AA12" s="428" cm="1">
        <f t="array" ref="AA12">SUMPRODUCT((HQ!$T$3:$T$89=AA42)*(ISNUMBER(HQ!$N$3:$N$89))*(HQ!$N$3:$N$89))</f>
        <v>0</v>
      </c>
      <c r="AB12" s="428" cm="1">
        <f t="array" ref="AB12">SUMPRODUCT((HQ!$T$3:$T$89=AB42)*(ISNUMBER(HQ!$N$3:$N$89))*(HQ!$N$3:$N$89))</f>
        <v>0</v>
      </c>
      <c r="AC12" s="428" cm="1">
        <f t="array" ref="AC12">SUMPRODUCT((HQ!$T$3:$T$89=AC42)*(ISNUMBER(HQ!$N$3:$N$89))*(HQ!$N$3:$N$89))</f>
        <v>14</v>
      </c>
      <c r="AD12" s="428" cm="1">
        <f t="array" ref="AD12">SUMPRODUCT((HQ!$T$3:$T$89=AD42)*(ISNUMBER(HQ!$N$3:$N$89))*(HQ!$N$3:$N$89))</f>
        <v>0</v>
      </c>
      <c r="AE12" s="428" cm="1">
        <f t="array" ref="AE12">SUMPRODUCT((HQ!$T$3:$T$89=AE42)*(ISNUMBER(HQ!$N$3:$N$89))*(HQ!$N$3:$N$89))</f>
        <v>0</v>
      </c>
      <c r="AF12" s="428" cm="1">
        <f t="array" ref="AF12">SUMPRODUCT((HQ!$T$3:$T$89=AF42)*(ISNUMBER(HQ!$N$3:$N$89))*(HQ!$N$3:$N$89))</f>
        <v>0</v>
      </c>
      <c r="AG12" s="428" cm="1">
        <f t="array" ref="AG12">SUMPRODUCT((HQ!$T$3:$T$89=AG42)*(ISNUMBER(HQ!$N$3:$N$89))*(HQ!$N$3:$N$89))</f>
        <v>0</v>
      </c>
      <c r="AH12" s="428" cm="1">
        <f t="array" ref="AH12">SUMPRODUCT((HQ!$T$3:$T$89=AH42)*(ISNUMBER(HQ!$N$3:$N$89))*(HQ!$N$3:$N$89))</f>
        <v>0</v>
      </c>
      <c r="AI12" s="428" cm="1">
        <f t="array" ref="AI12">SUMPRODUCT((HQ!$T$3:$T$89=AI42)*(ISNUMBER(HQ!$N$3:$N$89))*(HQ!$N$3:$N$89))</f>
        <v>0</v>
      </c>
      <c r="AJ12" s="428" cm="1">
        <f t="array" ref="AJ12">SUMPRODUCT((HQ!$T$3:$T$89=AJ42)*(ISNUMBER(HQ!$N$3:$N$89))*(HQ!$N$3:$N$89))</f>
        <v>10</v>
      </c>
      <c r="AK12" s="428" cm="1">
        <f t="array" ref="AK12">SUMPRODUCT((HQ!$T$3:$T$89=AK42)*(ISNUMBER(HQ!$N$3:$N$89))*(HQ!$N$3:$N$89))</f>
        <v>0</v>
      </c>
      <c r="AL12" s="428" cm="1">
        <f t="array" ref="AL12">SUMPRODUCT((HQ!$T$3:$T$89=AL42)*(ISNUMBER(HQ!$N$3:$N$89))*(HQ!$N$3:$N$89))</f>
        <v>8</v>
      </c>
      <c r="AM12" s="428" cm="1">
        <f t="array" ref="AM12">SUMPRODUCT((HQ!$T$3:$T$89=AM42)*(ISNUMBER(HQ!$N$3:$N$89))*(HQ!$N$3:$N$89))</f>
        <v>0</v>
      </c>
      <c r="AN12" s="428" cm="1">
        <f t="array" ref="AN12">SUMPRODUCT((HQ!$T$3:$T$89=AN42)*(ISNUMBER(HQ!$N$3:$N$89))*(HQ!$N$3:$N$89))</f>
        <v>0</v>
      </c>
      <c r="AO12" s="428" cm="1">
        <f t="array" ref="AO12">SUMPRODUCT((HQ!$T$3:$T$89=AO42)*(ISNUMBER(HQ!$N$3:$N$89))*(HQ!$N$3:$N$89))</f>
        <v>0</v>
      </c>
      <c r="AP12" s="428" cm="1">
        <f t="array" ref="AP12">SUMPRODUCT((HQ!$T$3:$T$89=AP42)*(ISNUMBER(HQ!$N$3:$N$89))*(HQ!$N$3:$N$89))</f>
        <v>0</v>
      </c>
      <c r="AQ12" s="428" cm="1">
        <f t="array" ref="AQ12">SUMPRODUCT((HQ!$T$3:$T$89=AQ42)*(ISNUMBER(HQ!$N$3:$N$89))*(HQ!$N$3:$N$89))</f>
        <v>11</v>
      </c>
      <c r="AR12" s="428" cm="1">
        <f t="array" ref="AR12">SUMPRODUCT((HQ!$T$3:$T$89=AR42)*(ISNUMBER(HQ!$N$3:$N$89))*(HQ!$N$3:$N$89))</f>
        <v>0</v>
      </c>
      <c r="AS12" s="428" cm="1">
        <f t="array" ref="AS12">SUMPRODUCT((HQ!$T$3:$T$89=AS42)*(ISNUMBER(HQ!$N$3:$N$89))*(HQ!$N$3:$N$89))</f>
        <v>0</v>
      </c>
      <c r="AT12" s="428" cm="1">
        <f t="array" ref="AT12">SUMPRODUCT((HQ!$T$3:$T$89=AT42)*(ISNUMBER(HQ!$N$3:$N$89))*(HQ!$N$3:$N$89))</f>
        <v>0</v>
      </c>
      <c r="AU12" s="428" cm="1">
        <f t="array" ref="AU12">SUMPRODUCT((HQ!$T$3:$T$89=AU42)*(ISNUMBER(HQ!$N$3:$N$89))*(HQ!$N$3:$N$89))</f>
        <v>0</v>
      </c>
      <c r="AV12" s="428" cm="1">
        <f t="array" ref="AV12">SUMPRODUCT((HQ!$T$3:$T$89=AV42)*(ISNUMBER(HQ!$N$3:$N$89))*(HQ!$N$3:$N$89))</f>
        <v>0</v>
      </c>
      <c r="AW12" s="428" cm="1">
        <f t="array" ref="AW12">SUMPRODUCT((HQ!$T$3:$T$89=AW42)*(ISNUMBER(HQ!$N$3:$N$89))*(HQ!$N$3:$N$89))</f>
        <v>0</v>
      </c>
      <c r="AX12" s="428" cm="1">
        <f t="array" ref="AX12">SUMPRODUCT((HQ!$T$3:$T$89=AX42)*(ISNUMBER(HQ!$N$3:$N$89))*(HQ!$N$3:$N$89))</f>
        <v>0</v>
      </c>
      <c r="AY12" s="428" cm="1">
        <f t="array" ref="AY12">SUMPRODUCT((HQ!$T$3:$T$89=AY42)*(ISNUMBER(HQ!$N$3:$N$89))*(HQ!$N$3:$N$89))</f>
        <v>7</v>
      </c>
      <c r="AZ12" s="428" cm="1">
        <f t="array" ref="AZ12">SUMPRODUCT((HQ!$T$3:$T$89=AZ42)*(ISNUMBER(HQ!$N$3:$N$89))*(HQ!$N$3:$N$89))</f>
        <v>2</v>
      </c>
      <c r="BA12" s="428" cm="1">
        <f t="array" ref="BA12">SUMPRODUCT((HQ!$T$3:$T$89=BA42)*(ISNUMBER(HQ!$N$3:$N$89))*(HQ!$N$3:$N$89))</f>
        <v>0</v>
      </c>
      <c r="BB12" s="428" cm="1">
        <f t="array" ref="BB12">SUMPRODUCT((HQ!$T$3:$T$89=BB42)*(ISNUMBER(HQ!$N$3:$N$89))*(HQ!$N$3:$N$89))</f>
        <v>6</v>
      </c>
      <c r="BC12" s="428" cm="1">
        <f t="array" ref="BC12">SUMPRODUCT((HQ!$T$3:$T$89=BC42)*(ISNUMBER(HQ!$N$3:$N$89))*(HQ!$N$3:$N$89))</f>
        <v>0</v>
      </c>
      <c r="BD12" s="428" cm="1">
        <f t="array" ref="BD12">SUMPRODUCT((HQ!$T$3:$T$89=BD42)*(ISNUMBER(HQ!$N$3:$N$89))*(HQ!$N$3:$N$89))</f>
        <v>0</v>
      </c>
      <c r="BE12" s="428" cm="1">
        <f t="array" ref="BE12">SUMPRODUCT((HQ!$T$3:$T$89=BE42)*(ISNUMBER(HQ!$N$3:$N$89))*(HQ!$N$3:$N$89))</f>
        <v>0</v>
      </c>
      <c r="BF12" s="428" cm="1">
        <f t="array" ref="BF12">SUMPRODUCT((HQ!$T$3:$T$89=BF42)*(ISNUMBER(HQ!$N$3:$N$89))*(HQ!$N$3:$N$89))</f>
        <v>0</v>
      </c>
      <c r="BG12" s="428" cm="1">
        <f t="array" ref="BG12">SUMPRODUCT((HQ!$T$3:$T$89=BG42)*(ISNUMBER(HQ!$N$3:$N$89))*(HQ!$N$3:$N$89))</f>
        <v>12</v>
      </c>
      <c r="BH12" s="428" cm="1">
        <f t="array" ref="BH12">SUMPRODUCT((HQ!$T$3:$T$89=BH42)*(ISNUMBER(HQ!$N$3:$N$89))*(HQ!$N$3:$N$89))</f>
        <v>0</v>
      </c>
      <c r="BI12" s="428" cm="1">
        <f t="array" ref="BI12">SUMPRODUCT((HQ!$T$3:$T$89=BI42)*(ISNUMBER(HQ!$N$3:$N$89))*(HQ!$N$3:$N$89))</f>
        <v>2</v>
      </c>
      <c r="BJ12" s="428" cm="1">
        <f t="array" ref="BJ12">SUMPRODUCT((HQ!$T$3:$T$89=BJ42)*(ISNUMBER(HQ!$N$3:$N$89))*(HQ!$N$3:$N$89))</f>
        <v>0</v>
      </c>
      <c r="BK12" s="428" cm="1">
        <f t="array" ref="BK12">SUMPRODUCT((HQ!$T$3:$T$89=BK42)*(ISNUMBER(HQ!$N$3:$N$89))*(HQ!$N$3:$N$89))</f>
        <v>0</v>
      </c>
      <c r="BL12" s="428" cm="1">
        <f t="array" ref="BL12">SUMPRODUCT((HQ!$T$3:$T$89=BL42)*(ISNUMBER(HQ!$N$3:$N$89))*(HQ!$N$3:$N$89))</f>
        <v>4</v>
      </c>
      <c r="BM12" s="428" cm="1">
        <f t="array" ref="BM12">SUMPRODUCT((HQ!$T$3:$T$89=BM42)*(ISNUMBER(HQ!$N$3:$N$89))*(HQ!$N$3:$N$89))</f>
        <v>2</v>
      </c>
      <c r="BN12" s="428" cm="1">
        <f t="array" ref="BN12">SUMPRODUCT((HQ!$T$3:$T$89=BN42)*(ISNUMBER(HQ!$N$3:$N$89))*(HQ!$N$3:$N$89))</f>
        <v>3</v>
      </c>
      <c r="BO12" s="428" cm="1">
        <f t="array" ref="BO12">SUMPRODUCT((HQ!$T$3:$T$89=BO42)*(ISNUMBER(HQ!$N$3:$N$89))*(HQ!$N$3:$N$89))</f>
        <v>0</v>
      </c>
      <c r="BP12" s="428" cm="1">
        <f t="array" ref="BP12">SUMPRODUCT((HQ!$T$3:$T$89=BP42)*(ISNUMBER(HQ!$N$3:$N$89))*(HQ!$N$3:$N$89))</f>
        <v>6</v>
      </c>
      <c r="BQ12" s="428" cm="1">
        <f t="array" ref="BQ12">SUMPRODUCT((HQ!$T$3:$T$89=BQ42)*(ISNUMBER(HQ!$N$3:$N$89))*(HQ!$N$3:$N$89))</f>
        <v>0</v>
      </c>
      <c r="BR12" s="428" cm="1">
        <f t="array" ref="BR12">SUMPRODUCT((HQ!$T$3:$T$89=BR42)*(ISNUMBER(HQ!$N$3:$N$89))*(HQ!$N$3:$N$89))</f>
        <v>0</v>
      </c>
      <c r="BS12" s="428" cm="1">
        <f t="array" ref="BS12">SUMPRODUCT((HQ!$T$3:$T$89=BS42)*(ISNUMBER(HQ!$N$3:$N$89))*(HQ!$N$3:$N$89))</f>
        <v>0</v>
      </c>
      <c r="BT12" s="428" cm="1">
        <f t="array" ref="BT12">SUMPRODUCT((HQ!$T$3:$T$89=BT42)*(ISNUMBER(HQ!$N$3:$N$89))*(HQ!$N$3:$N$89))</f>
        <v>0</v>
      </c>
      <c r="BU12" s="428" cm="1">
        <f t="array" ref="BU12">SUMPRODUCT((HQ!$T$3:$T$89=BU42)*(ISNUMBER(HQ!$N$3:$N$89))*(HQ!$N$3:$N$89))</f>
        <v>0</v>
      </c>
      <c r="BV12" s="428" cm="1">
        <f t="array" ref="BV12">SUMPRODUCT((HQ!$T$3:$T$89=BV42)*(ISNUMBER(HQ!$N$3:$N$89))*(HQ!$N$3:$N$89))</f>
        <v>0</v>
      </c>
      <c r="BW12" s="428" cm="1">
        <f t="array" ref="BW12">SUMPRODUCT((HQ!$T$3:$T$89=BW42)*(ISNUMBER(HQ!$N$3:$N$89))*(HQ!$N$3:$N$89))</f>
        <v>0</v>
      </c>
      <c r="BX12" s="428" cm="1">
        <f t="array" ref="BX12">SUMPRODUCT((HQ!$T$3:$T$89=BX42)*(ISNUMBER(HQ!$N$3:$N$89))*(HQ!$N$3:$N$89))</f>
        <v>0</v>
      </c>
      <c r="BY12" s="428" cm="1">
        <f t="array" ref="BY12">SUMPRODUCT((HQ!$T$3:$T$89=BY42)*(ISNUMBER(HQ!$N$3:$N$89))*(HQ!$N$3:$N$89))</f>
        <v>0</v>
      </c>
      <c r="BZ12" s="428" cm="1">
        <f t="array" ref="BZ12">SUMPRODUCT((HQ!$T$3:$T$89=BZ42)*(ISNUMBER(HQ!$N$3:$N$89))*(HQ!$N$3:$N$89))</f>
        <v>0</v>
      </c>
      <c r="CA12" s="428" cm="1">
        <f t="array" ref="CA12">SUMPRODUCT((HQ!$T$3:$T$89=CA42)*(ISNUMBER(HQ!$N$3:$N$89))*(HQ!$N$3:$N$89))</f>
        <v>0</v>
      </c>
      <c r="CB12" s="428" cm="1">
        <f t="array" ref="CB12">SUMPRODUCT((HQ!$T$3:$T$89=CB42)*(ISNUMBER(HQ!$N$3:$N$89))*(HQ!$N$3:$N$89))</f>
        <v>0</v>
      </c>
      <c r="CC12" s="428" cm="1">
        <f t="array" ref="CC12">SUMPRODUCT((HQ!$T$3:$T$89=CC42)*(ISNUMBER(HQ!$N$3:$N$89))*(HQ!$N$3:$N$89))</f>
        <v>0</v>
      </c>
      <c r="CD12" s="428" cm="1">
        <f t="array" ref="CD12">SUMPRODUCT((HQ!$T$3:$T$89=CD42)*(ISNUMBER(HQ!$N$3:$N$89))*(HQ!$N$3:$N$89))</f>
        <v>0</v>
      </c>
      <c r="CE12" s="428" cm="1">
        <f t="array" ref="CE12">SUMPRODUCT((HQ!$T$3:$T$89=CE42)*(ISNUMBER(HQ!$N$3:$N$89))*(HQ!$N$3:$N$89))</f>
        <v>0</v>
      </c>
      <c r="CF12" s="428" cm="1">
        <f t="array" ref="CF12">SUMPRODUCT((HQ!$T$3:$T$89=CF42)*(ISNUMBER(HQ!$N$3:$N$89))*(HQ!$N$3:$N$89))</f>
        <v>0</v>
      </c>
      <c r="CG12" s="428" cm="1">
        <f t="array" ref="CG12">SUMPRODUCT((HQ!$T$3:$T$89=CG42)*(ISNUMBER(HQ!$N$3:$N$89))*(HQ!$N$3:$N$89))</f>
        <v>0</v>
      </c>
      <c r="CH12" s="428" cm="1">
        <f t="array" ref="CH12">SUMPRODUCT((HQ!$T$3:$T$89=CH42)*(ISNUMBER(HQ!$N$3:$N$89))*(HQ!$N$3:$N$89))</f>
        <v>0</v>
      </c>
      <c r="CI12" s="428" cm="1">
        <f t="array" ref="CI12">SUMPRODUCT((HQ!$T$3:$T$89=CI42)*(ISNUMBER(HQ!$N$3:$N$89))*(HQ!$N$3:$N$89))</f>
        <v>0</v>
      </c>
      <c r="CJ12" s="428" cm="1">
        <f t="array" ref="CJ12">SUMPRODUCT((HQ!$T$3:$T$89=CJ42)*(ISNUMBER(HQ!$N$3:$N$89))*(HQ!$N$3:$N$89))</f>
        <v>0</v>
      </c>
      <c r="CK12" s="428" cm="1">
        <f t="array" ref="CK12">SUMPRODUCT((HQ!$T$3:$T$89=CK42)*(ISNUMBER(HQ!$N$3:$N$89))*(HQ!$N$3:$N$89))</f>
        <v>0</v>
      </c>
      <c r="CL12" s="428" cm="1">
        <f t="array" ref="CL12">SUMPRODUCT((HQ!$T$3:$T$89=CL42)*(ISNUMBER(HQ!$N$3:$N$89))*(HQ!$N$3:$N$89))</f>
        <v>0</v>
      </c>
      <c r="CM12" s="428" cm="1">
        <f t="array" ref="CM12">SUMPRODUCT((HQ!$T$3:$T$89=CM42)*(ISNUMBER(HQ!$N$3:$N$89))*(HQ!$N$3:$N$89))</f>
        <v>0</v>
      </c>
      <c r="CN12" s="428" cm="1">
        <f t="array" ref="CN12">SUMPRODUCT((HQ!$T$3:$T$89=CN42)*(ISNUMBER(HQ!$N$3:$N$89))*(HQ!$N$3:$N$89))</f>
        <v>0</v>
      </c>
      <c r="CO12" s="428" cm="1">
        <f t="array" ref="CO12">SUMPRODUCT((HQ!$T$3:$T$89=CO42)*(ISNUMBER(HQ!$N$3:$N$89))*(HQ!$N$3:$N$89))</f>
        <v>0</v>
      </c>
      <c r="CP12" s="428" cm="1">
        <f t="array" ref="CP12">SUMPRODUCT((HQ!$T$3:$T$89=CP42)*(ISNUMBER(HQ!$N$3:$N$89))*(HQ!$N$3:$N$89))</f>
        <v>0</v>
      </c>
      <c r="CQ12" s="428" cm="1">
        <f t="array" ref="CQ12">SUMPRODUCT((HQ!$T$3:$T$89=CQ42)*(ISNUMBER(HQ!$N$3:$N$89))*(HQ!$N$3:$N$89))</f>
        <v>0</v>
      </c>
      <c r="CR12" s="428" cm="1">
        <f t="array" ref="CR12">SUMPRODUCT((HQ!$T$3:$T$89=CR42)*(ISNUMBER(HQ!$N$3:$N$89))*(HQ!$N$3:$N$89))</f>
        <v>0</v>
      </c>
      <c r="CS12" s="428" cm="1">
        <f t="array" ref="CS12">SUMPRODUCT((HQ!$T$3:$T$89=CS42)*(ISNUMBER(HQ!$N$3:$N$89))*(HQ!$N$3:$N$89))</f>
        <v>0</v>
      </c>
      <c r="CT12" s="428" cm="1">
        <f t="array" ref="CT12">SUMPRODUCT((HQ!$T$3:$T$89=CT42)*(ISNUMBER(HQ!$N$3:$N$89))*(HQ!$N$3:$N$89))</f>
        <v>0</v>
      </c>
      <c r="CU12" s="426">
        <f>SUM(B12:CT12)</f>
        <v>188</v>
      </c>
    </row>
    <row r="13" spans="1:99" ht="19.5" customHeight="1">
      <c r="A13" s="429" t="s">
        <v>318</v>
      </c>
      <c r="B13" s="430">
        <f>IF(B11=0,IF(B12=0,0,1),B12/B11)</f>
        <v>0.88235294117647056</v>
      </c>
      <c r="C13" s="430">
        <f t="shared" ref="C13:BI13" si="11">IF(C11=0,IF(C12=0,0,1),C12/C11)</f>
        <v>0</v>
      </c>
      <c r="D13" s="430">
        <f t="shared" si="11"/>
        <v>0</v>
      </c>
      <c r="E13" s="430">
        <f t="shared" si="11"/>
        <v>0</v>
      </c>
      <c r="F13" s="430">
        <f t="shared" si="11"/>
        <v>0</v>
      </c>
      <c r="G13" s="430">
        <f t="shared" si="11"/>
        <v>0</v>
      </c>
      <c r="H13" s="430">
        <f t="shared" si="11"/>
        <v>0</v>
      </c>
      <c r="I13" s="430">
        <f t="shared" si="11"/>
        <v>0</v>
      </c>
      <c r="J13" s="430">
        <f t="shared" si="11"/>
        <v>1</v>
      </c>
      <c r="K13" s="430">
        <f t="shared" si="11"/>
        <v>0</v>
      </c>
      <c r="L13" s="430">
        <f t="shared" si="11"/>
        <v>0</v>
      </c>
      <c r="M13" s="430">
        <f t="shared" si="11"/>
        <v>0</v>
      </c>
      <c r="N13" s="430">
        <f t="shared" si="11"/>
        <v>0</v>
      </c>
      <c r="O13" s="430">
        <f t="shared" si="11"/>
        <v>0</v>
      </c>
      <c r="P13" s="430">
        <f t="shared" si="11"/>
        <v>0</v>
      </c>
      <c r="Q13" s="430">
        <f t="shared" si="11"/>
        <v>1</v>
      </c>
      <c r="R13" s="430">
        <f t="shared" si="11"/>
        <v>0</v>
      </c>
      <c r="S13" s="430">
        <f t="shared" si="11"/>
        <v>1</v>
      </c>
      <c r="T13" s="430">
        <f t="shared" si="11"/>
        <v>0</v>
      </c>
      <c r="U13" s="430">
        <f t="shared" si="11"/>
        <v>0</v>
      </c>
      <c r="V13" s="430">
        <f t="shared" si="11"/>
        <v>1</v>
      </c>
      <c r="W13" s="430">
        <f t="shared" si="11"/>
        <v>0</v>
      </c>
      <c r="X13" s="430">
        <f t="shared" si="11"/>
        <v>1</v>
      </c>
      <c r="Y13" s="430">
        <f t="shared" si="11"/>
        <v>0</v>
      </c>
      <c r="Z13" s="430">
        <f t="shared" si="11"/>
        <v>1</v>
      </c>
      <c r="AA13" s="430">
        <f t="shared" si="11"/>
        <v>0</v>
      </c>
      <c r="AB13" s="430">
        <f t="shared" si="11"/>
        <v>0</v>
      </c>
      <c r="AC13" s="430">
        <f t="shared" si="11"/>
        <v>1</v>
      </c>
      <c r="AD13" s="430">
        <f t="shared" si="11"/>
        <v>0</v>
      </c>
      <c r="AE13" s="430">
        <f t="shared" si="11"/>
        <v>0</v>
      </c>
      <c r="AF13" s="430">
        <f t="shared" si="11"/>
        <v>0</v>
      </c>
      <c r="AG13" s="430">
        <f t="shared" si="11"/>
        <v>0</v>
      </c>
      <c r="AH13" s="430">
        <f t="shared" si="11"/>
        <v>0</v>
      </c>
      <c r="AI13" s="430">
        <f t="shared" si="11"/>
        <v>0</v>
      </c>
      <c r="AJ13" s="430">
        <f t="shared" si="11"/>
        <v>1</v>
      </c>
      <c r="AK13" s="430">
        <f t="shared" si="11"/>
        <v>0</v>
      </c>
      <c r="AL13" s="430">
        <f t="shared" si="11"/>
        <v>1</v>
      </c>
      <c r="AM13" s="430">
        <f t="shared" si="11"/>
        <v>0</v>
      </c>
      <c r="AN13" s="430">
        <f t="shared" si="11"/>
        <v>0</v>
      </c>
      <c r="AO13" s="430">
        <f t="shared" si="11"/>
        <v>0</v>
      </c>
      <c r="AP13" s="430">
        <f t="shared" si="11"/>
        <v>0</v>
      </c>
      <c r="AQ13" s="430">
        <f t="shared" si="11"/>
        <v>1</v>
      </c>
      <c r="AR13" s="430">
        <f t="shared" si="11"/>
        <v>0</v>
      </c>
      <c r="AS13" s="430">
        <f t="shared" si="11"/>
        <v>0</v>
      </c>
      <c r="AT13" s="430">
        <f t="shared" si="11"/>
        <v>0</v>
      </c>
      <c r="AU13" s="430">
        <f t="shared" si="11"/>
        <v>0</v>
      </c>
      <c r="AV13" s="430">
        <f t="shared" si="11"/>
        <v>0</v>
      </c>
      <c r="AW13" s="430">
        <f t="shared" si="11"/>
        <v>0</v>
      </c>
      <c r="AX13" s="430">
        <f t="shared" si="11"/>
        <v>0</v>
      </c>
      <c r="AY13" s="430">
        <f t="shared" si="11"/>
        <v>1</v>
      </c>
      <c r="AZ13" s="430">
        <f t="shared" si="11"/>
        <v>1</v>
      </c>
      <c r="BA13" s="430">
        <f t="shared" si="11"/>
        <v>0</v>
      </c>
      <c r="BB13" s="430">
        <f t="shared" si="11"/>
        <v>1</v>
      </c>
      <c r="BC13" s="430">
        <f t="shared" si="11"/>
        <v>0</v>
      </c>
      <c r="BD13" s="430">
        <f t="shared" si="11"/>
        <v>0</v>
      </c>
      <c r="BE13" s="430">
        <f t="shared" si="11"/>
        <v>0</v>
      </c>
      <c r="BF13" s="430">
        <f t="shared" si="11"/>
        <v>0</v>
      </c>
      <c r="BG13" s="430">
        <f t="shared" si="11"/>
        <v>1</v>
      </c>
      <c r="BH13" s="430">
        <f t="shared" si="11"/>
        <v>0</v>
      </c>
      <c r="BI13" s="430">
        <f t="shared" si="11"/>
        <v>1</v>
      </c>
      <c r="BJ13" s="430">
        <f t="shared" ref="BJ13:CJ13" si="12">IF(BJ11=0,IF(BJ12=0,0,1),BJ12/BJ11)</f>
        <v>0</v>
      </c>
      <c r="BK13" s="430">
        <f t="shared" si="12"/>
        <v>0</v>
      </c>
      <c r="BL13" s="430">
        <f t="shared" si="12"/>
        <v>1</v>
      </c>
      <c r="BM13" s="430">
        <f t="shared" si="12"/>
        <v>0.66666666666666663</v>
      </c>
      <c r="BN13" s="430">
        <f t="shared" si="12"/>
        <v>1</v>
      </c>
      <c r="BO13" s="430">
        <f t="shared" si="12"/>
        <v>0</v>
      </c>
      <c r="BP13" s="430">
        <f t="shared" si="12"/>
        <v>1</v>
      </c>
      <c r="BQ13" s="430">
        <f t="shared" si="12"/>
        <v>0</v>
      </c>
      <c r="BR13" s="430">
        <f t="shared" si="12"/>
        <v>0</v>
      </c>
      <c r="BS13" s="430">
        <f t="shared" si="12"/>
        <v>0</v>
      </c>
      <c r="BT13" s="430">
        <f t="shared" si="12"/>
        <v>0</v>
      </c>
      <c r="BU13" s="430">
        <f t="shared" si="12"/>
        <v>0</v>
      </c>
      <c r="BV13" s="430">
        <f t="shared" si="12"/>
        <v>0</v>
      </c>
      <c r="BW13" s="430">
        <f t="shared" si="12"/>
        <v>0</v>
      </c>
      <c r="BX13" s="430">
        <f t="shared" si="12"/>
        <v>0</v>
      </c>
      <c r="BY13" s="430">
        <f t="shared" si="12"/>
        <v>0</v>
      </c>
      <c r="BZ13" s="430">
        <f t="shared" si="12"/>
        <v>0</v>
      </c>
      <c r="CA13" s="430">
        <f t="shared" si="12"/>
        <v>0</v>
      </c>
      <c r="CB13" s="430">
        <f t="shared" si="12"/>
        <v>0</v>
      </c>
      <c r="CC13" s="430">
        <f t="shared" si="12"/>
        <v>0</v>
      </c>
      <c r="CD13" s="430">
        <f t="shared" si="12"/>
        <v>0</v>
      </c>
      <c r="CE13" s="430">
        <f t="shared" si="12"/>
        <v>0</v>
      </c>
      <c r="CF13" s="430">
        <f t="shared" si="12"/>
        <v>0</v>
      </c>
      <c r="CG13" s="430">
        <f t="shared" si="12"/>
        <v>0</v>
      </c>
      <c r="CH13" s="430">
        <f t="shared" si="12"/>
        <v>0</v>
      </c>
      <c r="CI13" s="430">
        <f t="shared" si="12"/>
        <v>0</v>
      </c>
      <c r="CJ13" s="430">
        <f t="shared" si="12"/>
        <v>0</v>
      </c>
      <c r="CK13" s="430">
        <f t="shared" ref="CK13:CT13" si="13">IF(CK11=0,IF(CK12=0,0,1),CK12/CK11)</f>
        <v>0</v>
      </c>
      <c r="CL13" s="430">
        <f t="shared" si="13"/>
        <v>0</v>
      </c>
      <c r="CM13" s="430">
        <f t="shared" si="13"/>
        <v>0</v>
      </c>
      <c r="CN13" s="430">
        <f t="shared" si="13"/>
        <v>0</v>
      </c>
      <c r="CO13" s="430">
        <f t="shared" si="13"/>
        <v>0</v>
      </c>
      <c r="CP13" s="430">
        <f t="shared" si="13"/>
        <v>0</v>
      </c>
      <c r="CQ13" s="430">
        <f t="shared" si="13"/>
        <v>0</v>
      </c>
      <c r="CR13" s="430">
        <f t="shared" si="13"/>
        <v>0</v>
      </c>
      <c r="CS13" s="430">
        <f t="shared" si="13"/>
        <v>0</v>
      </c>
      <c r="CT13" s="430">
        <f t="shared" si="13"/>
        <v>0</v>
      </c>
      <c r="CU13" s="423">
        <f>IF(CU11=0,"-",CU12/CU11)</f>
        <v>0.97409326424870468</v>
      </c>
    </row>
    <row r="14" spans="1:99" ht="3.75" customHeight="1">
      <c r="BJ14" s="416"/>
    </row>
    <row r="15" spans="1:99" ht="21.75" customHeight="1">
      <c r="A15" s="1138" t="s">
        <v>319</v>
      </c>
      <c r="B15" s="1139"/>
      <c r="C15" s="1139"/>
      <c r="D15" s="1139"/>
      <c r="E15" s="1139"/>
      <c r="F15" s="1139"/>
      <c r="G15" s="1139"/>
      <c r="H15" s="1139"/>
      <c r="I15" s="1139"/>
      <c r="J15" s="1139"/>
      <c r="K15" s="1139"/>
      <c r="L15" s="1139"/>
      <c r="M15" s="1139"/>
      <c r="N15" s="1139"/>
      <c r="O15" s="1139"/>
      <c r="P15" s="1139"/>
      <c r="Q15" s="1139"/>
      <c r="R15" s="1139"/>
      <c r="S15" s="1139"/>
      <c r="T15" s="1139"/>
      <c r="U15" s="1139"/>
      <c r="V15" s="1139"/>
      <c r="W15" s="1139"/>
      <c r="X15" s="1139"/>
      <c r="Y15" s="1139"/>
      <c r="Z15" s="1139"/>
      <c r="AA15" s="1139"/>
      <c r="AB15" s="1139"/>
      <c r="AC15" s="1139"/>
      <c r="AD15" s="1139"/>
      <c r="AE15" s="1139"/>
      <c r="AF15" s="1139"/>
      <c r="AG15" s="1139"/>
      <c r="AH15" s="1139"/>
      <c r="AI15" s="1139"/>
      <c r="AJ15" s="1139"/>
      <c r="AK15" s="1139"/>
      <c r="AL15" s="1139"/>
      <c r="AM15" s="1139"/>
      <c r="AN15" s="1139"/>
      <c r="AO15" s="1139"/>
      <c r="AP15" s="1139"/>
      <c r="AQ15" s="1139"/>
      <c r="AR15" s="1139"/>
      <c r="AS15" s="1139"/>
      <c r="AT15" s="1139"/>
      <c r="AU15" s="1139"/>
      <c r="AV15" s="1139"/>
      <c r="AW15" s="1139"/>
      <c r="AX15" s="1139"/>
      <c r="AY15" s="1139"/>
      <c r="AZ15" s="1139"/>
      <c r="BA15" s="1139"/>
      <c r="BB15" s="1139"/>
      <c r="BC15" s="1139"/>
      <c r="BD15" s="1139"/>
      <c r="BE15" s="1139"/>
      <c r="BF15" s="1139"/>
      <c r="BG15" s="1139"/>
      <c r="BH15" s="1139"/>
      <c r="BI15" s="1139"/>
      <c r="BJ15" s="1139"/>
      <c r="BK15" s="1139"/>
      <c r="BL15" s="1139"/>
      <c r="BM15" s="1139"/>
      <c r="BN15" s="1139"/>
      <c r="BO15" s="1139"/>
      <c r="BP15" s="1139"/>
      <c r="BQ15" s="1139"/>
      <c r="BR15" s="1139"/>
      <c r="BS15" s="1139"/>
      <c r="BT15" s="1139"/>
      <c r="BU15" s="1139"/>
      <c r="BV15" s="1139"/>
      <c r="BW15" s="1139"/>
      <c r="BX15" s="1139"/>
      <c r="BY15" s="1139"/>
      <c r="BZ15" s="1139"/>
      <c r="CA15" s="1139"/>
      <c r="CB15" s="1139"/>
      <c r="CC15" s="1139"/>
      <c r="CD15" s="1139"/>
      <c r="CE15" s="1139"/>
      <c r="CF15" s="1139"/>
      <c r="CG15" s="1139"/>
      <c r="CH15" s="1139"/>
      <c r="CI15" s="1139"/>
      <c r="CJ15" s="1139"/>
      <c r="CK15" s="1139"/>
      <c r="CL15" s="1139"/>
      <c r="CM15" s="1139"/>
      <c r="CN15" s="1139"/>
      <c r="CO15" s="1139"/>
      <c r="CP15" s="1139"/>
      <c r="CQ15" s="1139"/>
      <c r="CR15" s="1139"/>
      <c r="CS15" s="1139"/>
      <c r="CT15" s="1139"/>
      <c r="CU15" s="1139"/>
    </row>
    <row r="16" spans="1:99" ht="19.5" customHeight="1">
      <c r="A16" s="424" t="s">
        <v>316</v>
      </c>
      <c r="B16" s="425">
        <f t="shared" ref="B16:BI16" si="14">B7</f>
        <v>34</v>
      </c>
      <c r="C16" s="425">
        <f t="shared" si="14"/>
        <v>0</v>
      </c>
      <c r="D16" s="425">
        <f t="shared" si="14"/>
        <v>0</v>
      </c>
      <c r="E16" s="425">
        <f t="shared" si="14"/>
        <v>0</v>
      </c>
      <c r="F16" s="425">
        <f t="shared" si="14"/>
        <v>0</v>
      </c>
      <c r="G16" s="425">
        <f t="shared" si="14"/>
        <v>0</v>
      </c>
      <c r="H16" s="425">
        <f t="shared" si="14"/>
        <v>0</v>
      </c>
      <c r="I16" s="425">
        <f t="shared" si="14"/>
        <v>0</v>
      </c>
      <c r="J16" s="425">
        <f t="shared" si="14"/>
        <v>10</v>
      </c>
      <c r="K16" s="425">
        <f t="shared" si="14"/>
        <v>0</v>
      </c>
      <c r="L16" s="425">
        <f t="shared" si="14"/>
        <v>0</v>
      </c>
      <c r="M16" s="425">
        <f t="shared" si="14"/>
        <v>0</v>
      </c>
      <c r="N16" s="425">
        <f t="shared" si="14"/>
        <v>0</v>
      </c>
      <c r="O16" s="425">
        <f t="shared" si="14"/>
        <v>0</v>
      </c>
      <c r="P16" s="425">
        <f t="shared" si="14"/>
        <v>0</v>
      </c>
      <c r="Q16" s="425">
        <f t="shared" si="14"/>
        <v>5</v>
      </c>
      <c r="R16" s="425">
        <f t="shared" si="14"/>
        <v>0</v>
      </c>
      <c r="S16" s="425">
        <f t="shared" si="14"/>
        <v>4</v>
      </c>
      <c r="T16" s="425">
        <f t="shared" si="14"/>
        <v>0</v>
      </c>
      <c r="U16" s="425">
        <f t="shared" si="14"/>
        <v>0</v>
      </c>
      <c r="V16" s="425">
        <f t="shared" si="14"/>
        <v>15</v>
      </c>
      <c r="W16" s="425">
        <f t="shared" si="14"/>
        <v>0</v>
      </c>
      <c r="X16" s="425">
        <f t="shared" si="14"/>
        <v>20</v>
      </c>
      <c r="Y16" s="425">
        <f t="shared" si="14"/>
        <v>0</v>
      </c>
      <c r="Z16" s="425">
        <f t="shared" si="14"/>
        <v>17</v>
      </c>
      <c r="AA16" s="425">
        <f t="shared" si="14"/>
        <v>0</v>
      </c>
      <c r="AB16" s="425">
        <f t="shared" si="14"/>
        <v>0</v>
      </c>
      <c r="AC16" s="425">
        <f t="shared" si="14"/>
        <v>14</v>
      </c>
      <c r="AD16" s="425">
        <f t="shared" si="14"/>
        <v>0</v>
      </c>
      <c r="AE16" s="425">
        <f t="shared" si="14"/>
        <v>0</v>
      </c>
      <c r="AF16" s="425">
        <f t="shared" si="14"/>
        <v>0</v>
      </c>
      <c r="AG16" s="425">
        <f t="shared" si="14"/>
        <v>0</v>
      </c>
      <c r="AH16" s="425">
        <f t="shared" si="14"/>
        <v>0</v>
      </c>
      <c r="AI16" s="425">
        <f t="shared" si="14"/>
        <v>0</v>
      </c>
      <c r="AJ16" s="425">
        <f t="shared" si="14"/>
        <v>10</v>
      </c>
      <c r="AK16" s="425">
        <f t="shared" si="14"/>
        <v>0</v>
      </c>
      <c r="AL16" s="425">
        <f t="shared" si="14"/>
        <v>8</v>
      </c>
      <c r="AM16" s="425">
        <f t="shared" si="14"/>
        <v>0</v>
      </c>
      <c r="AN16" s="425">
        <f t="shared" si="14"/>
        <v>0</v>
      </c>
      <c r="AO16" s="425">
        <f t="shared" si="14"/>
        <v>0</v>
      </c>
      <c r="AP16" s="425">
        <f t="shared" si="14"/>
        <v>0</v>
      </c>
      <c r="AQ16" s="425">
        <f t="shared" si="14"/>
        <v>11</v>
      </c>
      <c r="AR16" s="425">
        <f t="shared" si="14"/>
        <v>0</v>
      </c>
      <c r="AS16" s="425">
        <f t="shared" si="14"/>
        <v>0</v>
      </c>
      <c r="AT16" s="425">
        <f t="shared" si="14"/>
        <v>0</v>
      </c>
      <c r="AU16" s="425">
        <f t="shared" si="14"/>
        <v>0</v>
      </c>
      <c r="AV16" s="425">
        <f t="shared" si="14"/>
        <v>0</v>
      </c>
      <c r="AW16" s="425">
        <f t="shared" si="14"/>
        <v>0</v>
      </c>
      <c r="AX16" s="425">
        <f t="shared" si="14"/>
        <v>0</v>
      </c>
      <c r="AY16" s="425">
        <f t="shared" si="14"/>
        <v>7</v>
      </c>
      <c r="AZ16" s="425">
        <f t="shared" si="14"/>
        <v>2</v>
      </c>
      <c r="BA16" s="425">
        <f t="shared" si="14"/>
        <v>0</v>
      </c>
      <c r="BB16" s="425">
        <f t="shared" si="14"/>
        <v>6</v>
      </c>
      <c r="BC16" s="425">
        <f t="shared" si="14"/>
        <v>0</v>
      </c>
      <c r="BD16" s="425">
        <f t="shared" si="14"/>
        <v>0</v>
      </c>
      <c r="BE16" s="425">
        <f t="shared" si="14"/>
        <v>0</v>
      </c>
      <c r="BF16" s="425">
        <f t="shared" si="14"/>
        <v>0</v>
      </c>
      <c r="BG16" s="425">
        <f t="shared" si="14"/>
        <v>12</v>
      </c>
      <c r="BH16" s="425">
        <f t="shared" si="14"/>
        <v>0</v>
      </c>
      <c r="BI16" s="425">
        <f t="shared" si="14"/>
        <v>2</v>
      </c>
      <c r="BJ16" s="425">
        <f t="shared" ref="BJ16:CJ16" si="15">BJ7</f>
        <v>0</v>
      </c>
      <c r="BK16" s="425">
        <f t="shared" si="15"/>
        <v>0</v>
      </c>
      <c r="BL16" s="425">
        <f t="shared" si="15"/>
        <v>4</v>
      </c>
      <c r="BM16" s="425">
        <f t="shared" si="15"/>
        <v>3</v>
      </c>
      <c r="BN16" s="425">
        <f t="shared" si="15"/>
        <v>3</v>
      </c>
      <c r="BO16" s="425">
        <f t="shared" si="15"/>
        <v>0</v>
      </c>
      <c r="BP16" s="425">
        <f t="shared" si="15"/>
        <v>6</v>
      </c>
      <c r="BQ16" s="425">
        <f t="shared" si="15"/>
        <v>0</v>
      </c>
      <c r="BR16" s="425">
        <f t="shared" si="15"/>
        <v>0</v>
      </c>
      <c r="BS16" s="425">
        <f t="shared" si="15"/>
        <v>0</v>
      </c>
      <c r="BT16" s="425">
        <f t="shared" si="15"/>
        <v>0</v>
      </c>
      <c r="BU16" s="425">
        <f t="shared" si="15"/>
        <v>0</v>
      </c>
      <c r="BV16" s="425">
        <f t="shared" si="15"/>
        <v>0</v>
      </c>
      <c r="BW16" s="425">
        <f t="shared" si="15"/>
        <v>0</v>
      </c>
      <c r="BX16" s="425">
        <f t="shared" si="15"/>
        <v>0</v>
      </c>
      <c r="BY16" s="425">
        <f t="shared" si="15"/>
        <v>0</v>
      </c>
      <c r="BZ16" s="425">
        <f t="shared" si="15"/>
        <v>0</v>
      </c>
      <c r="CA16" s="425">
        <f t="shared" si="15"/>
        <v>0</v>
      </c>
      <c r="CB16" s="425">
        <f t="shared" si="15"/>
        <v>0</v>
      </c>
      <c r="CC16" s="425">
        <f t="shared" si="15"/>
        <v>0</v>
      </c>
      <c r="CD16" s="425">
        <f t="shared" si="15"/>
        <v>0</v>
      </c>
      <c r="CE16" s="425">
        <f t="shared" si="15"/>
        <v>0</v>
      </c>
      <c r="CF16" s="425">
        <f t="shared" si="15"/>
        <v>0</v>
      </c>
      <c r="CG16" s="425">
        <f t="shared" si="15"/>
        <v>0</v>
      </c>
      <c r="CH16" s="425">
        <f t="shared" si="15"/>
        <v>0</v>
      </c>
      <c r="CI16" s="425">
        <f t="shared" si="15"/>
        <v>0</v>
      </c>
      <c r="CJ16" s="425">
        <f t="shared" si="15"/>
        <v>0</v>
      </c>
      <c r="CK16" s="425">
        <f t="shared" ref="CK16:CT16" si="16">CK7</f>
        <v>0</v>
      </c>
      <c r="CL16" s="425">
        <f t="shared" si="16"/>
        <v>0</v>
      </c>
      <c r="CM16" s="425">
        <f t="shared" si="16"/>
        <v>0</v>
      </c>
      <c r="CN16" s="425">
        <f t="shared" si="16"/>
        <v>0</v>
      </c>
      <c r="CO16" s="425">
        <f t="shared" si="16"/>
        <v>0</v>
      </c>
      <c r="CP16" s="425">
        <f t="shared" si="16"/>
        <v>0</v>
      </c>
      <c r="CQ16" s="425">
        <f t="shared" si="16"/>
        <v>0</v>
      </c>
      <c r="CR16" s="425">
        <f t="shared" si="16"/>
        <v>0</v>
      </c>
      <c r="CS16" s="425">
        <f t="shared" si="16"/>
        <v>0</v>
      </c>
      <c r="CT16" s="425">
        <f t="shared" si="16"/>
        <v>0</v>
      </c>
      <c r="CU16" s="426">
        <f>CU7</f>
        <v>193</v>
      </c>
    </row>
    <row r="17" spans="1:99" ht="19.5" customHeight="1">
      <c r="A17" s="427" t="s">
        <v>317</v>
      </c>
      <c r="B17" s="428" cm="1">
        <f t="array" ref="B17">SUMPRODUCT((HQ!$T$3:$T$89=B42)*(ISNUMBER(HQ!$O$3:$O$89))*(HQ!$O$3:$O$89))</f>
        <v>30</v>
      </c>
      <c r="C17" s="428" cm="1">
        <f t="array" ref="C17">SUMPRODUCT((HQ!$T$3:$T$89=C42)*(ISNUMBER(HQ!$O$3:$O$89))*(HQ!$O$3:$O$89))</f>
        <v>0</v>
      </c>
      <c r="D17" s="428" cm="1">
        <f t="array" ref="D17">SUMPRODUCT((HQ!$T$3:$T$89=D42)*(ISNUMBER(HQ!$O$3:$O$89))*(HQ!$O$3:$O$89))</f>
        <v>0</v>
      </c>
      <c r="E17" s="428" cm="1">
        <f t="array" ref="E17">SUMPRODUCT((HQ!$T$3:$T$89=E42)*(ISNUMBER(HQ!$O$3:$O$89))*(HQ!$O$3:$O$89))</f>
        <v>0</v>
      </c>
      <c r="F17" s="428" cm="1">
        <f t="array" ref="F17">SUMPRODUCT((HQ!$T$3:$T$89=F42)*(ISNUMBER(HQ!$O$3:$O$89))*(HQ!$O$3:$O$89))</f>
        <v>0</v>
      </c>
      <c r="G17" s="428" cm="1">
        <f t="array" ref="G17">SUMPRODUCT((HQ!$T$3:$T$89=G42)*(ISNUMBER(HQ!$O$3:$O$89))*(HQ!$O$3:$O$89))</f>
        <v>0</v>
      </c>
      <c r="H17" s="428" cm="1">
        <f t="array" ref="H17">SUMPRODUCT((HQ!$T$3:$T$89=H42)*(ISNUMBER(HQ!$O$3:$O$89))*(HQ!$O$3:$O$89))</f>
        <v>0</v>
      </c>
      <c r="I17" s="428" cm="1">
        <f t="array" ref="I17">SUMPRODUCT((HQ!$T$3:$T$89=I42)*(ISNUMBER(HQ!$O$3:$O$89))*(HQ!$O$3:$O$89))</f>
        <v>0</v>
      </c>
      <c r="J17" s="428" cm="1">
        <f t="array" ref="J17">SUMPRODUCT((HQ!$T$3:$T$89=J42)*(ISNUMBER(HQ!$O$3:$O$89))*(HQ!$O$3:$O$89))</f>
        <v>10</v>
      </c>
      <c r="K17" s="428" cm="1">
        <f t="array" ref="K17">SUMPRODUCT((HQ!$T$3:$T$89=K42)*(ISNUMBER(HQ!$O$3:$O$89))*(HQ!$O$3:$O$89))</f>
        <v>0</v>
      </c>
      <c r="L17" s="428" cm="1">
        <f t="array" ref="L17">SUMPRODUCT((HQ!$T$3:$T$89=L42)*(ISNUMBER(HQ!$O$3:$O$89))*(HQ!$O$3:$O$89))</f>
        <v>0</v>
      </c>
      <c r="M17" s="428" cm="1">
        <f t="array" ref="M17">SUMPRODUCT((HQ!$T$3:$T$89=M42)*(ISNUMBER(HQ!$O$3:$O$89))*(HQ!$O$3:$O$89))</f>
        <v>0</v>
      </c>
      <c r="N17" s="428" cm="1">
        <f t="array" ref="N17">SUMPRODUCT((HQ!$T$3:$T$89=N42)*(ISNUMBER(HQ!$O$3:$O$89))*(HQ!$O$3:$O$89))</f>
        <v>0</v>
      </c>
      <c r="O17" s="428" cm="1">
        <f t="array" ref="O17">SUMPRODUCT((HQ!$T$3:$T$89=O42)*(ISNUMBER(HQ!$O$3:$O$89))*(HQ!$O$3:$O$89))</f>
        <v>0</v>
      </c>
      <c r="P17" s="428" cm="1">
        <f t="array" ref="P17">SUMPRODUCT((HQ!$T$3:$T$89=P42)*(ISNUMBER(HQ!$O$3:$O$89))*(HQ!$O$3:$O$89))</f>
        <v>0</v>
      </c>
      <c r="Q17" s="428" cm="1">
        <f t="array" ref="Q17">SUMPRODUCT((HQ!$T$3:$T$89=Q42)*(ISNUMBER(HQ!$O$3:$O$89))*(HQ!$O$3:$O$89))</f>
        <v>5</v>
      </c>
      <c r="R17" s="428" cm="1">
        <f t="array" ref="R17">SUMPRODUCT((HQ!$T$3:$T$89=R42)*(ISNUMBER(HQ!$O$3:$O$89))*(HQ!$O$3:$O$89))</f>
        <v>0</v>
      </c>
      <c r="S17" s="428" cm="1">
        <f t="array" ref="S17">SUMPRODUCT((HQ!$T$3:$T$89=S42)*(ISNUMBER(HQ!$O$3:$O$89))*(HQ!$O$3:$O$89))</f>
        <v>4</v>
      </c>
      <c r="T17" s="428" cm="1">
        <f t="array" ref="T17">SUMPRODUCT((HQ!$T$3:$T$89=T42)*(ISNUMBER(HQ!$O$3:$O$89))*(HQ!$O$3:$O$89))</f>
        <v>0</v>
      </c>
      <c r="U17" s="428" cm="1">
        <f t="array" ref="U17">SUMPRODUCT((HQ!$T$3:$T$89=U42)*(ISNUMBER(HQ!$O$3:$O$89))*(HQ!$O$3:$O$89))</f>
        <v>0</v>
      </c>
      <c r="V17" s="428" cm="1">
        <f t="array" ref="V17">SUMPRODUCT((HQ!$T$3:$T$89=V42)*(ISNUMBER(HQ!$O$3:$O$89))*(HQ!$O$3:$O$89))</f>
        <v>15</v>
      </c>
      <c r="W17" s="428" cm="1">
        <f t="array" ref="W17">SUMPRODUCT((HQ!$T$3:$T$89=W42)*(ISNUMBER(HQ!$O$3:$O$89))*(HQ!$O$3:$O$89))</f>
        <v>0</v>
      </c>
      <c r="X17" s="428" cm="1">
        <f t="array" ref="X17">SUMPRODUCT((HQ!$T$3:$T$89=X42)*(ISNUMBER(HQ!$O$3:$O$89))*(HQ!$O$3:$O$89))</f>
        <v>20</v>
      </c>
      <c r="Y17" s="428" cm="1">
        <f t="array" ref="Y17">SUMPRODUCT((HQ!$T$3:$T$89=Y42)*(ISNUMBER(HQ!$O$3:$O$89))*(HQ!$O$3:$O$89))</f>
        <v>0</v>
      </c>
      <c r="Z17" s="428" cm="1">
        <f t="array" ref="Z17">SUMPRODUCT((HQ!$T$3:$T$89=Z42)*(ISNUMBER(HQ!$O$3:$O$89))*(HQ!$O$3:$O$89))</f>
        <v>17</v>
      </c>
      <c r="AA17" s="428" cm="1">
        <f t="array" ref="AA17">SUMPRODUCT((HQ!$T$3:$T$89=AA42)*(ISNUMBER(HQ!$O$3:$O$89))*(HQ!$O$3:$O$89))</f>
        <v>0</v>
      </c>
      <c r="AB17" s="428" cm="1">
        <f t="array" ref="AB17">SUMPRODUCT((HQ!$T$3:$T$89=AB42)*(ISNUMBER(HQ!$O$3:$O$89))*(HQ!$O$3:$O$89))</f>
        <v>0</v>
      </c>
      <c r="AC17" s="428" cm="1">
        <f t="array" ref="AC17">SUMPRODUCT((HQ!$T$3:$T$89=AC42)*(ISNUMBER(HQ!$O$3:$O$89))*(HQ!$O$3:$O$89))</f>
        <v>14</v>
      </c>
      <c r="AD17" s="428" cm="1">
        <f t="array" ref="AD17">SUMPRODUCT((HQ!$T$3:$T$89=AD42)*(ISNUMBER(HQ!$O$3:$O$89))*(HQ!$O$3:$O$89))</f>
        <v>0</v>
      </c>
      <c r="AE17" s="428" cm="1">
        <f t="array" ref="AE17">SUMPRODUCT((HQ!$T$3:$T$89=AE42)*(ISNUMBER(HQ!$O$3:$O$89))*(HQ!$O$3:$O$89))</f>
        <v>0</v>
      </c>
      <c r="AF17" s="428" cm="1">
        <f t="array" ref="AF17">SUMPRODUCT((HQ!$T$3:$T$89=AF42)*(ISNUMBER(HQ!$O$3:$O$89))*(HQ!$O$3:$O$89))</f>
        <v>0</v>
      </c>
      <c r="AG17" s="428" cm="1">
        <f t="array" ref="AG17">SUMPRODUCT((HQ!$T$3:$T$89=AG42)*(ISNUMBER(HQ!$O$3:$O$89))*(HQ!$O$3:$O$89))</f>
        <v>0</v>
      </c>
      <c r="AH17" s="428" cm="1">
        <f t="array" ref="AH17">SUMPRODUCT((HQ!$T$3:$T$89=AH42)*(ISNUMBER(HQ!$O$3:$O$89))*(HQ!$O$3:$O$89))</f>
        <v>0</v>
      </c>
      <c r="AI17" s="428" cm="1">
        <f t="array" ref="AI17">SUMPRODUCT((HQ!$T$3:$T$89=AI42)*(ISNUMBER(HQ!$O$3:$O$89))*(HQ!$O$3:$O$89))</f>
        <v>0</v>
      </c>
      <c r="AJ17" s="428" cm="1">
        <f t="array" ref="AJ17">SUMPRODUCT((HQ!$T$3:$T$89=AJ42)*(ISNUMBER(HQ!$O$3:$O$89))*(HQ!$O$3:$O$89))</f>
        <v>10</v>
      </c>
      <c r="AK17" s="428" cm="1">
        <f t="array" ref="AK17">SUMPRODUCT((HQ!$T$3:$T$89=AK42)*(ISNUMBER(HQ!$O$3:$O$89))*(HQ!$O$3:$O$89))</f>
        <v>0</v>
      </c>
      <c r="AL17" s="428" cm="1">
        <f t="array" ref="AL17">SUMPRODUCT((HQ!$T$3:$T$89=AL42)*(ISNUMBER(HQ!$O$3:$O$89))*(HQ!$O$3:$O$89))</f>
        <v>8</v>
      </c>
      <c r="AM17" s="428" cm="1">
        <f t="array" ref="AM17">SUMPRODUCT((HQ!$T$3:$T$89=AM42)*(ISNUMBER(HQ!$O$3:$O$89))*(HQ!$O$3:$O$89))</f>
        <v>0</v>
      </c>
      <c r="AN17" s="428" cm="1">
        <f t="array" ref="AN17">SUMPRODUCT((HQ!$T$3:$T$89=AN42)*(ISNUMBER(HQ!$O$3:$O$89))*(HQ!$O$3:$O$89))</f>
        <v>0</v>
      </c>
      <c r="AO17" s="428" cm="1">
        <f t="array" ref="AO17">SUMPRODUCT((HQ!$T$3:$T$89=AO42)*(ISNUMBER(HQ!$O$3:$O$89))*(HQ!$O$3:$O$89))</f>
        <v>0</v>
      </c>
      <c r="AP17" s="428" cm="1">
        <f t="array" ref="AP17">SUMPRODUCT((HQ!$T$3:$T$89=AP42)*(ISNUMBER(HQ!$O$3:$O$89))*(HQ!$O$3:$O$89))</f>
        <v>0</v>
      </c>
      <c r="AQ17" s="428" cm="1">
        <f t="array" ref="AQ17">SUMPRODUCT((HQ!$T$3:$T$89=AQ42)*(ISNUMBER(HQ!$O$3:$O$89))*(HQ!$O$3:$O$89))</f>
        <v>11</v>
      </c>
      <c r="AR17" s="428" cm="1">
        <f t="array" ref="AR17">SUMPRODUCT((HQ!$T$3:$T$89=AR42)*(ISNUMBER(HQ!$O$3:$O$89))*(HQ!$O$3:$O$89))</f>
        <v>0</v>
      </c>
      <c r="AS17" s="428" cm="1">
        <f t="array" ref="AS17">SUMPRODUCT((HQ!$T$3:$T$89=AS42)*(ISNUMBER(HQ!$O$3:$O$89))*(HQ!$O$3:$O$89))</f>
        <v>0</v>
      </c>
      <c r="AT17" s="428" cm="1">
        <f t="array" ref="AT17">SUMPRODUCT((HQ!$T$3:$T$89=AT42)*(ISNUMBER(HQ!$O$3:$O$89))*(HQ!$O$3:$O$89))</f>
        <v>0</v>
      </c>
      <c r="AU17" s="428" cm="1">
        <f t="array" ref="AU17">SUMPRODUCT((HQ!$T$3:$T$89=AU42)*(ISNUMBER(HQ!$O$3:$O$89))*(HQ!$O$3:$O$89))</f>
        <v>0</v>
      </c>
      <c r="AV17" s="428" cm="1">
        <f t="array" ref="AV17">SUMPRODUCT((HQ!$T$3:$T$89=AV42)*(ISNUMBER(HQ!$O$3:$O$89))*(HQ!$O$3:$O$89))</f>
        <v>0</v>
      </c>
      <c r="AW17" s="428" cm="1">
        <f t="array" ref="AW17">SUMPRODUCT((HQ!$T$3:$T$89=AW42)*(ISNUMBER(HQ!$O$3:$O$89))*(HQ!$O$3:$O$89))</f>
        <v>0</v>
      </c>
      <c r="AX17" s="428" cm="1">
        <f t="array" ref="AX17">SUMPRODUCT((HQ!$T$3:$T$89=AX42)*(ISNUMBER(HQ!$O$3:$O$89))*(HQ!$O$3:$O$89))</f>
        <v>0</v>
      </c>
      <c r="AY17" s="428" cm="1">
        <f t="array" ref="AY17">SUMPRODUCT((HQ!$T$3:$T$89=AY42)*(ISNUMBER(HQ!$O$3:$O$89))*(HQ!$O$3:$O$89))</f>
        <v>7</v>
      </c>
      <c r="AZ17" s="428" cm="1">
        <f t="array" ref="AZ17">SUMPRODUCT((HQ!$T$3:$T$89=AZ42)*(ISNUMBER(HQ!$O$3:$O$89))*(HQ!$O$3:$O$89))</f>
        <v>2</v>
      </c>
      <c r="BA17" s="428" cm="1">
        <f t="array" ref="BA17">SUMPRODUCT((HQ!$T$3:$T$89=BA42)*(ISNUMBER(HQ!$O$3:$O$89))*(HQ!$O$3:$O$89))</f>
        <v>0</v>
      </c>
      <c r="BB17" s="428" cm="1">
        <f t="array" ref="BB17">SUMPRODUCT((HQ!$T$3:$T$89=BB42)*(ISNUMBER(HQ!$O$3:$O$89))*(HQ!$O$3:$O$89))</f>
        <v>6</v>
      </c>
      <c r="BC17" s="428" cm="1">
        <f t="array" ref="BC17">SUMPRODUCT((HQ!$T$3:$T$89=BC42)*(ISNUMBER(HQ!$O$3:$O$89))*(HQ!$O$3:$O$89))</f>
        <v>0</v>
      </c>
      <c r="BD17" s="428" cm="1">
        <f t="array" ref="BD17">SUMPRODUCT((HQ!$T$3:$T$89=BD42)*(ISNUMBER(HQ!$O$3:$O$89))*(HQ!$O$3:$O$89))</f>
        <v>0</v>
      </c>
      <c r="BE17" s="428" cm="1">
        <f t="array" ref="BE17">SUMPRODUCT((HQ!$T$3:$T$89=BE42)*(ISNUMBER(HQ!$O$3:$O$89))*(HQ!$O$3:$O$89))</f>
        <v>0</v>
      </c>
      <c r="BF17" s="428" cm="1">
        <f t="array" ref="BF17">SUMPRODUCT((HQ!$T$3:$T$89=BF42)*(ISNUMBER(HQ!$O$3:$O$89))*(HQ!$O$3:$O$89))</f>
        <v>0</v>
      </c>
      <c r="BG17" s="428" cm="1">
        <f t="array" ref="BG17">SUMPRODUCT((HQ!$T$3:$T$89=BG42)*(ISNUMBER(HQ!$O$3:$O$89))*(HQ!$O$3:$O$89))</f>
        <v>12</v>
      </c>
      <c r="BH17" s="428" cm="1">
        <f t="array" ref="BH17">SUMPRODUCT((HQ!$T$3:$T$89=BH42)*(ISNUMBER(HQ!$O$3:$O$89))*(HQ!$O$3:$O$89))</f>
        <v>0</v>
      </c>
      <c r="BI17" s="428" cm="1">
        <f t="array" ref="BI17">SUMPRODUCT((HQ!$T$3:$T$89=BI42)*(ISNUMBER(HQ!$O$3:$O$89))*(HQ!$O$3:$O$89))</f>
        <v>2</v>
      </c>
      <c r="BJ17" s="428" cm="1">
        <f t="array" ref="BJ17">SUMPRODUCT((HQ!$T$3:$T$89=BJ42)*(ISNUMBER(HQ!$O$3:$O$89))*(HQ!$O$3:$O$89))</f>
        <v>0</v>
      </c>
      <c r="BK17" s="428" cm="1">
        <f t="array" ref="BK17">SUMPRODUCT((HQ!$T$3:$T$89=BK42)*(ISNUMBER(HQ!$O$3:$O$89))*(HQ!$O$3:$O$89))</f>
        <v>0</v>
      </c>
      <c r="BL17" s="428" cm="1">
        <f t="array" ref="BL17">SUMPRODUCT((HQ!$T$3:$T$89=BL42)*(ISNUMBER(HQ!$O$3:$O$89))*(HQ!$O$3:$O$89))</f>
        <v>4</v>
      </c>
      <c r="BM17" s="428" cm="1">
        <f t="array" ref="BM17">SUMPRODUCT((HQ!$T$3:$T$89=BM42)*(ISNUMBER(HQ!$O$3:$O$89))*(HQ!$O$3:$O$89))</f>
        <v>2</v>
      </c>
      <c r="BN17" s="428" cm="1">
        <f t="array" ref="BN17">SUMPRODUCT((HQ!$T$3:$T$89=BN42)*(ISNUMBER(HQ!$O$3:$O$89))*(HQ!$O$3:$O$89))</f>
        <v>3</v>
      </c>
      <c r="BO17" s="428" cm="1">
        <f t="array" ref="BO17">SUMPRODUCT((HQ!$T$3:$T$89=BO42)*(ISNUMBER(HQ!$O$3:$O$89))*(HQ!$O$3:$O$89))</f>
        <v>0</v>
      </c>
      <c r="BP17" s="428" cm="1">
        <f t="array" ref="BP17">SUMPRODUCT((HQ!$T$3:$T$89=BP42)*(ISNUMBER(HQ!$O$3:$O$89))*(HQ!$O$3:$O$89))</f>
        <v>6</v>
      </c>
      <c r="BQ17" s="428" cm="1">
        <f t="array" ref="BQ17">SUMPRODUCT((HQ!$T$3:$T$89=BQ42)*(ISNUMBER(HQ!$O$3:$O$89))*(HQ!$O$3:$O$89))</f>
        <v>0</v>
      </c>
      <c r="BR17" s="428" cm="1">
        <f t="array" ref="BR17">SUMPRODUCT((HQ!$T$3:$T$89=BR42)*(ISNUMBER(HQ!$O$3:$O$89))*(HQ!$O$3:$O$89))</f>
        <v>0</v>
      </c>
      <c r="BS17" s="428" cm="1">
        <f t="array" ref="BS17">SUMPRODUCT((HQ!$T$3:$T$89=BS42)*(ISNUMBER(HQ!$O$3:$O$89))*(HQ!$O$3:$O$89))</f>
        <v>0</v>
      </c>
      <c r="BT17" s="428" cm="1">
        <f t="array" ref="BT17">SUMPRODUCT((HQ!$T$3:$T$89=BT42)*(ISNUMBER(HQ!$O$3:$O$89))*(HQ!$O$3:$O$89))</f>
        <v>0</v>
      </c>
      <c r="BU17" s="428" cm="1">
        <f t="array" ref="BU17">SUMPRODUCT((HQ!$T$3:$T$89=BU42)*(ISNUMBER(HQ!$O$3:$O$89))*(HQ!$O$3:$O$89))</f>
        <v>0</v>
      </c>
      <c r="BV17" s="428" cm="1">
        <f t="array" ref="BV17">SUMPRODUCT((HQ!$T$3:$T$89=BV42)*(ISNUMBER(HQ!$O$3:$O$89))*(HQ!$O$3:$O$89))</f>
        <v>0</v>
      </c>
      <c r="BW17" s="428" cm="1">
        <f t="array" ref="BW17">SUMPRODUCT((HQ!$T$3:$T$89=BW42)*(ISNUMBER(HQ!$O$3:$O$89))*(HQ!$O$3:$O$89))</f>
        <v>0</v>
      </c>
      <c r="BX17" s="428" cm="1">
        <f t="array" ref="BX17">SUMPRODUCT((HQ!$T$3:$T$89=BX42)*(ISNUMBER(HQ!$O$3:$O$89))*(HQ!$O$3:$O$89))</f>
        <v>0</v>
      </c>
      <c r="BY17" s="428" cm="1">
        <f t="array" ref="BY17">SUMPRODUCT((HQ!$T$3:$T$89=BY42)*(ISNUMBER(HQ!$O$3:$O$89))*(HQ!$O$3:$O$89))</f>
        <v>0</v>
      </c>
      <c r="BZ17" s="428" cm="1">
        <f t="array" ref="BZ17">SUMPRODUCT((HQ!$T$3:$T$89=BZ42)*(ISNUMBER(HQ!$O$3:$O$89))*(HQ!$O$3:$O$89))</f>
        <v>0</v>
      </c>
      <c r="CA17" s="428" cm="1">
        <f t="array" ref="CA17">SUMPRODUCT((HQ!$T$3:$T$89=CA42)*(ISNUMBER(HQ!$O$3:$O$89))*(HQ!$O$3:$O$89))</f>
        <v>0</v>
      </c>
      <c r="CB17" s="428" cm="1">
        <f t="array" ref="CB17">SUMPRODUCT((HQ!$T$3:$T$89=CB42)*(ISNUMBER(HQ!$O$3:$O$89))*(HQ!$O$3:$O$89))</f>
        <v>0</v>
      </c>
      <c r="CC17" s="428" cm="1">
        <f t="array" ref="CC17">SUMPRODUCT((HQ!$T$3:$T$89=CC42)*(ISNUMBER(HQ!$O$3:$O$89))*(HQ!$O$3:$O$89))</f>
        <v>0</v>
      </c>
      <c r="CD17" s="428" cm="1">
        <f t="array" ref="CD17">SUMPRODUCT((HQ!$T$3:$T$89=CD42)*(ISNUMBER(HQ!$O$3:$O$89))*(HQ!$O$3:$O$89))</f>
        <v>0</v>
      </c>
      <c r="CE17" s="428" cm="1">
        <f t="array" ref="CE17">SUMPRODUCT((HQ!$T$3:$T$89=CE42)*(ISNUMBER(HQ!$O$3:$O$89))*(HQ!$O$3:$O$89))</f>
        <v>0</v>
      </c>
      <c r="CF17" s="428" cm="1">
        <f t="array" ref="CF17">SUMPRODUCT((HQ!$T$3:$T$89=CF42)*(ISNUMBER(HQ!$O$3:$O$89))*(HQ!$O$3:$O$89))</f>
        <v>0</v>
      </c>
      <c r="CG17" s="428" cm="1">
        <f t="array" ref="CG17">SUMPRODUCT((HQ!$T$3:$T$89=CG42)*(ISNUMBER(HQ!$O$3:$O$89))*(HQ!$O$3:$O$89))</f>
        <v>0</v>
      </c>
      <c r="CH17" s="428" cm="1">
        <f t="array" ref="CH17">SUMPRODUCT((HQ!$T$3:$T$89=CH42)*(ISNUMBER(HQ!$O$3:$O$89))*(HQ!$O$3:$O$89))</f>
        <v>0</v>
      </c>
      <c r="CI17" s="428" cm="1">
        <f t="array" ref="CI17">SUMPRODUCT((HQ!$T$3:$T$89=CI42)*(ISNUMBER(HQ!$O$3:$O$89))*(HQ!$O$3:$O$89))</f>
        <v>0</v>
      </c>
      <c r="CJ17" s="428" cm="1">
        <f t="array" ref="CJ17">SUMPRODUCT((HQ!$T$3:$T$89=CJ42)*(ISNUMBER(HQ!$O$3:$O$89))*(HQ!$O$3:$O$89))</f>
        <v>0</v>
      </c>
      <c r="CK17" s="428" cm="1">
        <f t="array" ref="CK17">SUMPRODUCT((HQ!$T$3:$T$89=CK42)*(ISNUMBER(HQ!$O$3:$O$89))*(HQ!$O$3:$O$89))</f>
        <v>0</v>
      </c>
      <c r="CL17" s="428" cm="1">
        <f t="array" ref="CL17">SUMPRODUCT((HQ!$T$3:$T$89=CL42)*(ISNUMBER(HQ!$O$3:$O$89))*(HQ!$O$3:$O$89))</f>
        <v>0</v>
      </c>
      <c r="CM17" s="428" cm="1">
        <f t="array" ref="CM17">SUMPRODUCT((HQ!$T$3:$T$89=CM42)*(ISNUMBER(HQ!$O$3:$O$89))*(HQ!$O$3:$O$89))</f>
        <v>0</v>
      </c>
      <c r="CN17" s="428" cm="1">
        <f t="array" ref="CN17">SUMPRODUCT((HQ!$T$3:$T$89=CN42)*(ISNUMBER(HQ!$O$3:$O$89))*(HQ!$O$3:$O$89))</f>
        <v>0</v>
      </c>
      <c r="CO17" s="428" cm="1">
        <f t="array" ref="CO17">SUMPRODUCT((HQ!$T$3:$T$89=CO42)*(ISNUMBER(HQ!$O$3:$O$89))*(HQ!$O$3:$O$89))</f>
        <v>0</v>
      </c>
      <c r="CP17" s="428" cm="1">
        <f t="array" ref="CP17">SUMPRODUCT((HQ!$T$3:$T$89=CP42)*(ISNUMBER(HQ!$O$3:$O$89))*(HQ!$O$3:$O$89))</f>
        <v>0</v>
      </c>
      <c r="CQ17" s="428" cm="1">
        <f t="array" ref="CQ17">SUMPRODUCT((HQ!$T$3:$T$89=CQ42)*(ISNUMBER(HQ!$O$3:$O$89))*(HQ!$O$3:$O$89))</f>
        <v>0</v>
      </c>
      <c r="CR17" s="428" cm="1">
        <f t="array" ref="CR17">SUMPRODUCT((HQ!$T$3:$T$89=CR42)*(ISNUMBER(HQ!$O$3:$O$89))*(HQ!$O$3:$O$89))</f>
        <v>0</v>
      </c>
      <c r="CS17" s="428" cm="1">
        <f t="array" ref="CS17">SUMPRODUCT((HQ!$T$3:$T$89=CS42)*(ISNUMBER(HQ!$O$3:$O$89))*(HQ!$O$3:$O$89))</f>
        <v>0</v>
      </c>
      <c r="CT17" s="428" cm="1">
        <f t="array" ref="CT17">SUMPRODUCT((HQ!$T$3:$T$89=CT42)*(ISNUMBER(HQ!$O$3:$O$89))*(HQ!$O$3:$O$89))</f>
        <v>0</v>
      </c>
      <c r="CU17" s="426">
        <f>SUM(B17:CT17)</f>
        <v>188</v>
      </c>
    </row>
    <row r="18" spans="1:99" ht="19.5" customHeight="1">
      <c r="A18" s="429" t="s">
        <v>320</v>
      </c>
      <c r="B18" s="430">
        <f>IF(B16=0,IF(B17=0,0,1),B17/B16)</f>
        <v>0.88235294117647056</v>
      </c>
      <c r="C18" s="430">
        <f t="shared" ref="C18:BI18" si="17">IF(C16=0,IF(C17=0,0,1),C17/C16)</f>
        <v>0</v>
      </c>
      <c r="D18" s="430">
        <f t="shared" si="17"/>
        <v>0</v>
      </c>
      <c r="E18" s="430">
        <f t="shared" si="17"/>
        <v>0</v>
      </c>
      <c r="F18" s="430">
        <f t="shared" si="17"/>
        <v>0</v>
      </c>
      <c r="G18" s="430">
        <f t="shared" si="17"/>
        <v>0</v>
      </c>
      <c r="H18" s="430">
        <f t="shared" si="17"/>
        <v>0</v>
      </c>
      <c r="I18" s="430">
        <f t="shared" si="17"/>
        <v>0</v>
      </c>
      <c r="J18" s="430">
        <f t="shared" si="17"/>
        <v>1</v>
      </c>
      <c r="K18" s="430">
        <f t="shared" si="17"/>
        <v>0</v>
      </c>
      <c r="L18" s="430">
        <f t="shared" si="17"/>
        <v>0</v>
      </c>
      <c r="M18" s="430">
        <f t="shared" si="17"/>
        <v>0</v>
      </c>
      <c r="N18" s="430">
        <f t="shared" si="17"/>
        <v>0</v>
      </c>
      <c r="O18" s="430">
        <f t="shared" si="17"/>
        <v>0</v>
      </c>
      <c r="P18" s="430">
        <f t="shared" si="17"/>
        <v>0</v>
      </c>
      <c r="Q18" s="430">
        <f t="shared" si="17"/>
        <v>1</v>
      </c>
      <c r="R18" s="430">
        <f t="shared" si="17"/>
        <v>0</v>
      </c>
      <c r="S18" s="430">
        <f t="shared" si="17"/>
        <v>1</v>
      </c>
      <c r="T18" s="430">
        <f t="shared" si="17"/>
        <v>0</v>
      </c>
      <c r="U18" s="430">
        <f t="shared" si="17"/>
        <v>0</v>
      </c>
      <c r="V18" s="430">
        <f t="shared" si="17"/>
        <v>1</v>
      </c>
      <c r="W18" s="430">
        <f t="shared" si="17"/>
        <v>0</v>
      </c>
      <c r="X18" s="430">
        <f t="shared" si="17"/>
        <v>1</v>
      </c>
      <c r="Y18" s="430">
        <f t="shared" si="17"/>
        <v>0</v>
      </c>
      <c r="Z18" s="430">
        <f t="shared" si="17"/>
        <v>1</v>
      </c>
      <c r="AA18" s="430">
        <f t="shared" si="17"/>
        <v>0</v>
      </c>
      <c r="AB18" s="430">
        <f t="shared" si="17"/>
        <v>0</v>
      </c>
      <c r="AC18" s="430">
        <f t="shared" si="17"/>
        <v>1</v>
      </c>
      <c r="AD18" s="430">
        <f t="shared" si="17"/>
        <v>0</v>
      </c>
      <c r="AE18" s="430">
        <f t="shared" si="17"/>
        <v>0</v>
      </c>
      <c r="AF18" s="430">
        <f t="shared" si="17"/>
        <v>0</v>
      </c>
      <c r="AG18" s="430">
        <f t="shared" si="17"/>
        <v>0</v>
      </c>
      <c r="AH18" s="430">
        <f t="shared" si="17"/>
        <v>0</v>
      </c>
      <c r="AI18" s="430">
        <f t="shared" si="17"/>
        <v>0</v>
      </c>
      <c r="AJ18" s="430">
        <f t="shared" si="17"/>
        <v>1</v>
      </c>
      <c r="AK18" s="430">
        <f t="shared" si="17"/>
        <v>0</v>
      </c>
      <c r="AL18" s="430">
        <f t="shared" si="17"/>
        <v>1</v>
      </c>
      <c r="AM18" s="430">
        <f t="shared" si="17"/>
        <v>0</v>
      </c>
      <c r="AN18" s="430">
        <f t="shared" si="17"/>
        <v>0</v>
      </c>
      <c r="AO18" s="430">
        <f t="shared" si="17"/>
        <v>0</v>
      </c>
      <c r="AP18" s="430">
        <f t="shared" si="17"/>
        <v>0</v>
      </c>
      <c r="AQ18" s="430">
        <f t="shared" si="17"/>
        <v>1</v>
      </c>
      <c r="AR18" s="430">
        <f t="shared" si="17"/>
        <v>0</v>
      </c>
      <c r="AS18" s="430">
        <f t="shared" si="17"/>
        <v>0</v>
      </c>
      <c r="AT18" s="430">
        <f t="shared" si="17"/>
        <v>0</v>
      </c>
      <c r="AU18" s="430">
        <f t="shared" si="17"/>
        <v>0</v>
      </c>
      <c r="AV18" s="430">
        <f t="shared" si="17"/>
        <v>0</v>
      </c>
      <c r="AW18" s="430">
        <f t="shared" si="17"/>
        <v>0</v>
      </c>
      <c r="AX18" s="430">
        <f t="shared" si="17"/>
        <v>0</v>
      </c>
      <c r="AY18" s="430">
        <f t="shared" si="17"/>
        <v>1</v>
      </c>
      <c r="AZ18" s="430">
        <f t="shared" si="17"/>
        <v>1</v>
      </c>
      <c r="BA18" s="430">
        <f t="shared" si="17"/>
        <v>0</v>
      </c>
      <c r="BB18" s="430">
        <f t="shared" si="17"/>
        <v>1</v>
      </c>
      <c r="BC18" s="430">
        <f t="shared" si="17"/>
        <v>0</v>
      </c>
      <c r="BD18" s="430">
        <f t="shared" si="17"/>
        <v>0</v>
      </c>
      <c r="BE18" s="430">
        <f t="shared" si="17"/>
        <v>0</v>
      </c>
      <c r="BF18" s="430">
        <f t="shared" si="17"/>
        <v>0</v>
      </c>
      <c r="BG18" s="430">
        <f t="shared" si="17"/>
        <v>1</v>
      </c>
      <c r="BH18" s="430">
        <f t="shared" si="17"/>
        <v>0</v>
      </c>
      <c r="BI18" s="430">
        <f t="shared" si="17"/>
        <v>1</v>
      </c>
      <c r="BJ18" s="430">
        <f t="shared" ref="BJ18:CJ18" si="18">IF(BJ16=0,IF(BJ17=0,0,1),BJ17/BJ16)</f>
        <v>0</v>
      </c>
      <c r="BK18" s="430">
        <f t="shared" si="18"/>
        <v>0</v>
      </c>
      <c r="BL18" s="430">
        <f t="shared" si="18"/>
        <v>1</v>
      </c>
      <c r="BM18" s="430">
        <f t="shared" si="18"/>
        <v>0.66666666666666663</v>
      </c>
      <c r="BN18" s="430">
        <f t="shared" si="18"/>
        <v>1</v>
      </c>
      <c r="BO18" s="430">
        <f t="shared" si="18"/>
        <v>0</v>
      </c>
      <c r="BP18" s="430">
        <f t="shared" si="18"/>
        <v>1</v>
      </c>
      <c r="BQ18" s="430">
        <f t="shared" si="18"/>
        <v>0</v>
      </c>
      <c r="BR18" s="430">
        <f t="shared" si="18"/>
        <v>0</v>
      </c>
      <c r="BS18" s="430">
        <f t="shared" si="18"/>
        <v>0</v>
      </c>
      <c r="BT18" s="430">
        <f t="shared" si="18"/>
        <v>0</v>
      </c>
      <c r="BU18" s="430">
        <f t="shared" si="18"/>
        <v>0</v>
      </c>
      <c r="BV18" s="430">
        <f t="shared" si="18"/>
        <v>0</v>
      </c>
      <c r="BW18" s="430">
        <f t="shared" si="18"/>
        <v>0</v>
      </c>
      <c r="BX18" s="430">
        <f t="shared" si="18"/>
        <v>0</v>
      </c>
      <c r="BY18" s="430">
        <f t="shared" si="18"/>
        <v>0</v>
      </c>
      <c r="BZ18" s="430">
        <f t="shared" si="18"/>
        <v>0</v>
      </c>
      <c r="CA18" s="430">
        <f t="shared" si="18"/>
        <v>0</v>
      </c>
      <c r="CB18" s="430">
        <f t="shared" si="18"/>
        <v>0</v>
      </c>
      <c r="CC18" s="430">
        <f t="shared" si="18"/>
        <v>0</v>
      </c>
      <c r="CD18" s="430">
        <f t="shared" si="18"/>
        <v>0</v>
      </c>
      <c r="CE18" s="430">
        <f t="shared" si="18"/>
        <v>0</v>
      </c>
      <c r="CF18" s="430">
        <f t="shared" si="18"/>
        <v>0</v>
      </c>
      <c r="CG18" s="430">
        <f t="shared" si="18"/>
        <v>0</v>
      </c>
      <c r="CH18" s="430">
        <f t="shared" si="18"/>
        <v>0</v>
      </c>
      <c r="CI18" s="430">
        <f t="shared" si="18"/>
        <v>0</v>
      </c>
      <c r="CJ18" s="430">
        <f t="shared" si="18"/>
        <v>0</v>
      </c>
      <c r="CK18" s="430">
        <f t="shared" ref="CK18:CT18" si="19">IF(CK16=0,IF(CK17=0,0,1),CK17/CK16)</f>
        <v>0</v>
      </c>
      <c r="CL18" s="430">
        <f t="shared" si="19"/>
        <v>0</v>
      </c>
      <c r="CM18" s="430">
        <f t="shared" si="19"/>
        <v>0</v>
      </c>
      <c r="CN18" s="430">
        <f t="shared" si="19"/>
        <v>0</v>
      </c>
      <c r="CO18" s="430">
        <f t="shared" si="19"/>
        <v>0</v>
      </c>
      <c r="CP18" s="430">
        <f t="shared" si="19"/>
        <v>0</v>
      </c>
      <c r="CQ18" s="430">
        <f t="shared" si="19"/>
        <v>0</v>
      </c>
      <c r="CR18" s="430">
        <f t="shared" si="19"/>
        <v>0</v>
      </c>
      <c r="CS18" s="430">
        <f t="shared" si="19"/>
        <v>0</v>
      </c>
      <c r="CT18" s="430">
        <f t="shared" si="19"/>
        <v>0</v>
      </c>
      <c r="CU18" s="423">
        <f>IF(CU16=0,"-",CU17/CU16)</f>
        <v>0.97409326424870468</v>
      </c>
    </row>
    <row r="19" spans="1:99" ht="3.75" customHeight="1">
      <c r="BJ19" s="416"/>
    </row>
    <row r="20" spans="1:99" ht="21.75" customHeight="1">
      <c r="A20" s="1140" t="s">
        <v>321</v>
      </c>
      <c r="B20" s="1141"/>
      <c r="C20" s="1141"/>
      <c r="D20" s="1141"/>
      <c r="E20" s="1141"/>
      <c r="F20" s="1141"/>
      <c r="G20" s="1141"/>
      <c r="H20" s="1141"/>
      <c r="I20" s="1141"/>
      <c r="J20" s="1141"/>
      <c r="K20" s="1141"/>
      <c r="L20" s="1141"/>
      <c r="M20" s="1141"/>
      <c r="N20" s="1141"/>
      <c r="O20" s="1141"/>
      <c r="P20" s="1141"/>
      <c r="Q20" s="1141"/>
      <c r="R20" s="1141"/>
      <c r="S20" s="1141"/>
      <c r="T20" s="1141"/>
      <c r="U20" s="1141"/>
      <c r="V20" s="1141"/>
      <c r="W20" s="1141"/>
      <c r="X20" s="1141"/>
      <c r="Y20" s="1141"/>
      <c r="Z20" s="1141"/>
      <c r="AA20" s="1141"/>
      <c r="AB20" s="1141"/>
      <c r="AC20" s="1141"/>
      <c r="AD20" s="1141"/>
      <c r="AE20" s="1141"/>
      <c r="AF20" s="1141"/>
      <c r="AG20" s="1141"/>
      <c r="AH20" s="1141"/>
      <c r="AI20" s="1141"/>
      <c r="AJ20" s="1141"/>
      <c r="AK20" s="1141"/>
      <c r="AL20" s="1141"/>
      <c r="AM20" s="1141"/>
      <c r="AN20" s="1141"/>
      <c r="AO20" s="1141"/>
      <c r="AP20" s="1141"/>
      <c r="AQ20" s="1141"/>
      <c r="AR20" s="1141"/>
      <c r="AS20" s="1141"/>
      <c r="AT20" s="1141"/>
      <c r="AU20" s="1141"/>
      <c r="AV20" s="1141"/>
      <c r="AW20" s="1141"/>
      <c r="AX20" s="1141"/>
      <c r="AY20" s="1141"/>
      <c r="AZ20" s="1141"/>
      <c r="BA20" s="1141"/>
      <c r="BB20" s="1141"/>
      <c r="BC20" s="1141"/>
      <c r="BD20" s="1141"/>
      <c r="BE20" s="1141"/>
      <c r="BF20" s="1141"/>
      <c r="BG20" s="1141"/>
      <c r="BH20" s="1141"/>
      <c r="BI20" s="1141"/>
      <c r="BJ20" s="1141"/>
      <c r="BK20" s="1141"/>
      <c r="BL20" s="1141"/>
      <c r="BM20" s="1141"/>
      <c r="BN20" s="1141"/>
      <c r="BO20" s="1141"/>
      <c r="BP20" s="1141"/>
      <c r="BQ20" s="1141"/>
      <c r="BR20" s="1141"/>
      <c r="BS20" s="1141"/>
      <c r="BT20" s="1141"/>
      <c r="BU20" s="1141"/>
      <c r="BV20" s="1141"/>
      <c r="BW20" s="1141"/>
      <c r="BX20" s="1141"/>
      <c r="BY20" s="1141"/>
      <c r="BZ20" s="1141"/>
      <c r="CA20" s="1141"/>
      <c r="CB20" s="1141"/>
      <c r="CC20" s="1141"/>
      <c r="CD20" s="1141"/>
      <c r="CE20" s="1141"/>
      <c r="CF20" s="1141"/>
      <c r="CG20" s="1141"/>
      <c r="CH20" s="1141"/>
      <c r="CI20" s="1141"/>
      <c r="CJ20" s="1141"/>
      <c r="CK20" s="1141"/>
      <c r="CL20" s="1141"/>
      <c r="CM20" s="1141"/>
      <c r="CN20" s="1141"/>
      <c r="CO20" s="1141"/>
      <c r="CP20" s="1141"/>
      <c r="CQ20" s="1141"/>
      <c r="CR20" s="1141"/>
      <c r="CS20" s="1141"/>
      <c r="CT20" s="1141"/>
      <c r="CU20" s="1141"/>
    </row>
    <row r="21" spans="1:99" ht="19.5" customHeight="1">
      <c r="A21" s="424" t="s">
        <v>316</v>
      </c>
      <c r="B21" s="425">
        <f t="shared" ref="B21" si="20">B7</f>
        <v>34</v>
      </c>
      <c r="C21" s="425">
        <f t="shared" ref="C21:BI21" si="21">C7</f>
        <v>0</v>
      </c>
      <c r="D21" s="425">
        <f t="shared" si="21"/>
        <v>0</v>
      </c>
      <c r="E21" s="425">
        <f t="shared" si="21"/>
        <v>0</v>
      </c>
      <c r="F21" s="425">
        <f t="shared" si="21"/>
        <v>0</v>
      </c>
      <c r="G21" s="425">
        <f t="shared" si="21"/>
        <v>0</v>
      </c>
      <c r="H21" s="425">
        <f t="shared" si="21"/>
        <v>0</v>
      </c>
      <c r="I21" s="425">
        <f t="shared" si="21"/>
        <v>0</v>
      </c>
      <c r="J21" s="425">
        <f t="shared" si="21"/>
        <v>10</v>
      </c>
      <c r="K21" s="425">
        <f t="shared" si="21"/>
        <v>0</v>
      </c>
      <c r="L21" s="425">
        <f t="shared" si="21"/>
        <v>0</v>
      </c>
      <c r="M21" s="425">
        <f t="shared" si="21"/>
        <v>0</v>
      </c>
      <c r="N21" s="425">
        <f t="shared" si="21"/>
        <v>0</v>
      </c>
      <c r="O21" s="425">
        <f t="shared" si="21"/>
        <v>0</v>
      </c>
      <c r="P21" s="425">
        <f t="shared" si="21"/>
        <v>0</v>
      </c>
      <c r="Q21" s="425">
        <f t="shared" si="21"/>
        <v>5</v>
      </c>
      <c r="R21" s="425">
        <f t="shared" si="21"/>
        <v>0</v>
      </c>
      <c r="S21" s="425">
        <f t="shared" si="21"/>
        <v>4</v>
      </c>
      <c r="T21" s="425">
        <f t="shared" si="21"/>
        <v>0</v>
      </c>
      <c r="U21" s="425">
        <f t="shared" si="21"/>
        <v>0</v>
      </c>
      <c r="V21" s="425">
        <f t="shared" si="21"/>
        <v>15</v>
      </c>
      <c r="W21" s="425">
        <f t="shared" si="21"/>
        <v>0</v>
      </c>
      <c r="X21" s="425">
        <f t="shared" si="21"/>
        <v>20</v>
      </c>
      <c r="Y21" s="425">
        <f t="shared" si="21"/>
        <v>0</v>
      </c>
      <c r="Z21" s="425">
        <f t="shared" si="21"/>
        <v>17</v>
      </c>
      <c r="AA21" s="425">
        <f t="shared" si="21"/>
        <v>0</v>
      </c>
      <c r="AB21" s="425">
        <f t="shared" si="21"/>
        <v>0</v>
      </c>
      <c r="AC21" s="425">
        <f t="shared" si="21"/>
        <v>14</v>
      </c>
      <c r="AD21" s="425">
        <f t="shared" si="21"/>
        <v>0</v>
      </c>
      <c r="AE21" s="425">
        <f t="shared" si="21"/>
        <v>0</v>
      </c>
      <c r="AF21" s="425">
        <f t="shared" si="21"/>
        <v>0</v>
      </c>
      <c r="AG21" s="425">
        <f t="shared" si="21"/>
        <v>0</v>
      </c>
      <c r="AH21" s="425">
        <f t="shared" si="21"/>
        <v>0</v>
      </c>
      <c r="AI21" s="425">
        <f t="shared" si="21"/>
        <v>0</v>
      </c>
      <c r="AJ21" s="425">
        <f t="shared" si="21"/>
        <v>10</v>
      </c>
      <c r="AK21" s="425">
        <f t="shared" si="21"/>
        <v>0</v>
      </c>
      <c r="AL21" s="425">
        <f t="shared" si="21"/>
        <v>8</v>
      </c>
      <c r="AM21" s="425">
        <f t="shared" si="21"/>
        <v>0</v>
      </c>
      <c r="AN21" s="425">
        <f t="shared" si="21"/>
        <v>0</v>
      </c>
      <c r="AO21" s="425">
        <f t="shared" si="21"/>
        <v>0</v>
      </c>
      <c r="AP21" s="425">
        <f t="shared" si="21"/>
        <v>0</v>
      </c>
      <c r="AQ21" s="425">
        <f t="shared" si="21"/>
        <v>11</v>
      </c>
      <c r="AR21" s="425">
        <f t="shared" si="21"/>
        <v>0</v>
      </c>
      <c r="AS21" s="425">
        <f t="shared" si="21"/>
        <v>0</v>
      </c>
      <c r="AT21" s="425">
        <f t="shared" si="21"/>
        <v>0</v>
      </c>
      <c r="AU21" s="425">
        <f t="shared" si="21"/>
        <v>0</v>
      </c>
      <c r="AV21" s="425">
        <f t="shared" si="21"/>
        <v>0</v>
      </c>
      <c r="AW21" s="425">
        <f t="shared" si="21"/>
        <v>0</v>
      </c>
      <c r="AX21" s="425">
        <f t="shared" si="21"/>
        <v>0</v>
      </c>
      <c r="AY21" s="425">
        <f t="shared" si="21"/>
        <v>7</v>
      </c>
      <c r="AZ21" s="425">
        <f t="shared" si="21"/>
        <v>2</v>
      </c>
      <c r="BA21" s="425">
        <f t="shared" si="21"/>
        <v>0</v>
      </c>
      <c r="BB21" s="425">
        <f t="shared" si="21"/>
        <v>6</v>
      </c>
      <c r="BC21" s="425">
        <f t="shared" si="21"/>
        <v>0</v>
      </c>
      <c r="BD21" s="425">
        <f t="shared" si="21"/>
        <v>0</v>
      </c>
      <c r="BE21" s="425">
        <f t="shared" si="21"/>
        <v>0</v>
      </c>
      <c r="BF21" s="425">
        <f t="shared" si="21"/>
        <v>0</v>
      </c>
      <c r="BG21" s="425">
        <f t="shared" si="21"/>
        <v>12</v>
      </c>
      <c r="BH21" s="425">
        <f t="shared" si="21"/>
        <v>0</v>
      </c>
      <c r="BI21" s="425">
        <f t="shared" si="21"/>
        <v>2</v>
      </c>
      <c r="BJ21" s="425">
        <f t="shared" ref="BJ21:CJ21" si="22">BJ7</f>
        <v>0</v>
      </c>
      <c r="BK21" s="425">
        <f t="shared" si="22"/>
        <v>0</v>
      </c>
      <c r="BL21" s="425">
        <f t="shared" si="22"/>
        <v>4</v>
      </c>
      <c r="BM21" s="425">
        <f t="shared" si="22"/>
        <v>3</v>
      </c>
      <c r="BN21" s="425">
        <f t="shared" si="22"/>
        <v>3</v>
      </c>
      <c r="BO21" s="425">
        <f t="shared" si="22"/>
        <v>0</v>
      </c>
      <c r="BP21" s="425">
        <f t="shared" si="22"/>
        <v>6</v>
      </c>
      <c r="BQ21" s="425">
        <f t="shared" si="22"/>
        <v>0</v>
      </c>
      <c r="BR21" s="425">
        <f t="shared" si="22"/>
        <v>0</v>
      </c>
      <c r="BS21" s="425">
        <f t="shared" si="22"/>
        <v>0</v>
      </c>
      <c r="BT21" s="425">
        <f t="shared" si="22"/>
        <v>0</v>
      </c>
      <c r="BU21" s="425">
        <f t="shared" si="22"/>
        <v>0</v>
      </c>
      <c r="BV21" s="425">
        <f t="shared" si="22"/>
        <v>0</v>
      </c>
      <c r="BW21" s="425">
        <f t="shared" si="22"/>
        <v>0</v>
      </c>
      <c r="BX21" s="425">
        <f t="shared" si="22"/>
        <v>0</v>
      </c>
      <c r="BY21" s="425">
        <f t="shared" si="22"/>
        <v>0</v>
      </c>
      <c r="BZ21" s="425">
        <f t="shared" si="22"/>
        <v>0</v>
      </c>
      <c r="CA21" s="425">
        <f t="shared" si="22"/>
        <v>0</v>
      </c>
      <c r="CB21" s="425">
        <f t="shared" si="22"/>
        <v>0</v>
      </c>
      <c r="CC21" s="425">
        <f t="shared" si="22"/>
        <v>0</v>
      </c>
      <c r="CD21" s="425">
        <f t="shared" si="22"/>
        <v>0</v>
      </c>
      <c r="CE21" s="425">
        <f t="shared" si="22"/>
        <v>0</v>
      </c>
      <c r="CF21" s="425">
        <f t="shared" si="22"/>
        <v>0</v>
      </c>
      <c r="CG21" s="425">
        <f t="shared" si="22"/>
        <v>0</v>
      </c>
      <c r="CH21" s="425">
        <f t="shared" si="22"/>
        <v>0</v>
      </c>
      <c r="CI21" s="425">
        <f t="shared" si="22"/>
        <v>0</v>
      </c>
      <c r="CJ21" s="425">
        <f t="shared" si="22"/>
        <v>0</v>
      </c>
      <c r="CK21" s="425">
        <f t="shared" ref="CK21:CT21" si="23">CK7</f>
        <v>0</v>
      </c>
      <c r="CL21" s="425">
        <f t="shared" si="23"/>
        <v>0</v>
      </c>
      <c r="CM21" s="425">
        <f t="shared" si="23"/>
        <v>0</v>
      </c>
      <c r="CN21" s="425">
        <f t="shared" si="23"/>
        <v>0</v>
      </c>
      <c r="CO21" s="425">
        <f t="shared" si="23"/>
        <v>0</v>
      </c>
      <c r="CP21" s="425">
        <f t="shared" si="23"/>
        <v>0</v>
      </c>
      <c r="CQ21" s="425">
        <f t="shared" si="23"/>
        <v>0</v>
      </c>
      <c r="CR21" s="425">
        <f t="shared" si="23"/>
        <v>0</v>
      </c>
      <c r="CS21" s="425">
        <f t="shared" si="23"/>
        <v>0</v>
      </c>
      <c r="CT21" s="425">
        <f t="shared" si="23"/>
        <v>0</v>
      </c>
      <c r="CU21" s="426">
        <f>CU7</f>
        <v>193</v>
      </c>
    </row>
    <row r="22" spans="1:99" ht="19.5" customHeight="1">
      <c r="A22" s="427" t="s">
        <v>317</v>
      </c>
      <c r="B22" s="428" cm="1">
        <f t="array" ref="B22">SUMPRODUCT((HQ!$T$3:$T$89=B42)*(ISNUMBER(HQ!$P$3:$P$89))*(HQ!$P$3:$P$89))</f>
        <v>27</v>
      </c>
      <c r="C22" s="428" cm="1">
        <f t="array" ref="C22">SUMPRODUCT((HQ!$T$3:$T$89=C42)*(ISNUMBER(HQ!$P$3:$P$89))*(HQ!$P$3:$P$89))</f>
        <v>0</v>
      </c>
      <c r="D22" s="428" cm="1">
        <f t="array" ref="D22">SUMPRODUCT((HQ!$T$3:$T$89=D42)*(ISNUMBER(HQ!$P$3:$P$89))*(HQ!$P$3:$P$89))</f>
        <v>0</v>
      </c>
      <c r="E22" s="428" cm="1">
        <f t="array" ref="E22">SUMPRODUCT((HQ!$T$3:$T$89=E42)*(ISNUMBER(HQ!$P$3:$P$89))*(HQ!$P$3:$P$89))</f>
        <v>0</v>
      </c>
      <c r="F22" s="428" cm="1">
        <f t="array" ref="F22">SUMPRODUCT((HQ!$T$3:$T$89=F42)*(ISNUMBER(HQ!$P$3:$P$89))*(HQ!$P$3:$P$89))</f>
        <v>0</v>
      </c>
      <c r="G22" s="428" cm="1">
        <f t="array" ref="G22">SUMPRODUCT((HQ!$T$3:$T$89=G42)*(ISNUMBER(HQ!$P$3:$P$89))*(HQ!$P$3:$P$89))</f>
        <v>0</v>
      </c>
      <c r="H22" s="428" cm="1">
        <f t="array" ref="H22">SUMPRODUCT((HQ!$T$3:$T$89=H42)*(ISNUMBER(HQ!$P$3:$P$89))*(HQ!$P$3:$P$89))</f>
        <v>0</v>
      </c>
      <c r="I22" s="428" cm="1">
        <f t="array" ref="I22">SUMPRODUCT((HQ!$T$3:$T$89=I42)*(ISNUMBER(HQ!$P$3:$P$89))*(HQ!$P$3:$P$89))</f>
        <v>0</v>
      </c>
      <c r="J22" s="428" cm="1">
        <f t="array" ref="J22">SUMPRODUCT((HQ!$T$3:$T$89=J42)*(ISNUMBER(HQ!$P$3:$P$89))*(HQ!$P$3:$P$89))</f>
        <v>10</v>
      </c>
      <c r="K22" s="428" cm="1">
        <f t="array" ref="K22">SUMPRODUCT((HQ!$T$3:$T$89=K42)*(ISNUMBER(HQ!$P$3:$P$89))*(HQ!$P$3:$P$89))</f>
        <v>0</v>
      </c>
      <c r="L22" s="428" cm="1">
        <f t="array" ref="L22">SUMPRODUCT((HQ!$T$3:$T$89=L42)*(ISNUMBER(HQ!$P$3:$P$89))*(HQ!$P$3:$P$89))</f>
        <v>0</v>
      </c>
      <c r="M22" s="428" cm="1">
        <f t="array" ref="M22">SUMPRODUCT((HQ!$T$3:$T$89=M42)*(ISNUMBER(HQ!$P$3:$P$89))*(HQ!$P$3:$P$89))</f>
        <v>0</v>
      </c>
      <c r="N22" s="428" cm="1">
        <f t="array" ref="N22">SUMPRODUCT((HQ!$T$3:$T$89=N42)*(ISNUMBER(HQ!$P$3:$P$89))*(HQ!$P$3:$P$89))</f>
        <v>0</v>
      </c>
      <c r="O22" s="428" cm="1">
        <f t="array" ref="O22">SUMPRODUCT((HQ!$T$3:$T$89=O42)*(ISNUMBER(HQ!$P$3:$P$89))*(HQ!$P$3:$P$89))</f>
        <v>0</v>
      </c>
      <c r="P22" s="428" cm="1">
        <f t="array" ref="P22">SUMPRODUCT((HQ!$T$3:$T$89=P42)*(ISNUMBER(HQ!$P$3:$P$89))*(HQ!$P$3:$P$89))</f>
        <v>0</v>
      </c>
      <c r="Q22" s="428" cm="1">
        <f t="array" ref="Q22">SUMPRODUCT((HQ!$T$3:$T$89=Q42)*(ISNUMBER(HQ!$P$3:$P$89))*(HQ!$P$3:$P$89))</f>
        <v>5</v>
      </c>
      <c r="R22" s="428" cm="1">
        <f t="array" ref="R22">SUMPRODUCT((HQ!$T$3:$T$89=R42)*(ISNUMBER(HQ!$P$3:$P$89))*(HQ!$P$3:$P$89))</f>
        <v>0</v>
      </c>
      <c r="S22" s="428" cm="1">
        <f t="array" ref="S22">SUMPRODUCT((HQ!$T$3:$T$89=S42)*(ISNUMBER(HQ!$P$3:$P$89))*(HQ!$P$3:$P$89))</f>
        <v>4</v>
      </c>
      <c r="T22" s="428" cm="1">
        <f t="array" ref="T22">SUMPRODUCT((HQ!$T$3:$T$89=T42)*(ISNUMBER(HQ!$P$3:$P$89))*(HQ!$P$3:$P$89))</f>
        <v>0</v>
      </c>
      <c r="U22" s="428" cm="1">
        <f t="array" ref="U22">SUMPRODUCT((HQ!$T$3:$T$89=U42)*(ISNUMBER(HQ!$P$3:$P$89))*(HQ!$P$3:$P$89))</f>
        <v>0</v>
      </c>
      <c r="V22" s="428" cm="1">
        <f t="array" ref="V22">SUMPRODUCT((HQ!$T$3:$T$89=V42)*(ISNUMBER(HQ!$P$3:$P$89))*(HQ!$P$3:$P$89))</f>
        <v>15</v>
      </c>
      <c r="W22" s="428" cm="1">
        <f t="array" ref="W22">SUMPRODUCT((HQ!$T$3:$T$89=W42)*(ISNUMBER(HQ!$P$3:$P$89))*(HQ!$P$3:$P$89))</f>
        <v>0</v>
      </c>
      <c r="X22" s="428" cm="1">
        <f t="array" ref="X22">SUMPRODUCT((HQ!$T$3:$T$89=X42)*(ISNUMBER(HQ!$P$3:$P$89))*(HQ!$P$3:$P$89))</f>
        <v>20</v>
      </c>
      <c r="Y22" s="428" cm="1">
        <f t="array" ref="Y22">SUMPRODUCT((HQ!$T$3:$T$89=Y42)*(ISNUMBER(HQ!$P$3:$P$89))*(HQ!$P$3:$P$89))</f>
        <v>0</v>
      </c>
      <c r="Z22" s="428" cm="1">
        <f t="array" ref="Z22">SUMPRODUCT((HQ!$T$3:$T$89=Z42)*(ISNUMBER(HQ!$P$3:$P$89))*(HQ!$P$3:$P$89))</f>
        <v>17</v>
      </c>
      <c r="AA22" s="428" cm="1">
        <f t="array" ref="AA22">SUMPRODUCT((HQ!$T$3:$T$89=AA42)*(ISNUMBER(HQ!$P$3:$P$89))*(HQ!$P$3:$P$89))</f>
        <v>0</v>
      </c>
      <c r="AB22" s="428" cm="1">
        <f t="array" ref="AB22">SUMPRODUCT((HQ!$T$3:$T$89=AB42)*(ISNUMBER(HQ!$P$3:$P$89))*(HQ!$P$3:$P$89))</f>
        <v>0</v>
      </c>
      <c r="AC22" s="428" cm="1">
        <f t="array" ref="AC22">SUMPRODUCT((HQ!$T$3:$T$89=AC42)*(ISNUMBER(HQ!$P$3:$P$89))*(HQ!$P$3:$P$89))</f>
        <v>14</v>
      </c>
      <c r="AD22" s="428" cm="1">
        <f t="array" ref="AD22">SUMPRODUCT((HQ!$T$3:$T$89=AD42)*(ISNUMBER(HQ!$P$3:$P$89))*(HQ!$P$3:$P$89))</f>
        <v>0</v>
      </c>
      <c r="AE22" s="428" cm="1">
        <f t="array" ref="AE22">SUMPRODUCT((HQ!$T$3:$T$89=AE42)*(ISNUMBER(HQ!$P$3:$P$89))*(HQ!$P$3:$P$89))</f>
        <v>0</v>
      </c>
      <c r="AF22" s="428" cm="1">
        <f t="array" ref="AF22">SUMPRODUCT((HQ!$T$3:$T$89=AF42)*(ISNUMBER(HQ!$P$3:$P$89))*(HQ!$P$3:$P$89))</f>
        <v>0</v>
      </c>
      <c r="AG22" s="428" cm="1">
        <f t="array" ref="AG22">SUMPRODUCT((HQ!$T$3:$T$89=AG42)*(ISNUMBER(HQ!$P$3:$P$89))*(HQ!$P$3:$P$89))</f>
        <v>0</v>
      </c>
      <c r="AH22" s="428" cm="1">
        <f t="array" ref="AH22">SUMPRODUCT((HQ!$T$3:$T$89=AH42)*(ISNUMBER(HQ!$P$3:$P$89))*(HQ!$P$3:$P$89))</f>
        <v>0</v>
      </c>
      <c r="AI22" s="428" cm="1">
        <f t="array" ref="AI22">SUMPRODUCT((HQ!$T$3:$T$89=AI42)*(ISNUMBER(HQ!$P$3:$P$89))*(HQ!$P$3:$P$89))</f>
        <v>0</v>
      </c>
      <c r="AJ22" s="428" cm="1">
        <f t="array" ref="AJ22">SUMPRODUCT((HQ!$T$3:$T$89=AJ42)*(ISNUMBER(HQ!$P$3:$P$89))*(HQ!$P$3:$P$89))</f>
        <v>10</v>
      </c>
      <c r="AK22" s="428" cm="1">
        <f t="array" ref="AK22">SUMPRODUCT((HQ!$T$3:$T$89=AK42)*(ISNUMBER(HQ!$P$3:$P$89))*(HQ!$P$3:$P$89))</f>
        <v>0</v>
      </c>
      <c r="AL22" s="428" cm="1">
        <f t="array" ref="AL22">SUMPRODUCT((HQ!$T$3:$T$89=AL42)*(ISNUMBER(HQ!$P$3:$P$89))*(HQ!$P$3:$P$89))</f>
        <v>8</v>
      </c>
      <c r="AM22" s="428" cm="1">
        <f t="array" ref="AM22">SUMPRODUCT((HQ!$T$3:$T$89=AM42)*(ISNUMBER(HQ!$P$3:$P$89))*(HQ!$P$3:$P$89))</f>
        <v>0</v>
      </c>
      <c r="AN22" s="428" cm="1">
        <f t="array" ref="AN22">SUMPRODUCT((HQ!$T$3:$T$89=AN42)*(ISNUMBER(HQ!$P$3:$P$89))*(HQ!$P$3:$P$89))</f>
        <v>0</v>
      </c>
      <c r="AO22" s="428" cm="1">
        <f t="array" ref="AO22">SUMPRODUCT((HQ!$T$3:$T$89=AO42)*(ISNUMBER(HQ!$P$3:$P$89))*(HQ!$P$3:$P$89))</f>
        <v>0</v>
      </c>
      <c r="AP22" s="428" cm="1">
        <f t="array" ref="AP22">SUMPRODUCT((HQ!$T$3:$T$89=AP42)*(ISNUMBER(HQ!$P$3:$P$89))*(HQ!$P$3:$P$89))</f>
        <v>0</v>
      </c>
      <c r="AQ22" s="428" cm="1">
        <f t="array" ref="AQ22">SUMPRODUCT((HQ!$T$3:$T$89=AQ42)*(ISNUMBER(HQ!$P$3:$P$89))*(HQ!$P$3:$P$89))</f>
        <v>11</v>
      </c>
      <c r="AR22" s="428" cm="1">
        <f t="array" ref="AR22">SUMPRODUCT((HQ!$T$3:$T$89=AR42)*(ISNUMBER(HQ!$P$3:$P$89))*(HQ!$P$3:$P$89))</f>
        <v>0</v>
      </c>
      <c r="AS22" s="428" cm="1">
        <f t="array" ref="AS22">SUMPRODUCT((HQ!$T$3:$T$89=AS42)*(ISNUMBER(HQ!$P$3:$P$89))*(HQ!$P$3:$P$89))</f>
        <v>0</v>
      </c>
      <c r="AT22" s="428" cm="1">
        <f t="array" ref="AT22">SUMPRODUCT((HQ!$T$3:$T$89=AT42)*(ISNUMBER(HQ!$P$3:$P$89))*(HQ!$P$3:$P$89))</f>
        <v>0</v>
      </c>
      <c r="AU22" s="428" cm="1">
        <f t="array" ref="AU22">SUMPRODUCT((HQ!$T$3:$T$89=AU42)*(ISNUMBER(HQ!$P$3:$P$89))*(HQ!$P$3:$P$89))</f>
        <v>0</v>
      </c>
      <c r="AV22" s="428" cm="1">
        <f t="array" ref="AV22">SUMPRODUCT((HQ!$T$3:$T$89=AV42)*(ISNUMBER(HQ!$P$3:$P$89))*(HQ!$P$3:$P$89))</f>
        <v>0</v>
      </c>
      <c r="AW22" s="428" cm="1">
        <f t="array" ref="AW22">SUMPRODUCT((HQ!$T$3:$T$89=AW42)*(ISNUMBER(HQ!$P$3:$P$89))*(HQ!$P$3:$P$89))</f>
        <v>0</v>
      </c>
      <c r="AX22" s="428" cm="1">
        <f t="array" ref="AX22">SUMPRODUCT((HQ!$T$3:$T$89=AX42)*(ISNUMBER(HQ!$P$3:$P$89))*(HQ!$P$3:$P$89))</f>
        <v>0</v>
      </c>
      <c r="AY22" s="428" cm="1">
        <f t="array" ref="AY22">SUMPRODUCT((HQ!$T$3:$T$89=AY42)*(ISNUMBER(HQ!$P$3:$P$89))*(HQ!$P$3:$P$89))</f>
        <v>7</v>
      </c>
      <c r="AZ22" s="428" cm="1">
        <f t="array" ref="AZ22">SUMPRODUCT((HQ!$T$3:$T$89=AZ42)*(ISNUMBER(HQ!$P$3:$P$89))*(HQ!$P$3:$P$89))</f>
        <v>2</v>
      </c>
      <c r="BA22" s="428" cm="1">
        <f t="array" ref="BA22">SUMPRODUCT((HQ!$T$3:$T$89=BA42)*(ISNUMBER(HQ!$P$3:$P$89))*(HQ!$P$3:$P$89))</f>
        <v>0</v>
      </c>
      <c r="BB22" s="428" cm="1">
        <f t="array" ref="BB22">SUMPRODUCT((HQ!$T$3:$T$89=BB42)*(ISNUMBER(HQ!$P$3:$P$89))*(HQ!$P$3:$P$89))</f>
        <v>6</v>
      </c>
      <c r="BC22" s="428" cm="1">
        <f t="array" ref="BC22">SUMPRODUCT((HQ!$T$3:$T$89=BC42)*(ISNUMBER(HQ!$P$3:$P$89))*(HQ!$P$3:$P$89))</f>
        <v>0</v>
      </c>
      <c r="BD22" s="428" cm="1">
        <f t="array" ref="BD22">SUMPRODUCT((HQ!$T$3:$T$89=BD42)*(ISNUMBER(HQ!$P$3:$P$89))*(HQ!$P$3:$P$89))</f>
        <v>0</v>
      </c>
      <c r="BE22" s="428" cm="1">
        <f t="array" ref="BE22">SUMPRODUCT((HQ!$T$3:$T$89=BE42)*(ISNUMBER(HQ!$P$3:$P$89))*(HQ!$P$3:$P$89))</f>
        <v>0</v>
      </c>
      <c r="BF22" s="428" cm="1">
        <f t="array" ref="BF22">SUMPRODUCT((HQ!$T$3:$T$89=BF42)*(ISNUMBER(HQ!$P$3:$P$89))*(HQ!$P$3:$P$89))</f>
        <v>0</v>
      </c>
      <c r="BG22" s="428" cm="1">
        <f t="array" ref="BG22">SUMPRODUCT((HQ!$T$3:$T$89=BG42)*(ISNUMBER(HQ!$P$3:$P$89))*(HQ!$P$3:$P$89))</f>
        <v>12</v>
      </c>
      <c r="BH22" s="428" cm="1">
        <f t="array" ref="BH22">SUMPRODUCT((HQ!$T$3:$T$89=BH42)*(ISNUMBER(HQ!$P$3:$P$89))*(HQ!$P$3:$P$89))</f>
        <v>0</v>
      </c>
      <c r="BI22" s="428" cm="1">
        <f t="array" ref="BI22">SUMPRODUCT((HQ!$T$3:$T$89=BI42)*(ISNUMBER(HQ!$P$3:$P$89))*(HQ!$P$3:$P$89))</f>
        <v>2</v>
      </c>
      <c r="BJ22" s="428" cm="1">
        <f t="array" ref="BJ22">SUMPRODUCT((HQ!$T$3:$T$89=BJ42)*(ISNUMBER(HQ!$P$3:$P$89))*(HQ!$P$3:$P$89))</f>
        <v>0</v>
      </c>
      <c r="BK22" s="428" cm="1">
        <f t="array" ref="BK22">SUMPRODUCT((HQ!$T$3:$T$89=BK42)*(ISNUMBER(HQ!$P$3:$P$89))*(HQ!$P$3:$P$89))</f>
        <v>0</v>
      </c>
      <c r="BL22" s="428" cm="1">
        <f t="array" ref="BL22">SUMPRODUCT((HQ!$T$3:$T$89=BL42)*(ISNUMBER(HQ!$P$3:$P$89))*(HQ!$P$3:$P$89))</f>
        <v>4</v>
      </c>
      <c r="BM22" s="428" cm="1">
        <f t="array" ref="BM22">SUMPRODUCT((HQ!$T$3:$T$89=BM42)*(ISNUMBER(HQ!$P$3:$P$89))*(HQ!$P$3:$P$89))</f>
        <v>2</v>
      </c>
      <c r="BN22" s="428" cm="1">
        <f t="array" ref="BN22">SUMPRODUCT((HQ!$T$3:$T$89=BN42)*(ISNUMBER(HQ!$P$3:$P$89))*(HQ!$P$3:$P$89))</f>
        <v>3</v>
      </c>
      <c r="BO22" s="428" cm="1">
        <f t="array" ref="BO22">SUMPRODUCT((HQ!$T$3:$T$89=BO42)*(ISNUMBER(HQ!$P$3:$P$89))*(HQ!$P$3:$P$89))</f>
        <v>0</v>
      </c>
      <c r="BP22" s="428" cm="1">
        <f t="array" ref="BP22">SUMPRODUCT((HQ!$T$3:$T$89=BP42)*(ISNUMBER(HQ!$P$3:$P$89))*(HQ!$P$3:$P$89))</f>
        <v>4</v>
      </c>
      <c r="BQ22" s="428" cm="1">
        <f t="array" ref="BQ22">SUMPRODUCT((HQ!$T$3:$T$89=BQ42)*(ISNUMBER(HQ!$P$3:$P$89))*(HQ!$P$3:$P$89))</f>
        <v>0</v>
      </c>
      <c r="BR22" s="428" cm="1">
        <f t="array" ref="BR22">SUMPRODUCT((HQ!$T$3:$T$89=BR42)*(ISNUMBER(HQ!$P$3:$P$89))*(HQ!$P$3:$P$89))</f>
        <v>0</v>
      </c>
      <c r="BS22" s="428" cm="1">
        <f t="array" ref="BS22">SUMPRODUCT((HQ!$T$3:$T$89=BS42)*(ISNUMBER(HQ!$P$3:$P$89))*(HQ!$P$3:$P$89))</f>
        <v>0</v>
      </c>
      <c r="BT22" s="428" cm="1">
        <f t="array" ref="BT22">SUMPRODUCT((HQ!$T$3:$T$89=BT42)*(ISNUMBER(HQ!$P$3:$P$89))*(HQ!$P$3:$P$89))</f>
        <v>0</v>
      </c>
      <c r="BU22" s="428" cm="1">
        <f t="array" ref="BU22">SUMPRODUCT((HQ!$T$3:$T$89=BU42)*(ISNUMBER(HQ!$P$3:$P$89))*(HQ!$P$3:$P$89))</f>
        <v>0</v>
      </c>
      <c r="BV22" s="428" cm="1">
        <f t="array" ref="BV22">SUMPRODUCT((HQ!$T$3:$T$89=BV42)*(ISNUMBER(HQ!$P$3:$P$89))*(HQ!$P$3:$P$89))</f>
        <v>0</v>
      </c>
      <c r="BW22" s="428" cm="1">
        <f t="array" ref="BW22">SUMPRODUCT((HQ!$T$3:$T$89=BW42)*(ISNUMBER(HQ!$P$3:$P$89))*(HQ!$P$3:$P$89))</f>
        <v>0</v>
      </c>
      <c r="BX22" s="428" cm="1">
        <f t="array" ref="BX22">SUMPRODUCT((HQ!$T$3:$T$89=BX42)*(ISNUMBER(HQ!$P$3:$P$89))*(HQ!$P$3:$P$89))</f>
        <v>0</v>
      </c>
      <c r="BY22" s="428" cm="1">
        <f t="array" ref="BY22">SUMPRODUCT((HQ!$T$3:$T$89=BY42)*(ISNUMBER(HQ!$P$3:$P$89))*(HQ!$P$3:$P$89))</f>
        <v>0</v>
      </c>
      <c r="BZ22" s="428" cm="1">
        <f t="array" ref="BZ22">SUMPRODUCT((HQ!$T$3:$T$89=BZ42)*(ISNUMBER(HQ!$P$3:$P$89))*(HQ!$P$3:$P$89))</f>
        <v>0</v>
      </c>
      <c r="CA22" s="428" cm="1">
        <f t="array" ref="CA22">SUMPRODUCT((HQ!$T$3:$T$89=CA42)*(ISNUMBER(HQ!$P$3:$P$89))*(HQ!$P$3:$P$89))</f>
        <v>0</v>
      </c>
      <c r="CB22" s="428" cm="1">
        <f t="array" ref="CB22">SUMPRODUCT((HQ!$T$3:$T$89=CB42)*(ISNUMBER(HQ!$P$3:$P$89))*(HQ!$P$3:$P$89))</f>
        <v>0</v>
      </c>
      <c r="CC22" s="428" cm="1">
        <f t="array" ref="CC22">SUMPRODUCT((HQ!$T$3:$T$89=CC42)*(ISNUMBER(HQ!$P$3:$P$89))*(HQ!$P$3:$P$89))</f>
        <v>0</v>
      </c>
      <c r="CD22" s="428" cm="1">
        <f t="array" ref="CD22">SUMPRODUCT((HQ!$T$3:$T$89=CD42)*(ISNUMBER(HQ!$P$3:$P$89))*(HQ!$P$3:$P$89))</f>
        <v>0</v>
      </c>
      <c r="CE22" s="428" cm="1">
        <f t="array" ref="CE22">SUMPRODUCT((HQ!$T$3:$T$89=CE42)*(ISNUMBER(HQ!$P$3:$P$89))*(HQ!$P$3:$P$89))</f>
        <v>0</v>
      </c>
      <c r="CF22" s="428" cm="1">
        <f t="array" ref="CF22">SUMPRODUCT((HQ!$T$3:$T$89=CF42)*(ISNUMBER(HQ!$P$3:$P$89))*(HQ!$P$3:$P$89))</f>
        <v>0</v>
      </c>
      <c r="CG22" s="428" cm="1">
        <f t="array" ref="CG22">SUMPRODUCT((HQ!$T$3:$T$89=CG42)*(ISNUMBER(HQ!$P$3:$P$89))*(HQ!$P$3:$P$89))</f>
        <v>0</v>
      </c>
      <c r="CH22" s="428" cm="1">
        <f t="array" ref="CH22">SUMPRODUCT((HQ!$T$3:$T$89=CH42)*(ISNUMBER(HQ!$P$3:$P$89))*(HQ!$P$3:$P$89))</f>
        <v>0</v>
      </c>
      <c r="CI22" s="428" cm="1">
        <f t="array" ref="CI22">SUMPRODUCT((HQ!$T$3:$T$89=CI42)*(ISNUMBER(HQ!$P$3:$P$89))*(HQ!$P$3:$P$89))</f>
        <v>0</v>
      </c>
      <c r="CJ22" s="428" cm="1">
        <f t="array" ref="CJ22">SUMPRODUCT((HQ!$T$3:$T$89=CJ42)*(ISNUMBER(HQ!$P$3:$P$89))*(HQ!$P$3:$P$89))</f>
        <v>0</v>
      </c>
      <c r="CK22" s="428" cm="1">
        <f t="array" ref="CK22">SUMPRODUCT((HQ!$T$3:$T$89=CK42)*(ISNUMBER(HQ!$P$3:$P$89))*(HQ!$P$3:$P$89))</f>
        <v>0</v>
      </c>
      <c r="CL22" s="428" cm="1">
        <f t="array" ref="CL22">SUMPRODUCT((HQ!$T$3:$T$89=CL42)*(ISNUMBER(HQ!$P$3:$P$89))*(HQ!$P$3:$P$89))</f>
        <v>0</v>
      </c>
      <c r="CM22" s="428" cm="1">
        <f t="array" ref="CM22">SUMPRODUCT((HQ!$T$3:$T$89=CM42)*(ISNUMBER(HQ!$P$3:$P$89))*(HQ!$P$3:$P$89))</f>
        <v>0</v>
      </c>
      <c r="CN22" s="428" cm="1">
        <f t="array" ref="CN22">SUMPRODUCT((HQ!$T$3:$T$89=CN42)*(ISNUMBER(HQ!$P$3:$P$89))*(HQ!$P$3:$P$89))</f>
        <v>0</v>
      </c>
      <c r="CO22" s="428" cm="1">
        <f t="array" ref="CO22">SUMPRODUCT((HQ!$T$3:$T$89=CO42)*(ISNUMBER(HQ!$P$3:$P$89))*(HQ!$P$3:$P$89))</f>
        <v>0</v>
      </c>
      <c r="CP22" s="428" cm="1">
        <f t="array" ref="CP22">SUMPRODUCT((HQ!$T$3:$T$89=CP42)*(ISNUMBER(HQ!$P$3:$P$89))*(HQ!$P$3:$P$89))</f>
        <v>0</v>
      </c>
      <c r="CQ22" s="428" cm="1">
        <f t="array" ref="CQ22">SUMPRODUCT((HQ!$T$3:$T$89=CQ42)*(ISNUMBER(HQ!$P$3:$P$89))*(HQ!$P$3:$P$89))</f>
        <v>0</v>
      </c>
      <c r="CR22" s="428" cm="1">
        <f t="array" ref="CR22">SUMPRODUCT((HQ!$T$3:$T$89=CR42)*(ISNUMBER(HQ!$P$3:$P$89))*(HQ!$P$3:$P$89))</f>
        <v>0</v>
      </c>
      <c r="CS22" s="428" cm="1">
        <f t="array" ref="CS22">SUMPRODUCT((HQ!$T$3:$T$89=CS42)*(ISNUMBER(HQ!$P$3:$P$89))*(HQ!$P$3:$P$89))</f>
        <v>0</v>
      </c>
      <c r="CT22" s="428" cm="1">
        <f t="array" ref="CT22">SUMPRODUCT((HQ!$T$3:$T$89=CT42)*(ISNUMBER(HQ!$P$3:$P$89))*(HQ!$P$3:$P$89))</f>
        <v>0</v>
      </c>
      <c r="CU22" s="426">
        <f>SUM(B22:CT22)</f>
        <v>183</v>
      </c>
    </row>
    <row r="23" spans="1:99" ht="19.5" customHeight="1">
      <c r="A23" s="433" t="s">
        <v>322</v>
      </c>
      <c r="B23" s="434">
        <f>MAX(B22-B21,0)</f>
        <v>0</v>
      </c>
      <c r="C23" s="434">
        <f t="shared" ref="C23:BI23" si="24">MAX(C22-C21,0)</f>
        <v>0</v>
      </c>
      <c r="D23" s="434">
        <f t="shared" si="24"/>
        <v>0</v>
      </c>
      <c r="E23" s="434">
        <f t="shared" si="24"/>
        <v>0</v>
      </c>
      <c r="F23" s="434">
        <f t="shared" si="24"/>
        <v>0</v>
      </c>
      <c r="G23" s="434">
        <f t="shared" si="24"/>
        <v>0</v>
      </c>
      <c r="H23" s="434">
        <f t="shared" si="24"/>
        <v>0</v>
      </c>
      <c r="I23" s="434">
        <f t="shared" si="24"/>
        <v>0</v>
      </c>
      <c r="J23" s="434">
        <f t="shared" si="24"/>
        <v>0</v>
      </c>
      <c r="K23" s="434">
        <f t="shared" si="24"/>
        <v>0</v>
      </c>
      <c r="L23" s="434">
        <f t="shared" si="24"/>
        <v>0</v>
      </c>
      <c r="M23" s="434">
        <f t="shared" si="24"/>
        <v>0</v>
      </c>
      <c r="N23" s="434">
        <f t="shared" si="24"/>
        <v>0</v>
      </c>
      <c r="O23" s="434">
        <f t="shared" si="24"/>
        <v>0</v>
      </c>
      <c r="P23" s="434">
        <f t="shared" si="24"/>
        <v>0</v>
      </c>
      <c r="Q23" s="434">
        <f t="shared" si="24"/>
        <v>0</v>
      </c>
      <c r="R23" s="434">
        <f t="shared" si="24"/>
        <v>0</v>
      </c>
      <c r="S23" s="434">
        <f t="shared" si="24"/>
        <v>0</v>
      </c>
      <c r="T23" s="434">
        <f t="shared" si="24"/>
        <v>0</v>
      </c>
      <c r="U23" s="434">
        <f t="shared" si="24"/>
        <v>0</v>
      </c>
      <c r="V23" s="434">
        <f t="shared" si="24"/>
        <v>0</v>
      </c>
      <c r="W23" s="434">
        <f t="shared" si="24"/>
        <v>0</v>
      </c>
      <c r="X23" s="434">
        <f t="shared" si="24"/>
        <v>0</v>
      </c>
      <c r="Y23" s="434">
        <f t="shared" si="24"/>
        <v>0</v>
      </c>
      <c r="Z23" s="434">
        <f t="shared" si="24"/>
        <v>0</v>
      </c>
      <c r="AA23" s="434">
        <f t="shared" si="24"/>
        <v>0</v>
      </c>
      <c r="AB23" s="434">
        <f t="shared" si="24"/>
        <v>0</v>
      </c>
      <c r="AC23" s="434">
        <f t="shared" si="24"/>
        <v>0</v>
      </c>
      <c r="AD23" s="434">
        <f t="shared" si="24"/>
        <v>0</v>
      </c>
      <c r="AE23" s="434">
        <f t="shared" si="24"/>
        <v>0</v>
      </c>
      <c r="AF23" s="434">
        <f t="shared" si="24"/>
        <v>0</v>
      </c>
      <c r="AG23" s="434">
        <f t="shared" si="24"/>
        <v>0</v>
      </c>
      <c r="AH23" s="434">
        <f t="shared" si="24"/>
        <v>0</v>
      </c>
      <c r="AI23" s="434">
        <f t="shared" si="24"/>
        <v>0</v>
      </c>
      <c r="AJ23" s="434">
        <f t="shared" si="24"/>
        <v>0</v>
      </c>
      <c r="AK23" s="434">
        <f t="shared" si="24"/>
        <v>0</v>
      </c>
      <c r="AL23" s="434">
        <f t="shared" si="24"/>
        <v>0</v>
      </c>
      <c r="AM23" s="434">
        <f t="shared" si="24"/>
        <v>0</v>
      </c>
      <c r="AN23" s="434">
        <f t="shared" si="24"/>
        <v>0</v>
      </c>
      <c r="AO23" s="434">
        <f t="shared" si="24"/>
        <v>0</v>
      </c>
      <c r="AP23" s="434">
        <f t="shared" si="24"/>
        <v>0</v>
      </c>
      <c r="AQ23" s="434">
        <f t="shared" si="24"/>
        <v>0</v>
      </c>
      <c r="AR23" s="434">
        <f t="shared" si="24"/>
        <v>0</v>
      </c>
      <c r="AS23" s="434">
        <f t="shared" si="24"/>
        <v>0</v>
      </c>
      <c r="AT23" s="434">
        <f t="shared" si="24"/>
        <v>0</v>
      </c>
      <c r="AU23" s="434">
        <f t="shared" si="24"/>
        <v>0</v>
      </c>
      <c r="AV23" s="434">
        <f t="shared" si="24"/>
        <v>0</v>
      </c>
      <c r="AW23" s="434">
        <f t="shared" si="24"/>
        <v>0</v>
      </c>
      <c r="AX23" s="434">
        <f t="shared" si="24"/>
        <v>0</v>
      </c>
      <c r="AY23" s="434">
        <f t="shared" si="24"/>
        <v>0</v>
      </c>
      <c r="AZ23" s="434">
        <f t="shared" si="24"/>
        <v>0</v>
      </c>
      <c r="BA23" s="434">
        <f t="shared" si="24"/>
        <v>0</v>
      </c>
      <c r="BB23" s="434">
        <f t="shared" si="24"/>
        <v>0</v>
      </c>
      <c r="BC23" s="434">
        <f t="shared" si="24"/>
        <v>0</v>
      </c>
      <c r="BD23" s="434">
        <f t="shared" si="24"/>
        <v>0</v>
      </c>
      <c r="BE23" s="434">
        <f t="shared" si="24"/>
        <v>0</v>
      </c>
      <c r="BF23" s="434">
        <f t="shared" si="24"/>
        <v>0</v>
      </c>
      <c r="BG23" s="434">
        <f t="shared" si="24"/>
        <v>0</v>
      </c>
      <c r="BH23" s="434">
        <f t="shared" si="24"/>
        <v>0</v>
      </c>
      <c r="BI23" s="434">
        <f t="shared" si="24"/>
        <v>0</v>
      </c>
      <c r="BJ23" s="434">
        <f t="shared" ref="BJ23:CJ23" si="25">MAX(BJ22-BJ21,0)</f>
        <v>0</v>
      </c>
      <c r="BK23" s="434">
        <f t="shared" si="25"/>
        <v>0</v>
      </c>
      <c r="BL23" s="434">
        <f t="shared" si="25"/>
        <v>0</v>
      </c>
      <c r="BM23" s="434">
        <f t="shared" si="25"/>
        <v>0</v>
      </c>
      <c r="BN23" s="434">
        <f t="shared" si="25"/>
        <v>0</v>
      </c>
      <c r="BO23" s="434">
        <f t="shared" si="25"/>
        <v>0</v>
      </c>
      <c r="BP23" s="434">
        <f t="shared" si="25"/>
        <v>0</v>
      </c>
      <c r="BQ23" s="434">
        <f t="shared" si="25"/>
        <v>0</v>
      </c>
      <c r="BR23" s="434">
        <f t="shared" si="25"/>
        <v>0</v>
      </c>
      <c r="BS23" s="434">
        <f t="shared" si="25"/>
        <v>0</v>
      </c>
      <c r="BT23" s="434">
        <f t="shared" si="25"/>
        <v>0</v>
      </c>
      <c r="BU23" s="434">
        <f t="shared" si="25"/>
        <v>0</v>
      </c>
      <c r="BV23" s="434">
        <f t="shared" si="25"/>
        <v>0</v>
      </c>
      <c r="BW23" s="434">
        <f t="shared" si="25"/>
        <v>0</v>
      </c>
      <c r="BX23" s="434">
        <f t="shared" si="25"/>
        <v>0</v>
      </c>
      <c r="BY23" s="434">
        <f t="shared" si="25"/>
        <v>0</v>
      </c>
      <c r="BZ23" s="434">
        <f t="shared" si="25"/>
        <v>0</v>
      </c>
      <c r="CA23" s="434">
        <f t="shared" si="25"/>
        <v>0</v>
      </c>
      <c r="CB23" s="434">
        <f t="shared" si="25"/>
        <v>0</v>
      </c>
      <c r="CC23" s="434">
        <f t="shared" si="25"/>
        <v>0</v>
      </c>
      <c r="CD23" s="434">
        <f t="shared" si="25"/>
        <v>0</v>
      </c>
      <c r="CE23" s="434">
        <f t="shared" si="25"/>
        <v>0</v>
      </c>
      <c r="CF23" s="434">
        <f t="shared" si="25"/>
        <v>0</v>
      </c>
      <c r="CG23" s="434">
        <f t="shared" si="25"/>
        <v>0</v>
      </c>
      <c r="CH23" s="434">
        <f t="shared" si="25"/>
        <v>0</v>
      </c>
      <c r="CI23" s="434">
        <f t="shared" si="25"/>
        <v>0</v>
      </c>
      <c r="CJ23" s="434">
        <f t="shared" si="25"/>
        <v>0</v>
      </c>
      <c r="CK23" s="434">
        <f t="shared" ref="CK23:CT23" si="26">MAX(CK22-CK21,0)</f>
        <v>0</v>
      </c>
      <c r="CL23" s="434">
        <f t="shared" si="26"/>
        <v>0</v>
      </c>
      <c r="CM23" s="434">
        <f t="shared" si="26"/>
        <v>0</v>
      </c>
      <c r="CN23" s="434">
        <f t="shared" si="26"/>
        <v>0</v>
      </c>
      <c r="CO23" s="434">
        <f t="shared" si="26"/>
        <v>0</v>
      </c>
      <c r="CP23" s="434">
        <f t="shared" si="26"/>
        <v>0</v>
      </c>
      <c r="CQ23" s="434">
        <f t="shared" si="26"/>
        <v>0</v>
      </c>
      <c r="CR23" s="434">
        <f t="shared" si="26"/>
        <v>0</v>
      </c>
      <c r="CS23" s="434">
        <f t="shared" si="26"/>
        <v>0</v>
      </c>
      <c r="CT23" s="434">
        <f t="shared" si="26"/>
        <v>0</v>
      </c>
      <c r="CU23" s="426">
        <f>MAX(CU22-CU21,0)</f>
        <v>0</v>
      </c>
    </row>
    <row r="24" spans="1:99" ht="19.5" customHeight="1">
      <c r="A24" s="433" t="s">
        <v>323</v>
      </c>
      <c r="B24" s="434">
        <f>MAX(B21-B22,0)</f>
        <v>7</v>
      </c>
      <c r="C24" s="434">
        <f t="shared" ref="C24:BI24" si="27">MAX(C21-C22,0)</f>
        <v>0</v>
      </c>
      <c r="D24" s="434">
        <f t="shared" si="27"/>
        <v>0</v>
      </c>
      <c r="E24" s="434">
        <f t="shared" si="27"/>
        <v>0</v>
      </c>
      <c r="F24" s="434">
        <f t="shared" si="27"/>
        <v>0</v>
      </c>
      <c r="G24" s="434">
        <f t="shared" si="27"/>
        <v>0</v>
      </c>
      <c r="H24" s="434">
        <f t="shared" si="27"/>
        <v>0</v>
      </c>
      <c r="I24" s="434">
        <f t="shared" si="27"/>
        <v>0</v>
      </c>
      <c r="J24" s="434">
        <f t="shared" si="27"/>
        <v>0</v>
      </c>
      <c r="K24" s="434">
        <f t="shared" si="27"/>
        <v>0</v>
      </c>
      <c r="L24" s="434">
        <f t="shared" si="27"/>
        <v>0</v>
      </c>
      <c r="M24" s="434">
        <f t="shared" si="27"/>
        <v>0</v>
      </c>
      <c r="N24" s="434">
        <f t="shared" si="27"/>
        <v>0</v>
      </c>
      <c r="O24" s="434">
        <f t="shared" si="27"/>
        <v>0</v>
      </c>
      <c r="P24" s="434">
        <f t="shared" si="27"/>
        <v>0</v>
      </c>
      <c r="Q24" s="434">
        <f t="shared" si="27"/>
        <v>0</v>
      </c>
      <c r="R24" s="434">
        <f t="shared" si="27"/>
        <v>0</v>
      </c>
      <c r="S24" s="434">
        <f t="shared" si="27"/>
        <v>0</v>
      </c>
      <c r="T24" s="434">
        <f t="shared" si="27"/>
        <v>0</v>
      </c>
      <c r="U24" s="434">
        <f t="shared" si="27"/>
        <v>0</v>
      </c>
      <c r="V24" s="434">
        <f t="shared" si="27"/>
        <v>0</v>
      </c>
      <c r="W24" s="434">
        <f t="shared" si="27"/>
        <v>0</v>
      </c>
      <c r="X24" s="434">
        <f t="shared" si="27"/>
        <v>0</v>
      </c>
      <c r="Y24" s="434">
        <f t="shared" si="27"/>
        <v>0</v>
      </c>
      <c r="Z24" s="434">
        <f t="shared" si="27"/>
        <v>0</v>
      </c>
      <c r="AA24" s="434">
        <f t="shared" si="27"/>
        <v>0</v>
      </c>
      <c r="AB24" s="434">
        <f t="shared" si="27"/>
        <v>0</v>
      </c>
      <c r="AC24" s="434">
        <f t="shared" si="27"/>
        <v>0</v>
      </c>
      <c r="AD24" s="434">
        <f t="shared" si="27"/>
        <v>0</v>
      </c>
      <c r="AE24" s="434">
        <f t="shared" si="27"/>
        <v>0</v>
      </c>
      <c r="AF24" s="434">
        <f t="shared" si="27"/>
        <v>0</v>
      </c>
      <c r="AG24" s="434">
        <f t="shared" si="27"/>
        <v>0</v>
      </c>
      <c r="AH24" s="434">
        <f t="shared" si="27"/>
        <v>0</v>
      </c>
      <c r="AI24" s="434">
        <f t="shared" si="27"/>
        <v>0</v>
      </c>
      <c r="AJ24" s="434">
        <f t="shared" si="27"/>
        <v>0</v>
      </c>
      <c r="AK24" s="434">
        <f t="shared" si="27"/>
        <v>0</v>
      </c>
      <c r="AL24" s="434">
        <f t="shared" si="27"/>
        <v>0</v>
      </c>
      <c r="AM24" s="434">
        <f t="shared" si="27"/>
        <v>0</v>
      </c>
      <c r="AN24" s="434">
        <f t="shared" si="27"/>
        <v>0</v>
      </c>
      <c r="AO24" s="434">
        <f t="shared" si="27"/>
        <v>0</v>
      </c>
      <c r="AP24" s="434">
        <f t="shared" si="27"/>
        <v>0</v>
      </c>
      <c r="AQ24" s="434">
        <f t="shared" si="27"/>
        <v>0</v>
      </c>
      <c r="AR24" s="434">
        <f t="shared" si="27"/>
        <v>0</v>
      </c>
      <c r="AS24" s="434">
        <f t="shared" si="27"/>
        <v>0</v>
      </c>
      <c r="AT24" s="434">
        <f t="shared" si="27"/>
        <v>0</v>
      </c>
      <c r="AU24" s="434">
        <f t="shared" si="27"/>
        <v>0</v>
      </c>
      <c r="AV24" s="434">
        <f t="shared" si="27"/>
        <v>0</v>
      </c>
      <c r="AW24" s="434">
        <f t="shared" si="27"/>
        <v>0</v>
      </c>
      <c r="AX24" s="434">
        <f t="shared" si="27"/>
        <v>0</v>
      </c>
      <c r="AY24" s="434">
        <f t="shared" si="27"/>
        <v>0</v>
      </c>
      <c r="AZ24" s="434">
        <f t="shared" si="27"/>
        <v>0</v>
      </c>
      <c r="BA24" s="434">
        <f t="shared" si="27"/>
        <v>0</v>
      </c>
      <c r="BB24" s="434">
        <f t="shared" si="27"/>
        <v>0</v>
      </c>
      <c r="BC24" s="434">
        <f t="shared" si="27"/>
        <v>0</v>
      </c>
      <c r="BD24" s="434">
        <f t="shared" si="27"/>
        <v>0</v>
      </c>
      <c r="BE24" s="434">
        <f t="shared" si="27"/>
        <v>0</v>
      </c>
      <c r="BF24" s="434">
        <f t="shared" si="27"/>
        <v>0</v>
      </c>
      <c r="BG24" s="434">
        <f t="shared" si="27"/>
        <v>0</v>
      </c>
      <c r="BH24" s="434">
        <f t="shared" si="27"/>
        <v>0</v>
      </c>
      <c r="BI24" s="434">
        <f t="shared" si="27"/>
        <v>0</v>
      </c>
      <c r="BJ24" s="434">
        <f t="shared" ref="BJ24:CJ24" si="28">MAX(BJ21-BJ22,0)</f>
        <v>0</v>
      </c>
      <c r="BK24" s="434">
        <f t="shared" si="28"/>
        <v>0</v>
      </c>
      <c r="BL24" s="434">
        <f t="shared" si="28"/>
        <v>0</v>
      </c>
      <c r="BM24" s="434">
        <f t="shared" si="28"/>
        <v>1</v>
      </c>
      <c r="BN24" s="434">
        <f t="shared" si="28"/>
        <v>0</v>
      </c>
      <c r="BO24" s="434">
        <f t="shared" si="28"/>
        <v>0</v>
      </c>
      <c r="BP24" s="434">
        <f t="shared" si="28"/>
        <v>2</v>
      </c>
      <c r="BQ24" s="434">
        <f t="shared" si="28"/>
        <v>0</v>
      </c>
      <c r="BR24" s="434">
        <f t="shared" si="28"/>
        <v>0</v>
      </c>
      <c r="BS24" s="434">
        <f t="shared" si="28"/>
        <v>0</v>
      </c>
      <c r="BT24" s="434">
        <f t="shared" si="28"/>
        <v>0</v>
      </c>
      <c r="BU24" s="434">
        <f t="shared" si="28"/>
        <v>0</v>
      </c>
      <c r="BV24" s="434">
        <f t="shared" si="28"/>
        <v>0</v>
      </c>
      <c r="BW24" s="434">
        <f t="shared" si="28"/>
        <v>0</v>
      </c>
      <c r="BX24" s="434">
        <f t="shared" si="28"/>
        <v>0</v>
      </c>
      <c r="BY24" s="434">
        <f t="shared" si="28"/>
        <v>0</v>
      </c>
      <c r="BZ24" s="434">
        <f t="shared" si="28"/>
        <v>0</v>
      </c>
      <c r="CA24" s="434">
        <f t="shared" si="28"/>
        <v>0</v>
      </c>
      <c r="CB24" s="434">
        <f t="shared" si="28"/>
        <v>0</v>
      </c>
      <c r="CC24" s="434">
        <f t="shared" si="28"/>
        <v>0</v>
      </c>
      <c r="CD24" s="434">
        <f t="shared" si="28"/>
        <v>0</v>
      </c>
      <c r="CE24" s="434">
        <f t="shared" si="28"/>
        <v>0</v>
      </c>
      <c r="CF24" s="434">
        <f t="shared" si="28"/>
        <v>0</v>
      </c>
      <c r="CG24" s="434">
        <f t="shared" si="28"/>
        <v>0</v>
      </c>
      <c r="CH24" s="434">
        <f t="shared" si="28"/>
        <v>0</v>
      </c>
      <c r="CI24" s="434">
        <f t="shared" si="28"/>
        <v>0</v>
      </c>
      <c r="CJ24" s="434">
        <f t="shared" si="28"/>
        <v>0</v>
      </c>
      <c r="CK24" s="434">
        <f t="shared" ref="CK24:CT24" si="29">MAX(CK21-CK22,0)</f>
        <v>0</v>
      </c>
      <c r="CL24" s="434">
        <f t="shared" si="29"/>
        <v>0</v>
      </c>
      <c r="CM24" s="434">
        <f t="shared" si="29"/>
        <v>0</v>
      </c>
      <c r="CN24" s="434">
        <f t="shared" si="29"/>
        <v>0</v>
      </c>
      <c r="CO24" s="434">
        <f t="shared" si="29"/>
        <v>0</v>
      </c>
      <c r="CP24" s="434">
        <f t="shared" si="29"/>
        <v>0</v>
      </c>
      <c r="CQ24" s="434">
        <f t="shared" si="29"/>
        <v>0</v>
      </c>
      <c r="CR24" s="434">
        <f t="shared" si="29"/>
        <v>0</v>
      </c>
      <c r="CS24" s="434">
        <f t="shared" si="29"/>
        <v>0</v>
      </c>
      <c r="CT24" s="434">
        <f t="shared" si="29"/>
        <v>0</v>
      </c>
      <c r="CU24" s="426">
        <f>MAX(CU21-CU22,0)</f>
        <v>10</v>
      </c>
    </row>
    <row r="25" spans="1:99" ht="19.5" customHeight="1">
      <c r="A25" s="429" t="s">
        <v>324</v>
      </c>
      <c r="B25" s="430">
        <f t="shared" ref="B25" si="30">IF(B21=0,IF(B22=0,0,1),B22/B21)</f>
        <v>0.79411764705882348</v>
      </c>
      <c r="C25" s="430">
        <f t="shared" ref="C25:BI25" si="31">IF(C21=0,IF(C22=0,0,1),C22/C21)</f>
        <v>0</v>
      </c>
      <c r="D25" s="430">
        <f t="shared" si="31"/>
        <v>0</v>
      </c>
      <c r="E25" s="430">
        <f t="shared" si="31"/>
        <v>0</v>
      </c>
      <c r="F25" s="430">
        <f t="shared" si="31"/>
        <v>0</v>
      </c>
      <c r="G25" s="430">
        <f t="shared" si="31"/>
        <v>0</v>
      </c>
      <c r="H25" s="430">
        <f t="shared" si="31"/>
        <v>0</v>
      </c>
      <c r="I25" s="430">
        <f t="shared" si="31"/>
        <v>0</v>
      </c>
      <c r="J25" s="430">
        <f t="shared" si="31"/>
        <v>1</v>
      </c>
      <c r="K25" s="430">
        <f t="shared" si="31"/>
        <v>0</v>
      </c>
      <c r="L25" s="430">
        <f t="shared" si="31"/>
        <v>0</v>
      </c>
      <c r="M25" s="430">
        <f t="shared" si="31"/>
        <v>0</v>
      </c>
      <c r="N25" s="430">
        <f t="shared" si="31"/>
        <v>0</v>
      </c>
      <c r="O25" s="430">
        <f t="shared" si="31"/>
        <v>0</v>
      </c>
      <c r="P25" s="430">
        <f t="shared" si="31"/>
        <v>0</v>
      </c>
      <c r="Q25" s="430">
        <f t="shared" si="31"/>
        <v>1</v>
      </c>
      <c r="R25" s="430">
        <f t="shared" si="31"/>
        <v>0</v>
      </c>
      <c r="S25" s="430">
        <f t="shared" si="31"/>
        <v>1</v>
      </c>
      <c r="T25" s="430">
        <f t="shared" si="31"/>
        <v>0</v>
      </c>
      <c r="U25" s="430">
        <f t="shared" si="31"/>
        <v>0</v>
      </c>
      <c r="V25" s="430">
        <f t="shared" si="31"/>
        <v>1</v>
      </c>
      <c r="W25" s="430">
        <f t="shared" si="31"/>
        <v>0</v>
      </c>
      <c r="X25" s="430">
        <f t="shared" si="31"/>
        <v>1</v>
      </c>
      <c r="Y25" s="430">
        <f t="shared" si="31"/>
        <v>0</v>
      </c>
      <c r="Z25" s="430">
        <f t="shared" si="31"/>
        <v>1</v>
      </c>
      <c r="AA25" s="430">
        <f t="shared" si="31"/>
        <v>0</v>
      </c>
      <c r="AB25" s="430">
        <f t="shared" si="31"/>
        <v>0</v>
      </c>
      <c r="AC25" s="430">
        <f t="shared" si="31"/>
        <v>1</v>
      </c>
      <c r="AD25" s="430">
        <f t="shared" si="31"/>
        <v>0</v>
      </c>
      <c r="AE25" s="430">
        <f t="shared" si="31"/>
        <v>0</v>
      </c>
      <c r="AF25" s="430">
        <f t="shared" si="31"/>
        <v>0</v>
      </c>
      <c r="AG25" s="430">
        <f t="shared" si="31"/>
        <v>0</v>
      </c>
      <c r="AH25" s="430">
        <f t="shared" si="31"/>
        <v>0</v>
      </c>
      <c r="AI25" s="430">
        <f t="shared" si="31"/>
        <v>0</v>
      </c>
      <c r="AJ25" s="430">
        <f t="shared" si="31"/>
        <v>1</v>
      </c>
      <c r="AK25" s="430">
        <f t="shared" si="31"/>
        <v>0</v>
      </c>
      <c r="AL25" s="430">
        <f t="shared" si="31"/>
        <v>1</v>
      </c>
      <c r="AM25" s="430">
        <f t="shared" si="31"/>
        <v>0</v>
      </c>
      <c r="AN25" s="430">
        <f t="shared" si="31"/>
        <v>0</v>
      </c>
      <c r="AO25" s="430">
        <f t="shared" si="31"/>
        <v>0</v>
      </c>
      <c r="AP25" s="430">
        <f t="shared" si="31"/>
        <v>0</v>
      </c>
      <c r="AQ25" s="430">
        <f t="shared" si="31"/>
        <v>1</v>
      </c>
      <c r="AR25" s="430">
        <f t="shared" si="31"/>
        <v>0</v>
      </c>
      <c r="AS25" s="430">
        <f t="shared" si="31"/>
        <v>0</v>
      </c>
      <c r="AT25" s="430">
        <f t="shared" si="31"/>
        <v>0</v>
      </c>
      <c r="AU25" s="430">
        <f t="shared" si="31"/>
        <v>0</v>
      </c>
      <c r="AV25" s="430">
        <f t="shared" si="31"/>
        <v>0</v>
      </c>
      <c r="AW25" s="430">
        <f t="shared" si="31"/>
        <v>0</v>
      </c>
      <c r="AX25" s="430">
        <f t="shared" si="31"/>
        <v>0</v>
      </c>
      <c r="AY25" s="430">
        <f t="shared" si="31"/>
        <v>1</v>
      </c>
      <c r="AZ25" s="430">
        <f t="shared" si="31"/>
        <v>1</v>
      </c>
      <c r="BA25" s="430">
        <f t="shared" si="31"/>
        <v>0</v>
      </c>
      <c r="BB25" s="430">
        <f t="shared" si="31"/>
        <v>1</v>
      </c>
      <c r="BC25" s="430">
        <f t="shared" si="31"/>
        <v>0</v>
      </c>
      <c r="BD25" s="430">
        <f t="shared" si="31"/>
        <v>0</v>
      </c>
      <c r="BE25" s="430">
        <f t="shared" si="31"/>
        <v>0</v>
      </c>
      <c r="BF25" s="430">
        <f t="shared" si="31"/>
        <v>0</v>
      </c>
      <c r="BG25" s="430">
        <f t="shared" si="31"/>
        <v>1</v>
      </c>
      <c r="BH25" s="430">
        <f t="shared" si="31"/>
        <v>0</v>
      </c>
      <c r="BI25" s="430">
        <f t="shared" si="31"/>
        <v>1</v>
      </c>
      <c r="BJ25" s="430">
        <f t="shared" ref="BJ25:CJ25" si="32">IF(BJ21=0,IF(BJ22=0,0,1),BJ22/BJ21)</f>
        <v>0</v>
      </c>
      <c r="BK25" s="430">
        <f t="shared" si="32"/>
        <v>0</v>
      </c>
      <c r="BL25" s="430">
        <f t="shared" si="32"/>
        <v>1</v>
      </c>
      <c r="BM25" s="430">
        <f t="shared" si="32"/>
        <v>0.66666666666666663</v>
      </c>
      <c r="BN25" s="430">
        <f t="shared" si="32"/>
        <v>1</v>
      </c>
      <c r="BO25" s="430">
        <f t="shared" si="32"/>
        <v>0</v>
      </c>
      <c r="BP25" s="430">
        <f t="shared" si="32"/>
        <v>0.66666666666666663</v>
      </c>
      <c r="BQ25" s="430">
        <f t="shared" si="32"/>
        <v>0</v>
      </c>
      <c r="BR25" s="430">
        <f t="shared" si="32"/>
        <v>0</v>
      </c>
      <c r="BS25" s="430">
        <f t="shared" si="32"/>
        <v>0</v>
      </c>
      <c r="BT25" s="430">
        <f t="shared" si="32"/>
        <v>0</v>
      </c>
      <c r="BU25" s="430">
        <f t="shared" si="32"/>
        <v>0</v>
      </c>
      <c r="BV25" s="430">
        <f t="shared" si="32"/>
        <v>0</v>
      </c>
      <c r="BW25" s="430">
        <f t="shared" si="32"/>
        <v>0</v>
      </c>
      <c r="BX25" s="430">
        <f t="shared" si="32"/>
        <v>0</v>
      </c>
      <c r="BY25" s="430">
        <f t="shared" si="32"/>
        <v>0</v>
      </c>
      <c r="BZ25" s="430">
        <f t="shared" si="32"/>
        <v>0</v>
      </c>
      <c r="CA25" s="430">
        <f t="shared" si="32"/>
        <v>0</v>
      </c>
      <c r="CB25" s="430">
        <f t="shared" si="32"/>
        <v>0</v>
      </c>
      <c r="CC25" s="430">
        <f t="shared" si="32"/>
        <v>0</v>
      </c>
      <c r="CD25" s="430">
        <f t="shared" si="32"/>
        <v>0</v>
      </c>
      <c r="CE25" s="430">
        <f t="shared" si="32"/>
        <v>0</v>
      </c>
      <c r="CF25" s="430">
        <f t="shared" si="32"/>
        <v>0</v>
      </c>
      <c r="CG25" s="430">
        <f t="shared" si="32"/>
        <v>0</v>
      </c>
      <c r="CH25" s="430">
        <f t="shared" si="32"/>
        <v>0</v>
      </c>
      <c r="CI25" s="430">
        <f t="shared" si="32"/>
        <v>0</v>
      </c>
      <c r="CJ25" s="430">
        <f t="shared" si="32"/>
        <v>0</v>
      </c>
      <c r="CK25" s="430">
        <f t="shared" ref="CK25:CT25" si="33">IF(CK21=0,IF(CK22=0,0,1),CK22/CK21)</f>
        <v>0</v>
      </c>
      <c r="CL25" s="430">
        <f t="shared" si="33"/>
        <v>0</v>
      </c>
      <c r="CM25" s="430">
        <f t="shared" si="33"/>
        <v>0</v>
      </c>
      <c r="CN25" s="430">
        <f t="shared" si="33"/>
        <v>0</v>
      </c>
      <c r="CO25" s="430">
        <f t="shared" si="33"/>
        <v>0</v>
      </c>
      <c r="CP25" s="430">
        <f t="shared" si="33"/>
        <v>0</v>
      </c>
      <c r="CQ25" s="430">
        <f t="shared" si="33"/>
        <v>0</v>
      </c>
      <c r="CR25" s="430">
        <f t="shared" si="33"/>
        <v>0</v>
      </c>
      <c r="CS25" s="430">
        <f t="shared" si="33"/>
        <v>0</v>
      </c>
      <c r="CT25" s="430">
        <f t="shared" si="33"/>
        <v>0</v>
      </c>
      <c r="CU25" s="423">
        <f>IF(CU21=0,"-",CU22/CU21)</f>
        <v>0.94818652849740936</v>
      </c>
    </row>
    <row r="26" spans="1:99" ht="3" customHeight="1">
      <c r="BJ26" s="416"/>
    </row>
    <row r="27" spans="1:99" ht="21.75" customHeight="1">
      <c r="A27" s="1127" t="s">
        <v>325</v>
      </c>
      <c r="B27" s="1128"/>
      <c r="C27" s="1128"/>
      <c r="D27" s="1128"/>
      <c r="E27" s="1128"/>
      <c r="F27" s="1128"/>
      <c r="G27" s="1128"/>
      <c r="H27" s="1128"/>
      <c r="I27" s="1128"/>
      <c r="J27" s="1128"/>
      <c r="K27" s="1128"/>
      <c r="L27" s="1128"/>
      <c r="M27" s="1128"/>
      <c r="N27" s="1128"/>
      <c r="O27" s="1128"/>
      <c r="P27" s="1128"/>
      <c r="Q27" s="1128"/>
      <c r="R27" s="1128"/>
      <c r="S27" s="1128"/>
      <c r="T27" s="1128"/>
      <c r="U27" s="1128"/>
      <c r="V27" s="1128"/>
      <c r="W27" s="1128"/>
      <c r="X27" s="1128"/>
      <c r="Y27" s="1128"/>
      <c r="Z27" s="1128"/>
      <c r="AA27" s="1128"/>
      <c r="AB27" s="1128"/>
      <c r="AC27" s="1128"/>
      <c r="AD27" s="1128"/>
      <c r="AE27" s="1128"/>
      <c r="AF27" s="1128"/>
      <c r="AG27" s="1128"/>
      <c r="AH27" s="1128"/>
      <c r="AI27" s="1128"/>
      <c r="AJ27" s="1128"/>
      <c r="AK27" s="1128"/>
      <c r="AL27" s="1128"/>
      <c r="AM27" s="1128"/>
      <c r="AN27" s="1128"/>
      <c r="AO27" s="1128"/>
      <c r="AP27" s="1128"/>
      <c r="AQ27" s="1128"/>
      <c r="AR27" s="1128"/>
      <c r="AS27" s="1128"/>
      <c r="AT27" s="1128"/>
      <c r="AU27" s="1128"/>
      <c r="AV27" s="1128"/>
      <c r="AW27" s="1128"/>
      <c r="AX27" s="1128"/>
      <c r="AY27" s="1128"/>
      <c r="AZ27" s="1128"/>
      <c r="BA27" s="1128"/>
      <c r="BB27" s="1128"/>
      <c r="BC27" s="1128"/>
      <c r="BD27" s="1128"/>
      <c r="BE27" s="1128"/>
      <c r="BF27" s="1128"/>
      <c r="BG27" s="1128"/>
      <c r="BH27" s="1128"/>
      <c r="BI27" s="1128"/>
      <c r="BJ27" s="1128"/>
      <c r="BK27" s="1128"/>
      <c r="BL27" s="1128"/>
      <c r="BM27" s="1128"/>
      <c r="BN27" s="1128"/>
      <c r="BO27" s="1128"/>
      <c r="BP27" s="1128"/>
      <c r="BQ27" s="1128"/>
      <c r="BR27" s="1128"/>
      <c r="BS27" s="1128"/>
      <c r="BT27" s="1128"/>
      <c r="BU27" s="1128"/>
      <c r="BV27" s="1128"/>
      <c r="BW27" s="1128"/>
      <c r="BX27" s="1128"/>
      <c r="BY27" s="1128"/>
      <c r="BZ27" s="1128"/>
      <c r="CA27" s="1128"/>
      <c r="CB27" s="1128"/>
      <c r="CC27" s="1128"/>
      <c r="CD27" s="1128"/>
      <c r="CE27" s="1128"/>
      <c r="CF27" s="1128"/>
      <c r="CG27" s="1128"/>
      <c r="CH27" s="1128"/>
      <c r="CI27" s="1128"/>
      <c r="CJ27" s="1128"/>
      <c r="CK27" s="1128"/>
      <c r="CL27" s="1128"/>
      <c r="CM27" s="1128"/>
      <c r="CN27" s="1128"/>
      <c r="CO27" s="1128"/>
      <c r="CP27" s="1128"/>
      <c r="CQ27" s="1128"/>
      <c r="CR27" s="1128"/>
      <c r="CS27" s="1128"/>
      <c r="CT27" s="1128"/>
      <c r="CU27" s="1128"/>
    </row>
    <row r="28" spans="1:99" ht="19.5" customHeight="1">
      <c r="A28" s="500" t="s">
        <v>335</v>
      </c>
      <c r="B28" s="501">
        <f>IF(B7=0,0,(B12+B17+B22)/(B7*3))</f>
        <v>0.8529411764705882</v>
      </c>
      <c r="C28" s="501">
        <f t="shared" ref="C28:BI28" si="34">IF(C7=0,0,(C12+C17+C22)/(C7*3))</f>
        <v>0</v>
      </c>
      <c r="D28" s="501">
        <f t="shared" si="34"/>
        <v>0</v>
      </c>
      <c r="E28" s="501">
        <f t="shared" si="34"/>
        <v>0</v>
      </c>
      <c r="F28" s="501">
        <f t="shared" si="34"/>
        <v>0</v>
      </c>
      <c r="G28" s="501">
        <f t="shared" si="34"/>
        <v>0</v>
      </c>
      <c r="H28" s="501">
        <f t="shared" si="34"/>
        <v>0</v>
      </c>
      <c r="I28" s="501">
        <f t="shared" si="34"/>
        <v>0</v>
      </c>
      <c r="J28" s="501">
        <f t="shared" si="34"/>
        <v>1</v>
      </c>
      <c r="K28" s="501">
        <f t="shared" si="34"/>
        <v>0</v>
      </c>
      <c r="L28" s="501">
        <f t="shared" si="34"/>
        <v>0</v>
      </c>
      <c r="M28" s="501">
        <f t="shared" si="34"/>
        <v>0</v>
      </c>
      <c r="N28" s="501">
        <f t="shared" si="34"/>
        <v>0</v>
      </c>
      <c r="O28" s="501">
        <f t="shared" si="34"/>
        <v>0</v>
      </c>
      <c r="P28" s="501">
        <f t="shared" si="34"/>
        <v>0</v>
      </c>
      <c r="Q28" s="501">
        <f t="shared" si="34"/>
        <v>1</v>
      </c>
      <c r="R28" s="501">
        <f t="shared" si="34"/>
        <v>0</v>
      </c>
      <c r="S28" s="501">
        <f t="shared" si="34"/>
        <v>1</v>
      </c>
      <c r="T28" s="501">
        <f t="shared" si="34"/>
        <v>0</v>
      </c>
      <c r="U28" s="501">
        <f t="shared" si="34"/>
        <v>0</v>
      </c>
      <c r="V28" s="501">
        <f t="shared" si="34"/>
        <v>1</v>
      </c>
      <c r="W28" s="501">
        <f t="shared" si="34"/>
        <v>0</v>
      </c>
      <c r="X28" s="501">
        <f t="shared" si="34"/>
        <v>1</v>
      </c>
      <c r="Y28" s="501">
        <f t="shared" si="34"/>
        <v>0</v>
      </c>
      <c r="Z28" s="501">
        <f t="shared" si="34"/>
        <v>1</v>
      </c>
      <c r="AA28" s="501">
        <f t="shared" si="34"/>
        <v>0</v>
      </c>
      <c r="AB28" s="501">
        <f t="shared" si="34"/>
        <v>0</v>
      </c>
      <c r="AC28" s="501">
        <f t="shared" si="34"/>
        <v>1</v>
      </c>
      <c r="AD28" s="501">
        <f t="shared" si="34"/>
        <v>0</v>
      </c>
      <c r="AE28" s="501">
        <f t="shared" si="34"/>
        <v>0</v>
      </c>
      <c r="AF28" s="501">
        <f t="shared" si="34"/>
        <v>0</v>
      </c>
      <c r="AG28" s="501">
        <f t="shared" si="34"/>
        <v>0</v>
      </c>
      <c r="AH28" s="501">
        <f t="shared" si="34"/>
        <v>0</v>
      </c>
      <c r="AI28" s="501">
        <f t="shared" si="34"/>
        <v>0</v>
      </c>
      <c r="AJ28" s="501">
        <f t="shared" si="34"/>
        <v>1</v>
      </c>
      <c r="AK28" s="501">
        <f t="shared" si="34"/>
        <v>0</v>
      </c>
      <c r="AL28" s="501">
        <f t="shared" si="34"/>
        <v>1</v>
      </c>
      <c r="AM28" s="501">
        <f t="shared" si="34"/>
        <v>0</v>
      </c>
      <c r="AN28" s="501">
        <f t="shared" si="34"/>
        <v>0</v>
      </c>
      <c r="AO28" s="501">
        <f t="shared" si="34"/>
        <v>0</v>
      </c>
      <c r="AP28" s="501">
        <f t="shared" si="34"/>
        <v>0</v>
      </c>
      <c r="AQ28" s="501">
        <f t="shared" si="34"/>
        <v>1</v>
      </c>
      <c r="AR28" s="501">
        <f t="shared" si="34"/>
        <v>0</v>
      </c>
      <c r="AS28" s="501">
        <f t="shared" si="34"/>
        <v>0</v>
      </c>
      <c r="AT28" s="501">
        <f t="shared" si="34"/>
        <v>0</v>
      </c>
      <c r="AU28" s="501">
        <f t="shared" si="34"/>
        <v>0</v>
      </c>
      <c r="AV28" s="501">
        <f t="shared" si="34"/>
        <v>0</v>
      </c>
      <c r="AW28" s="501">
        <f t="shared" si="34"/>
        <v>0</v>
      </c>
      <c r="AX28" s="501">
        <f t="shared" si="34"/>
        <v>0</v>
      </c>
      <c r="AY28" s="501">
        <f t="shared" si="34"/>
        <v>1</v>
      </c>
      <c r="AZ28" s="501">
        <f t="shared" si="34"/>
        <v>1</v>
      </c>
      <c r="BA28" s="501">
        <f t="shared" si="34"/>
        <v>0</v>
      </c>
      <c r="BB28" s="501">
        <f t="shared" si="34"/>
        <v>1</v>
      </c>
      <c r="BC28" s="501">
        <f t="shared" si="34"/>
        <v>0</v>
      </c>
      <c r="BD28" s="501">
        <f t="shared" si="34"/>
        <v>0</v>
      </c>
      <c r="BE28" s="501">
        <f t="shared" si="34"/>
        <v>0</v>
      </c>
      <c r="BF28" s="501">
        <f t="shared" si="34"/>
        <v>0</v>
      </c>
      <c r="BG28" s="501">
        <f t="shared" si="34"/>
        <v>1</v>
      </c>
      <c r="BH28" s="501">
        <f t="shared" si="34"/>
        <v>0</v>
      </c>
      <c r="BI28" s="501">
        <f t="shared" si="34"/>
        <v>1</v>
      </c>
      <c r="BJ28" s="501">
        <f t="shared" ref="BJ28:CJ28" si="35">IF(BJ7=0,0,(BJ12+BJ17+BJ22)/(BJ7*3))</f>
        <v>0</v>
      </c>
      <c r="BK28" s="501">
        <f t="shared" si="35"/>
        <v>0</v>
      </c>
      <c r="BL28" s="501">
        <f t="shared" si="35"/>
        <v>1</v>
      </c>
      <c r="BM28" s="501">
        <f t="shared" si="35"/>
        <v>0.66666666666666663</v>
      </c>
      <c r="BN28" s="501">
        <f t="shared" si="35"/>
        <v>1</v>
      </c>
      <c r="BO28" s="501">
        <f t="shared" si="35"/>
        <v>0</v>
      </c>
      <c r="BP28" s="501">
        <f t="shared" si="35"/>
        <v>0.88888888888888884</v>
      </c>
      <c r="BQ28" s="501">
        <f t="shared" si="35"/>
        <v>0</v>
      </c>
      <c r="BR28" s="501">
        <f t="shared" si="35"/>
        <v>0</v>
      </c>
      <c r="BS28" s="501">
        <f t="shared" si="35"/>
        <v>0</v>
      </c>
      <c r="BT28" s="501">
        <f t="shared" si="35"/>
        <v>0</v>
      </c>
      <c r="BU28" s="501">
        <f t="shared" si="35"/>
        <v>0</v>
      </c>
      <c r="BV28" s="501">
        <f t="shared" si="35"/>
        <v>0</v>
      </c>
      <c r="BW28" s="501">
        <f t="shared" si="35"/>
        <v>0</v>
      </c>
      <c r="BX28" s="501">
        <f t="shared" si="35"/>
        <v>0</v>
      </c>
      <c r="BY28" s="501">
        <f t="shared" si="35"/>
        <v>0</v>
      </c>
      <c r="BZ28" s="501">
        <f t="shared" si="35"/>
        <v>0</v>
      </c>
      <c r="CA28" s="501">
        <f t="shared" si="35"/>
        <v>0</v>
      </c>
      <c r="CB28" s="501">
        <f t="shared" si="35"/>
        <v>0</v>
      </c>
      <c r="CC28" s="501">
        <f t="shared" si="35"/>
        <v>0</v>
      </c>
      <c r="CD28" s="501">
        <f t="shared" si="35"/>
        <v>0</v>
      </c>
      <c r="CE28" s="501">
        <f t="shared" si="35"/>
        <v>0</v>
      </c>
      <c r="CF28" s="501">
        <f t="shared" si="35"/>
        <v>0</v>
      </c>
      <c r="CG28" s="501">
        <f t="shared" si="35"/>
        <v>0</v>
      </c>
      <c r="CH28" s="501">
        <f t="shared" si="35"/>
        <v>0</v>
      </c>
      <c r="CI28" s="501">
        <f t="shared" si="35"/>
        <v>0</v>
      </c>
      <c r="CJ28" s="501">
        <f t="shared" si="35"/>
        <v>0</v>
      </c>
      <c r="CK28" s="501">
        <f t="shared" ref="CK28:CT28" si="36">IF(CK7=0,0,(CK12+CK17+CK22)/(CK7*3))</f>
        <v>0</v>
      </c>
      <c r="CL28" s="501">
        <f t="shared" si="36"/>
        <v>0</v>
      </c>
      <c r="CM28" s="501">
        <f t="shared" si="36"/>
        <v>0</v>
      </c>
      <c r="CN28" s="501">
        <f t="shared" si="36"/>
        <v>0</v>
      </c>
      <c r="CO28" s="501">
        <f t="shared" si="36"/>
        <v>0</v>
      </c>
      <c r="CP28" s="501">
        <f t="shared" si="36"/>
        <v>0</v>
      </c>
      <c r="CQ28" s="501">
        <f t="shared" si="36"/>
        <v>0</v>
      </c>
      <c r="CR28" s="501">
        <f t="shared" si="36"/>
        <v>0</v>
      </c>
      <c r="CS28" s="501">
        <f t="shared" si="36"/>
        <v>0</v>
      </c>
      <c r="CT28" s="501">
        <f t="shared" si="36"/>
        <v>0</v>
      </c>
      <c r="CU28" s="423">
        <f>IF(CU7=0,"-",(CU12+CU17+CU22)/(CU7*3))</f>
        <v>0.9654576856649395</v>
      </c>
    </row>
    <row r="29" spans="1:99" ht="3.75" customHeight="1">
      <c r="BJ29" s="416"/>
    </row>
    <row r="30" spans="1:99" ht="19.5" customHeight="1">
      <c r="A30" s="433" t="s">
        <v>327</v>
      </c>
      <c r="B30" s="434">
        <f>SUM($B7:B7)</f>
        <v>34</v>
      </c>
      <c r="C30" s="434">
        <f>SUM($B7:C7)</f>
        <v>34</v>
      </c>
      <c r="D30" s="434">
        <f>SUM($B7:D7)</f>
        <v>34</v>
      </c>
      <c r="E30" s="434">
        <f>SUM($B7:E7)</f>
        <v>34</v>
      </c>
      <c r="F30" s="434">
        <f>SUM($B7:F7)</f>
        <v>34</v>
      </c>
      <c r="G30" s="434">
        <f>SUM($B7:G7)</f>
        <v>34</v>
      </c>
      <c r="H30" s="434">
        <f>SUM($B7:H7)</f>
        <v>34</v>
      </c>
      <c r="I30" s="434">
        <f>SUM($B7:I7)</f>
        <v>34</v>
      </c>
      <c r="J30" s="434">
        <f>SUM($B7:J7)</f>
        <v>44</v>
      </c>
      <c r="K30" s="434">
        <f>SUM($B7:K7)</f>
        <v>44</v>
      </c>
      <c r="L30" s="434">
        <f>SUM($B7:L7)</f>
        <v>44</v>
      </c>
      <c r="M30" s="434">
        <f>SUM($B7:M7)</f>
        <v>44</v>
      </c>
      <c r="N30" s="434">
        <f>SUM($B7:N7)</f>
        <v>44</v>
      </c>
      <c r="O30" s="434">
        <f>SUM($B7:O7)</f>
        <v>44</v>
      </c>
      <c r="P30" s="434">
        <f>SUM($B7:P7)</f>
        <v>44</v>
      </c>
      <c r="Q30" s="434">
        <f>SUM($B7:Q7)</f>
        <v>49</v>
      </c>
      <c r="R30" s="434">
        <f>SUM($B7:R7)</f>
        <v>49</v>
      </c>
      <c r="S30" s="434">
        <f>SUM($B7:S7)</f>
        <v>53</v>
      </c>
      <c r="T30" s="434">
        <f>SUM($B7:T7)</f>
        <v>53</v>
      </c>
      <c r="U30" s="434">
        <f>SUM($B7:U7)</f>
        <v>53</v>
      </c>
      <c r="V30" s="434">
        <f>SUM($B7:V7)</f>
        <v>68</v>
      </c>
      <c r="W30" s="434">
        <f>SUM($B7:W7)</f>
        <v>68</v>
      </c>
      <c r="X30" s="434">
        <f>SUM($B7:X7)</f>
        <v>88</v>
      </c>
      <c r="Y30" s="434">
        <f>SUM($B7:Y7)</f>
        <v>88</v>
      </c>
      <c r="Z30" s="434">
        <f>SUM($B7:Z7)</f>
        <v>105</v>
      </c>
      <c r="AA30" s="434">
        <f>SUM($B7:AA7)</f>
        <v>105</v>
      </c>
      <c r="AB30" s="434">
        <f>SUM($B7:AB7)</f>
        <v>105</v>
      </c>
      <c r="AC30" s="434">
        <f>SUM($B7:AC7)</f>
        <v>119</v>
      </c>
      <c r="AD30" s="434">
        <f>SUM($B7:AD7)</f>
        <v>119</v>
      </c>
      <c r="AE30" s="434">
        <f>SUM($B7:AE7)</f>
        <v>119</v>
      </c>
      <c r="AF30" s="434">
        <f>SUM($B7:AF7)</f>
        <v>119</v>
      </c>
      <c r="AG30" s="434">
        <f>SUM($B7:AG7)</f>
        <v>119</v>
      </c>
      <c r="AH30" s="434">
        <f>SUM($B7:AH7)</f>
        <v>119</v>
      </c>
      <c r="AI30" s="434">
        <f>SUM($B7:AI7)</f>
        <v>119</v>
      </c>
      <c r="AJ30" s="434">
        <f>SUM($B7:AJ7)</f>
        <v>129</v>
      </c>
      <c r="AK30" s="434">
        <f>SUM($B7:AK7)</f>
        <v>129</v>
      </c>
      <c r="AL30" s="434">
        <f>SUM($B7:AL7)</f>
        <v>137</v>
      </c>
      <c r="AM30" s="434">
        <f>SUM($B7:AM7)</f>
        <v>137</v>
      </c>
      <c r="AN30" s="434">
        <f>SUM($B7:AN7)</f>
        <v>137</v>
      </c>
      <c r="AO30" s="434">
        <f>SUM($B7:AO7)</f>
        <v>137</v>
      </c>
      <c r="AP30" s="434">
        <f>SUM($B7:AP7)</f>
        <v>137</v>
      </c>
      <c r="AQ30" s="434">
        <f>SUM($B7:AQ7)</f>
        <v>148</v>
      </c>
      <c r="AR30" s="434">
        <f>SUM($B7:AR7)</f>
        <v>148</v>
      </c>
      <c r="AS30" s="434">
        <f>SUM($B7:AS7)</f>
        <v>148</v>
      </c>
      <c r="AT30" s="434">
        <f>SUM($B7:AT7)</f>
        <v>148</v>
      </c>
      <c r="AU30" s="434">
        <f>SUM($B7:AU7)</f>
        <v>148</v>
      </c>
      <c r="AV30" s="434">
        <f>SUM($B7:AV7)</f>
        <v>148</v>
      </c>
      <c r="AW30" s="434">
        <f>SUM($B7:AW7)</f>
        <v>148</v>
      </c>
      <c r="AX30" s="434">
        <f>SUM($B7:AX7)</f>
        <v>148</v>
      </c>
      <c r="AY30" s="434">
        <f>SUM($B7:AY7)</f>
        <v>155</v>
      </c>
      <c r="AZ30" s="434">
        <f>SUM($B7:AZ7)</f>
        <v>157</v>
      </c>
      <c r="BA30" s="434">
        <f>SUM($B7:BA7)</f>
        <v>157</v>
      </c>
      <c r="BB30" s="434">
        <f>SUM($B7:BB7)</f>
        <v>163</v>
      </c>
      <c r="BC30" s="434">
        <f>SUM($B7:BC7)</f>
        <v>163</v>
      </c>
      <c r="BD30" s="434">
        <f>SUM($B7:BD7)</f>
        <v>163</v>
      </c>
      <c r="BE30" s="434">
        <f>SUM($B7:BE7)</f>
        <v>163</v>
      </c>
      <c r="BF30" s="434">
        <f>SUM($B7:BF7)</f>
        <v>163</v>
      </c>
      <c r="BG30" s="434">
        <f>SUM($B7:BG7)</f>
        <v>175</v>
      </c>
      <c r="BH30" s="434">
        <f>SUM($B7:BH7)</f>
        <v>175</v>
      </c>
      <c r="BI30" s="434">
        <f>SUM($B7:BI7)</f>
        <v>177</v>
      </c>
      <c r="BJ30" s="434">
        <f>SUM($B7:BJ7)</f>
        <v>177</v>
      </c>
      <c r="BK30" s="434">
        <f>SUM($B7:BK7)</f>
        <v>177</v>
      </c>
      <c r="BL30" s="434">
        <f>SUM($B7:BL7)</f>
        <v>181</v>
      </c>
      <c r="BM30" s="434">
        <f>SUM($B7:BM7)</f>
        <v>184</v>
      </c>
      <c r="BN30" s="434">
        <f>SUM($B7:BN7)</f>
        <v>187</v>
      </c>
      <c r="BO30" s="434">
        <f>SUM($B7:BO7)</f>
        <v>187</v>
      </c>
      <c r="BP30" s="434">
        <f>SUM($B7:BP7)</f>
        <v>193</v>
      </c>
      <c r="BQ30" s="434">
        <f>SUM($B7:BQ7)</f>
        <v>193</v>
      </c>
      <c r="BR30" s="434">
        <f>SUM($B7:BR7)</f>
        <v>193</v>
      </c>
      <c r="BS30" s="434">
        <f>SUM($B7:BS7)</f>
        <v>193</v>
      </c>
      <c r="BT30" s="434">
        <f>SUM($B7:BT7)</f>
        <v>193</v>
      </c>
      <c r="BU30" s="434">
        <f>SUM($B7:BU7)</f>
        <v>193</v>
      </c>
      <c r="BV30" s="434">
        <f>SUM($B7:BV7)</f>
        <v>193</v>
      </c>
      <c r="BW30" s="434">
        <f>SUM($B7:BW7)</f>
        <v>193</v>
      </c>
      <c r="BX30" s="434">
        <f>SUM($B7:BX7)</f>
        <v>193</v>
      </c>
      <c r="BY30" s="434">
        <f>SUM($B7:BY7)</f>
        <v>193</v>
      </c>
      <c r="BZ30" s="434">
        <f>SUM($B7:BZ7)</f>
        <v>193</v>
      </c>
      <c r="CA30" s="434">
        <f>SUM($B7:CA7)</f>
        <v>193</v>
      </c>
      <c r="CB30" s="434">
        <f>SUM($B7:CB7)</f>
        <v>193</v>
      </c>
      <c r="CC30" s="434">
        <f>SUM($B7:CC7)</f>
        <v>193</v>
      </c>
      <c r="CD30" s="434">
        <f>SUM($B7:CD7)</f>
        <v>193</v>
      </c>
      <c r="CE30" s="434">
        <f>SUM($B7:CE7)</f>
        <v>193</v>
      </c>
      <c r="CF30" s="434">
        <f>SUM($B7:CF7)</f>
        <v>193</v>
      </c>
      <c r="CG30" s="434">
        <f>SUM($B7:CG7)</f>
        <v>193</v>
      </c>
      <c r="CH30" s="434">
        <f>SUM($B7:CH7)</f>
        <v>193</v>
      </c>
      <c r="CI30" s="434">
        <f>SUM($B7:CI7)</f>
        <v>193</v>
      </c>
      <c r="CJ30" s="434">
        <f>SUM($B7:CJ7)</f>
        <v>193</v>
      </c>
      <c r="CK30" s="434">
        <f>SUM($B7:CK7)</f>
        <v>193</v>
      </c>
      <c r="CL30" s="434">
        <f>SUM($B7:CL7)</f>
        <v>193</v>
      </c>
      <c r="CM30" s="434">
        <f>SUM($B7:CM7)</f>
        <v>193</v>
      </c>
      <c r="CN30" s="434">
        <f>SUM($B7:CN7)</f>
        <v>193</v>
      </c>
      <c r="CO30" s="434">
        <f>SUM($B7:CO7)</f>
        <v>193</v>
      </c>
      <c r="CP30" s="434">
        <f>SUM($B7:CP7)</f>
        <v>193</v>
      </c>
      <c r="CQ30" s="434">
        <f>SUM($B7:CQ7)</f>
        <v>193</v>
      </c>
      <c r="CR30" s="434">
        <f>SUM($B7:CR7)</f>
        <v>193</v>
      </c>
      <c r="CS30" s="434">
        <f>SUM($B7:CS7)</f>
        <v>193</v>
      </c>
      <c r="CT30" s="434">
        <f>SUM($B7:CT7)</f>
        <v>193</v>
      </c>
      <c r="CU30" s="426">
        <f>CU7</f>
        <v>193</v>
      </c>
    </row>
    <row r="31" spans="1:99" ht="33" customHeight="1">
      <c r="A31" s="433" t="s">
        <v>328</v>
      </c>
      <c r="B31" s="434">
        <f>SUM($B22:B22)</f>
        <v>27</v>
      </c>
      <c r="C31" s="434">
        <f>SUM($B22:C22)</f>
        <v>27</v>
      </c>
      <c r="D31" s="434">
        <f>SUM($B22:D22)</f>
        <v>27</v>
      </c>
      <c r="E31" s="434">
        <f>SUM($B22:E22)</f>
        <v>27</v>
      </c>
      <c r="F31" s="434">
        <f>SUM($B22:F22)</f>
        <v>27</v>
      </c>
      <c r="G31" s="434">
        <f>SUM($B22:G22)</f>
        <v>27</v>
      </c>
      <c r="H31" s="434">
        <f>SUM($B22:H22)</f>
        <v>27</v>
      </c>
      <c r="I31" s="434">
        <f>SUM($B22:I22)</f>
        <v>27</v>
      </c>
      <c r="J31" s="434">
        <f>SUM($B22:J22)</f>
        <v>37</v>
      </c>
      <c r="K31" s="434">
        <f>SUM($B22:K22)</f>
        <v>37</v>
      </c>
      <c r="L31" s="434">
        <f>SUM($B22:L22)</f>
        <v>37</v>
      </c>
      <c r="M31" s="434">
        <f>SUM($B22:M22)</f>
        <v>37</v>
      </c>
      <c r="N31" s="434">
        <f>SUM($B22:N22)</f>
        <v>37</v>
      </c>
      <c r="O31" s="434">
        <f>SUM($B22:O22)</f>
        <v>37</v>
      </c>
      <c r="P31" s="434">
        <f>SUM($B22:P22)</f>
        <v>37</v>
      </c>
      <c r="Q31" s="434">
        <f>SUM($B22:Q22)</f>
        <v>42</v>
      </c>
      <c r="R31" s="434">
        <f>SUM($B22:R22)</f>
        <v>42</v>
      </c>
      <c r="S31" s="434">
        <f>SUM($B22:S22)</f>
        <v>46</v>
      </c>
      <c r="T31" s="434">
        <f>SUM($B22:T22)</f>
        <v>46</v>
      </c>
      <c r="U31" s="434">
        <f>SUM($B22:U22)</f>
        <v>46</v>
      </c>
      <c r="V31" s="434">
        <f>SUM($B22:V22)</f>
        <v>61</v>
      </c>
      <c r="W31" s="434">
        <f>SUM($B22:W22)</f>
        <v>61</v>
      </c>
      <c r="X31" s="434">
        <f>SUM($B22:X22)</f>
        <v>81</v>
      </c>
      <c r="Y31" s="434">
        <f>SUM($B22:Y22)</f>
        <v>81</v>
      </c>
      <c r="Z31" s="434">
        <f>SUM($B22:Z22)</f>
        <v>98</v>
      </c>
      <c r="AA31" s="434">
        <f>SUM($B22:AA22)</f>
        <v>98</v>
      </c>
      <c r="AB31" s="434">
        <f>SUM($B22:AB22)</f>
        <v>98</v>
      </c>
      <c r="AC31" s="434">
        <f>SUM($B22:AC22)</f>
        <v>112</v>
      </c>
      <c r="AD31" s="434">
        <f>SUM($B22:AD22)</f>
        <v>112</v>
      </c>
      <c r="AE31" s="434">
        <f>SUM($B22:AE22)</f>
        <v>112</v>
      </c>
      <c r="AF31" s="434">
        <f>SUM($B22:AF22)</f>
        <v>112</v>
      </c>
      <c r="AG31" s="434">
        <f>SUM($B22:AG22)</f>
        <v>112</v>
      </c>
      <c r="AH31" s="434">
        <f>SUM($B22:AH22)</f>
        <v>112</v>
      </c>
      <c r="AI31" s="434">
        <f>SUM($B22:AI22)</f>
        <v>112</v>
      </c>
      <c r="AJ31" s="434">
        <f>SUM($B22:AJ22)</f>
        <v>122</v>
      </c>
      <c r="AK31" s="434">
        <f>SUM($B22:AK22)</f>
        <v>122</v>
      </c>
      <c r="AL31" s="434">
        <f>SUM($B22:AL22)</f>
        <v>130</v>
      </c>
      <c r="AM31" s="434">
        <f>SUM($B22:AM22)</f>
        <v>130</v>
      </c>
      <c r="AN31" s="434">
        <f>SUM($B22:AN22)</f>
        <v>130</v>
      </c>
      <c r="AO31" s="434">
        <f>SUM($B22:AO22)</f>
        <v>130</v>
      </c>
      <c r="AP31" s="434">
        <f>SUM($B22:AP22)</f>
        <v>130</v>
      </c>
      <c r="AQ31" s="434">
        <f>SUM($B22:AQ22)</f>
        <v>141</v>
      </c>
      <c r="AR31" s="434">
        <f>SUM($B22:AR22)</f>
        <v>141</v>
      </c>
      <c r="AS31" s="434">
        <f>SUM($B22:AS22)</f>
        <v>141</v>
      </c>
      <c r="AT31" s="434">
        <f>SUM($B22:AT22)</f>
        <v>141</v>
      </c>
      <c r="AU31" s="434">
        <f>SUM($B22:AU22)</f>
        <v>141</v>
      </c>
      <c r="AV31" s="434">
        <f>SUM($B22:AV22)</f>
        <v>141</v>
      </c>
      <c r="AW31" s="434">
        <f>SUM($B22:AW22)</f>
        <v>141</v>
      </c>
      <c r="AX31" s="434">
        <f>SUM($B22:AX22)</f>
        <v>141</v>
      </c>
      <c r="AY31" s="434">
        <f>SUM($B22:AY22)</f>
        <v>148</v>
      </c>
      <c r="AZ31" s="434">
        <f>SUM($B22:AZ22)</f>
        <v>150</v>
      </c>
      <c r="BA31" s="434">
        <f>SUM($B22:BA22)</f>
        <v>150</v>
      </c>
      <c r="BB31" s="434">
        <f>SUM($B22:BB22)</f>
        <v>156</v>
      </c>
      <c r="BC31" s="434">
        <f>SUM($B22:BC22)</f>
        <v>156</v>
      </c>
      <c r="BD31" s="434">
        <f>SUM($B22:BD22)</f>
        <v>156</v>
      </c>
      <c r="BE31" s="434">
        <f>SUM($B22:BE22)</f>
        <v>156</v>
      </c>
      <c r="BF31" s="434">
        <f>SUM($B22:BF22)</f>
        <v>156</v>
      </c>
      <c r="BG31" s="434">
        <f>SUM($B22:BG22)</f>
        <v>168</v>
      </c>
      <c r="BH31" s="434">
        <f>SUM($B22:BH22)</f>
        <v>168</v>
      </c>
      <c r="BI31" s="434">
        <f>SUM($B22:BI22)</f>
        <v>170</v>
      </c>
      <c r="BJ31" s="434">
        <f>SUM($B22:BJ22)</f>
        <v>170</v>
      </c>
      <c r="BK31" s="434">
        <f>SUM($B22:BK22)</f>
        <v>170</v>
      </c>
      <c r="BL31" s="434">
        <f>SUM($B22:BL22)</f>
        <v>174</v>
      </c>
      <c r="BM31" s="434">
        <f>SUM($B22:BM22)</f>
        <v>176</v>
      </c>
      <c r="BN31" s="434">
        <f>SUM($B22:BN22)</f>
        <v>179</v>
      </c>
      <c r="BO31" s="434">
        <f>SUM($B22:BO22)</f>
        <v>179</v>
      </c>
      <c r="BP31" s="434">
        <f>SUM($B22:BP22)</f>
        <v>183</v>
      </c>
      <c r="BQ31" s="434">
        <f>SUM($B22:BQ22)</f>
        <v>183</v>
      </c>
      <c r="BR31" s="434">
        <f>SUM($B22:BR22)</f>
        <v>183</v>
      </c>
      <c r="BS31" s="434">
        <f>SUM($B22:BS22)</f>
        <v>183</v>
      </c>
      <c r="BT31" s="434">
        <f>SUM($B22:BT22)</f>
        <v>183</v>
      </c>
      <c r="BU31" s="434">
        <f>SUM($B22:BU22)</f>
        <v>183</v>
      </c>
      <c r="BV31" s="434">
        <f>SUM($B22:BV22)</f>
        <v>183</v>
      </c>
      <c r="BW31" s="434">
        <f>SUM($B22:BW22)</f>
        <v>183</v>
      </c>
      <c r="BX31" s="434">
        <f>SUM($B22:BX22)</f>
        <v>183</v>
      </c>
      <c r="BY31" s="434">
        <f>SUM($B22:BY22)</f>
        <v>183</v>
      </c>
      <c r="BZ31" s="434">
        <f>SUM($B22:BZ22)</f>
        <v>183</v>
      </c>
      <c r="CA31" s="434">
        <f>SUM($B22:CA22)</f>
        <v>183</v>
      </c>
      <c r="CB31" s="434">
        <f>SUM($B22:CB22)</f>
        <v>183</v>
      </c>
      <c r="CC31" s="434">
        <f>SUM($B22:CC22)</f>
        <v>183</v>
      </c>
      <c r="CD31" s="434">
        <f>SUM($B22:CD22)</f>
        <v>183</v>
      </c>
      <c r="CE31" s="434">
        <f>SUM($B22:CE22)</f>
        <v>183</v>
      </c>
      <c r="CF31" s="434">
        <f>SUM($B22:CF22)</f>
        <v>183</v>
      </c>
      <c r="CG31" s="434">
        <f>SUM($B22:CG22)</f>
        <v>183</v>
      </c>
      <c r="CH31" s="434">
        <f>SUM($B22:CH22)</f>
        <v>183</v>
      </c>
      <c r="CI31" s="434">
        <f>SUM($B22:CI22)</f>
        <v>183</v>
      </c>
      <c r="CJ31" s="434">
        <f>SUM($B22:CJ22)</f>
        <v>183</v>
      </c>
      <c r="CK31" s="434">
        <f>SUM($B22:CK22)</f>
        <v>183</v>
      </c>
      <c r="CL31" s="434">
        <f>SUM($B22:CL22)</f>
        <v>183</v>
      </c>
      <c r="CM31" s="434">
        <f>SUM($B22:CM22)</f>
        <v>183</v>
      </c>
      <c r="CN31" s="434">
        <f>SUM($B22:CN22)</f>
        <v>183</v>
      </c>
      <c r="CO31" s="434">
        <f>SUM($B22:CO22)</f>
        <v>183</v>
      </c>
      <c r="CP31" s="434">
        <f>SUM($B22:CP22)</f>
        <v>183</v>
      </c>
      <c r="CQ31" s="434">
        <f>SUM($B22:CQ22)</f>
        <v>183</v>
      </c>
      <c r="CR31" s="434">
        <f>SUM($B22:CR22)</f>
        <v>183</v>
      </c>
      <c r="CS31" s="434">
        <f>SUM($B22:CS22)</f>
        <v>183</v>
      </c>
      <c r="CT31" s="434">
        <f>SUM($B22:CT22)</f>
        <v>183</v>
      </c>
      <c r="CU31" s="426">
        <f>CU22</f>
        <v>183</v>
      </c>
    </row>
    <row r="32" spans="1:99" ht="19.5" customHeight="1">
      <c r="A32" s="502" t="s">
        <v>329</v>
      </c>
      <c r="B32" s="436">
        <f t="shared" ref="B32:AG32" si="37">IF($CU$7=0,0,B31/$CU$7)</f>
        <v>0.13989637305699482</v>
      </c>
      <c r="C32" s="436">
        <f t="shared" si="37"/>
        <v>0.13989637305699482</v>
      </c>
      <c r="D32" s="436">
        <f t="shared" si="37"/>
        <v>0.13989637305699482</v>
      </c>
      <c r="E32" s="436">
        <f t="shared" si="37"/>
        <v>0.13989637305699482</v>
      </c>
      <c r="F32" s="436">
        <f t="shared" si="37"/>
        <v>0.13989637305699482</v>
      </c>
      <c r="G32" s="436">
        <f t="shared" si="37"/>
        <v>0.13989637305699482</v>
      </c>
      <c r="H32" s="436">
        <f t="shared" si="37"/>
        <v>0.13989637305699482</v>
      </c>
      <c r="I32" s="436">
        <f t="shared" si="37"/>
        <v>0.13989637305699482</v>
      </c>
      <c r="J32" s="436">
        <f t="shared" si="37"/>
        <v>0.19170984455958548</v>
      </c>
      <c r="K32" s="436">
        <f t="shared" si="37"/>
        <v>0.19170984455958548</v>
      </c>
      <c r="L32" s="436">
        <f t="shared" si="37"/>
        <v>0.19170984455958548</v>
      </c>
      <c r="M32" s="436">
        <f t="shared" si="37"/>
        <v>0.19170984455958548</v>
      </c>
      <c r="N32" s="436">
        <f t="shared" si="37"/>
        <v>0.19170984455958548</v>
      </c>
      <c r="O32" s="436">
        <f t="shared" si="37"/>
        <v>0.19170984455958548</v>
      </c>
      <c r="P32" s="436">
        <f t="shared" si="37"/>
        <v>0.19170984455958548</v>
      </c>
      <c r="Q32" s="436">
        <f t="shared" si="37"/>
        <v>0.21761658031088082</v>
      </c>
      <c r="R32" s="436">
        <f t="shared" si="37"/>
        <v>0.21761658031088082</v>
      </c>
      <c r="S32" s="436">
        <f t="shared" si="37"/>
        <v>0.23834196891191708</v>
      </c>
      <c r="T32" s="436">
        <f t="shared" si="37"/>
        <v>0.23834196891191708</v>
      </c>
      <c r="U32" s="436">
        <f t="shared" si="37"/>
        <v>0.23834196891191708</v>
      </c>
      <c r="V32" s="436">
        <f t="shared" si="37"/>
        <v>0.31606217616580312</v>
      </c>
      <c r="W32" s="436">
        <f t="shared" si="37"/>
        <v>0.31606217616580312</v>
      </c>
      <c r="X32" s="436">
        <f t="shared" si="37"/>
        <v>0.41968911917098445</v>
      </c>
      <c r="Y32" s="436">
        <f t="shared" si="37"/>
        <v>0.41968911917098445</v>
      </c>
      <c r="Z32" s="436">
        <f t="shared" si="37"/>
        <v>0.50777202072538863</v>
      </c>
      <c r="AA32" s="436">
        <f t="shared" si="37"/>
        <v>0.50777202072538863</v>
      </c>
      <c r="AB32" s="436">
        <f t="shared" si="37"/>
        <v>0.50777202072538863</v>
      </c>
      <c r="AC32" s="436">
        <f t="shared" si="37"/>
        <v>0.5803108808290155</v>
      </c>
      <c r="AD32" s="436">
        <f t="shared" si="37"/>
        <v>0.5803108808290155</v>
      </c>
      <c r="AE32" s="436">
        <f t="shared" si="37"/>
        <v>0.5803108808290155</v>
      </c>
      <c r="AF32" s="436">
        <f t="shared" si="37"/>
        <v>0.5803108808290155</v>
      </c>
      <c r="AG32" s="436">
        <f t="shared" si="37"/>
        <v>0.5803108808290155</v>
      </c>
      <c r="AH32" s="436">
        <f t="shared" ref="AH32:BM32" si="38">IF($CU$7=0,0,AH31/$CU$7)</f>
        <v>0.5803108808290155</v>
      </c>
      <c r="AI32" s="436">
        <f t="shared" si="38"/>
        <v>0.5803108808290155</v>
      </c>
      <c r="AJ32" s="436">
        <f t="shared" si="38"/>
        <v>0.63212435233160624</v>
      </c>
      <c r="AK32" s="436">
        <f t="shared" si="38"/>
        <v>0.63212435233160624</v>
      </c>
      <c r="AL32" s="436">
        <f t="shared" si="38"/>
        <v>0.67357512953367871</v>
      </c>
      <c r="AM32" s="436">
        <f t="shared" si="38"/>
        <v>0.67357512953367871</v>
      </c>
      <c r="AN32" s="436">
        <f t="shared" si="38"/>
        <v>0.67357512953367871</v>
      </c>
      <c r="AO32" s="436">
        <f t="shared" si="38"/>
        <v>0.67357512953367871</v>
      </c>
      <c r="AP32" s="436">
        <f t="shared" si="38"/>
        <v>0.67357512953367871</v>
      </c>
      <c r="AQ32" s="436">
        <f t="shared" si="38"/>
        <v>0.73056994818652854</v>
      </c>
      <c r="AR32" s="436">
        <f t="shared" si="38"/>
        <v>0.73056994818652854</v>
      </c>
      <c r="AS32" s="436">
        <f t="shared" si="38"/>
        <v>0.73056994818652854</v>
      </c>
      <c r="AT32" s="436">
        <f t="shared" si="38"/>
        <v>0.73056994818652854</v>
      </c>
      <c r="AU32" s="436">
        <f t="shared" si="38"/>
        <v>0.73056994818652854</v>
      </c>
      <c r="AV32" s="436">
        <f t="shared" si="38"/>
        <v>0.73056994818652854</v>
      </c>
      <c r="AW32" s="436">
        <f t="shared" si="38"/>
        <v>0.73056994818652854</v>
      </c>
      <c r="AX32" s="436">
        <f t="shared" si="38"/>
        <v>0.73056994818652854</v>
      </c>
      <c r="AY32" s="436">
        <f t="shared" si="38"/>
        <v>0.76683937823834192</v>
      </c>
      <c r="AZ32" s="436">
        <f t="shared" si="38"/>
        <v>0.77720207253886009</v>
      </c>
      <c r="BA32" s="436">
        <f t="shared" si="38"/>
        <v>0.77720207253886009</v>
      </c>
      <c r="BB32" s="436">
        <f t="shared" si="38"/>
        <v>0.80829015544041449</v>
      </c>
      <c r="BC32" s="436">
        <f t="shared" si="38"/>
        <v>0.80829015544041449</v>
      </c>
      <c r="BD32" s="436">
        <f t="shared" si="38"/>
        <v>0.80829015544041449</v>
      </c>
      <c r="BE32" s="436">
        <f t="shared" si="38"/>
        <v>0.80829015544041449</v>
      </c>
      <c r="BF32" s="436">
        <f t="shared" si="38"/>
        <v>0.80829015544041449</v>
      </c>
      <c r="BG32" s="436">
        <f t="shared" si="38"/>
        <v>0.8704663212435233</v>
      </c>
      <c r="BH32" s="436">
        <f t="shared" si="38"/>
        <v>0.8704663212435233</v>
      </c>
      <c r="BI32" s="436">
        <f t="shared" si="38"/>
        <v>0.88082901554404147</v>
      </c>
      <c r="BJ32" s="436">
        <f t="shared" si="38"/>
        <v>0.88082901554404147</v>
      </c>
      <c r="BK32" s="436">
        <f t="shared" si="38"/>
        <v>0.88082901554404147</v>
      </c>
      <c r="BL32" s="436">
        <f t="shared" si="38"/>
        <v>0.9015544041450777</v>
      </c>
      <c r="BM32" s="436">
        <f t="shared" si="38"/>
        <v>0.91191709844559588</v>
      </c>
      <c r="BN32" s="436">
        <f t="shared" ref="BN32:CS32" si="39">IF($CU$7=0,0,BN31/$CU$7)</f>
        <v>0.92746113989637302</v>
      </c>
      <c r="BO32" s="436">
        <f t="shared" si="39"/>
        <v>0.92746113989637302</v>
      </c>
      <c r="BP32" s="436">
        <f t="shared" si="39"/>
        <v>0.94818652849740936</v>
      </c>
      <c r="BQ32" s="436">
        <f t="shared" si="39"/>
        <v>0.94818652849740936</v>
      </c>
      <c r="BR32" s="436">
        <f t="shared" si="39"/>
        <v>0.94818652849740936</v>
      </c>
      <c r="BS32" s="436">
        <f t="shared" si="39"/>
        <v>0.94818652849740936</v>
      </c>
      <c r="BT32" s="436">
        <f t="shared" si="39"/>
        <v>0.94818652849740936</v>
      </c>
      <c r="BU32" s="436">
        <f t="shared" si="39"/>
        <v>0.94818652849740936</v>
      </c>
      <c r="BV32" s="436">
        <f t="shared" si="39"/>
        <v>0.94818652849740936</v>
      </c>
      <c r="BW32" s="436">
        <f t="shared" si="39"/>
        <v>0.94818652849740936</v>
      </c>
      <c r="BX32" s="436">
        <f t="shared" si="39"/>
        <v>0.94818652849740936</v>
      </c>
      <c r="BY32" s="436">
        <f t="shared" si="39"/>
        <v>0.94818652849740936</v>
      </c>
      <c r="BZ32" s="436">
        <f t="shared" si="39"/>
        <v>0.94818652849740936</v>
      </c>
      <c r="CA32" s="436">
        <f t="shared" si="39"/>
        <v>0.94818652849740936</v>
      </c>
      <c r="CB32" s="436">
        <f t="shared" si="39"/>
        <v>0.94818652849740936</v>
      </c>
      <c r="CC32" s="436">
        <f t="shared" si="39"/>
        <v>0.94818652849740936</v>
      </c>
      <c r="CD32" s="436">
        <f t="shared" si="39"/>
        <v>0.94818652849740936</v>
      </c>
      <c r="CE32" s="436">
        <f t="shared" si="39"/>
        <v>0.94818652849740936</v>
      </c>
      <c r="CF32" s="436">
        <f t="shared" si="39"/>
        <v>0.94818652849740936</v>
      </c>
      <c r="CG32" s="436">
        <f t="shared" si="39"/>
        <v>0.94818652849740936</v>
      </c>
      <c r="CH32" s="436">
        <f t="shared" si="39"/>
        <v>0.94818652849740936</v>
      </c>
      <c r="CI32" s="436">
        <f t="shared" si="39"/>
        <v>0.94818652849740936</v>
      </c>
      <c r="CJ32" s="436">
        <f t="shared" si="39"/>
        <v>0.94818652849740936</v>
      </c>
      <c r="CK32" s="436">
        <f t="shared" si="39"/>
        <v>0.94818652849740936</v>
      </c>
      <c r="CL32" s="436">
        <f t="shared" si="39"/>
        <v>0.94818652849740936</v>
      </c>
      <c r="CM32" s="436">
        <f t="shared" si="39"/>
        <v>0.94818652849740936</v>
      </c>
      <c r="CN32" s="436">
        <f t="shared" si="39"/>
        <v>0.94818652849740936</v>
      </c>
      <c r="CO32" s="436">
        <f t="shared" si="39"/>
        <v>0.94818652849740936</v>
      </c>
      <c r="CP32" s="436">
        <f t="shared" si="39"/>
        <v>0.94818652849740936</v>
      </c>
      <c r="CQ32" s="436">
        <f t="shared" si="39"/>
        <v>0.94818652849740936</v>
      </c>
      <c r="CR32" s="436">
        <f t="shared" si="39"/>
        <v>0.94818652849740936</v>
      </c>
      <c r="CS32" s="436">
        <f t="shared" si="39"/>
        <v>0.94818652849740936</v>
      </c>
      <c r="CT32" s="436">
        <f t="shared" ref="CT32" si="40">IF($CU$7=0,0,CT31/$CU$7)</f>
        <v>0.94818652849740936</v>
      </c>
      <c r="CU32" s="423">
        <f>IF(CU7=0,"-",CU31/CU7)</f>
        <v>0.94818652849740936</v>
      </c>
    </row>
    <row r="33" spans="1:99" ht="19.5" customHeight="1">
      <c r="A33" s="437" t="s">
        <v>330</v>
      </c>
      <c r="B33" s="438">
        <f t="shared" ref="B33:AG33" si="41">IF($CU$7=0,0,B30/$CU$7)</f>
        <v>0.17616580310880828</v>
      </c>
      <c r="C33" s="438">
        <f t="shared" si="41"/>
        <v>0.17616580310880828</v>
      </c>
      <c r="D33" s="438">
        <f t="shared" si="41"/>
        <v>0.17616580310880828</v>
      </c>
      <c r="E33" s="438">
        <f t="shared" si="41"/>
        <v>0.17616580310880828</v>
      </c>
      <c r="F33" s="438">
        <f t="shared" si="41"/>
        <v>0.17616580310880828</v>
      </c>
      <c r="G33" s="438">
        <f t="shared" si="41"/>
        <v>0.17616580310880828</v>
      </c>
      <c r="H33" s="438">
        <f t="shared" si="41"/>
        <v>0.17616580310880828</v>
      </c>
      <c r="I33" s="438">
        <f t="shared" si="41"/>
        <v>0.17616580310880828</v>
      </c>
      <c r="J33" s="438">
        <f t="shared" si="41"/>
        <v>0.22797927461139897</v>
      </c>
      <c r="K33" s="438">
        <f t="shared" si="41"/>
        <v>0.22797927461139897</v>
      </c>
      <c r="L33" s="438">
        <f t="shared" si="41"/>
        <v>0.22797927461139897</v>
      </c>
      <c r="M33" s="438">
        <f t="shared" si="41"/>
        <v>0.22797927461139897</v>
      </c>
      <c r="N33" s="438">
        <f t="shared" si="41"/>
        <v>0.22797927461139897</v>
      </c>
      <c r="O33" s="438">
        <f t="shared" si="41"/>
        <v>0.22797927461139897</v>
      </c>
      <c r="P33" s="438">
        <f t="shared" si="41"/>
        <v>0.22797927461139897</v>
      </c>
      <c r="Q33" s="438">
        <f t="shared" si="41"/>
        <v>0.25388601036269431</v>
      </c>
      <c r="R33" s="438">
        <f t="shared" si="41"/>
        <v>0.25388601036269431</v>
      </c>
      <c r="S33" s="438">
        <f t="shared" si="41"/>
        <v>0.27461139896373055</v>
      </c>
      <c r="T33" s="438">
        <f t="shared" si="41"/>
        <v>0.27461139896373055</v>
      </c>
      <c r="U33" s="438">
        <f t="shared" si="41"/>
        <v>0.27461139896373055</v>
      </c>
      <c r="V33" s="438">
        <f t="shared" si="41"/>
        <v>0.35233160621761656</v>
      </c>
      <c r="W33" s="438">
        <f t="shared" si="41"/>
        <v>0.35233160621761656</v>
      </c>
      <c r="X33" s="438">
        <f t="shared" si="41"/>
        <v>0.45595854922279794</v>
      </c>
      <c r="Y33" s="438">
        <f t="shared" si="41"/>
        <v>0.45595854922279794</v>
      </c>
      <c r="Z33" s="438">
        <f t="shared" si="41"/>
        <v>0.54404145077720212</v>
      </c>
      <c r="AA33" s="438">
        <f t="shared" si="41"/>
        <v>0.54404145077720212</v>
      </c>
      <c r="AB33" s="438">
        <f t="shared" si="41"/>
        <v>0.54404145077720212</v>
      </c>
      <c r="AC33" s="438">
        <f t="shared" si="41"/>
        <v>0.61658031088082899</v>
      </c>
      <c r="AD33" s="438">
        <f t="shared" si="41"/>
        <v>0.61658031088082899</v>
      </c>
      <c r="AE33" s="438">
        <f t="shared" si="41"/>
        <v>0.61658031088082899</v>
      </c>
      <c r="AF33" s="438">
        <f t="shared" si="41"/>
        <v>0.61658031088082899</v>
      </c>
      <c r="AG33" s="438">
        <f t="shared" si="41"/>
        <v>0.61658031088082899</v>
      </c>
      <c r="AH33" s="438">
        <f t="shared" ref="AH33:BM33" si="42">IF($CU$7=0,0,AH30/$CU$7)</f>
        <v>0.61658031088082899</v>
      </c>
      <c r="AI33" s="438">
        <f t="shared" si="42"/>
        <v>0.61658031088082899</v>
      </c>
      <c r="AJ33" s="438">
        <f t="shared" si="42"/>
        <v>0.66839378238341973</v>
      </c>
      <c r="AK33" s="438">
        <f t="shared" si="42"/>
        <v>0.66839378238341973</v>
      </c>
      <c r="AL33" s="438">
        <f t="shared" si="42"/>
        <v>0.7098445595854922</v>
      </c>
      <c r="AM33" s="438">
        <f t="shared" si="42"/>
        <v>0.7098445595854922</v>
      </c>
      <c r="AN33" s="438">
        <f t="shared" si="42"/>
        <v>0.7098445595854922</v>
      </c>
      <c r="AO33" s="438">
        <f t="shared" si="42"/>
        <v>0.7098445595854922</v>
      </c>
      <c r="AP33" s="438">
        <f t="shared" si="42"/>
        <v>0.7098445595854922</v>
      </c>
      <c r="AQ33" s="438">
        <f t="shared" si="42"/>
        <v>0.76683937823834192</v>
      </c>
      <c r="AR33" s="438">
        <f t="shared" si="42"/>
        <v>0.76683937823834192</v>
      </c>
      <c r="AS33" s="438">
        <f t="shared" si="42"/>
        <v>0.76683937823834192</v>
      </c>
      <c r="AT33" s="438">
        <f t="shared" si="42"/>
        <v>0.76683937823834192</v>
      </c>
      <c r="AU33" s="438">
        <f t="shared" si="42"/>
        <v>0.76683937823834192</v>
      </c>
      <c r="AV33" s="438">
        <f t="shared" si="42"/>
        <v>0.76683937823834192</v>
      </c>
      <c r="AW33" s="438">
        <f t="shared" si="42"/>
        <v>0.76683937823834192</v>
      </c>
      <c r="AX33" s="438">
        <f t="shared" si="42"/>
        <v>0.76683937823834192</v>
      </c>
      <c r="AY33" s="438">
        <f t="shared" si="42"/>
        <v>0.80310880829015541</v>
      </c>
      <c r="AZ33" s="438">
        <f t="shared" si="42"/>
        <v>0.81347150259067358</v>
      </c>
      <c r="BA33" s="438">
        <f t="shared" si="42"/>
        <v>0.81347150259067358</v>
      </c>
      <c r="BB33" s="438">
        <f t="shared" si="42"/>
        <v>0.84455958549222798</v>
      </c>
      <c r="BC33" s="438">
        <f t="shared" si="42"/>
        <v>0.84455958549222798</v>
      </c>
      <c r="BD33" s="438">
        <f t="shared" si="42"/>
        <v>0.84455958549222798</v>
      </c>
      <c r="BE33" s="438">
        <f t="shared" si="42"/>
        <v>0.84455958549222798</v>
      </c>
      <c r="BF33" s="438">
        <f t="shared" si="42"/>
        <v>0.84455958549222798</v>
      </c>
      <c r="BG33" s="438">
        <f t="shared" si="42"/>
        <v>0.90673575129533679</v>
      </c>
      <c r="BH33" s="438">
        <f t="shared" si="42"/>
        <v>0.90673575129533679</v>
      </c>
      <c r="BI33" s="438">
        <f t="shared" si="42"/>
        <v>0.91709844559585496</v>
      </c>
      <c r="BJ33" s="438">
        <f t="shared" si="42"/>
        <v>0.91709844559585496</v>
      </c>
      <c r="BK33" s="438">
        <f t="shared" si="42"/>
        <v>0.91709844559585496</v>
      </c>
      <c r="BL33" s="438">
        <f t="shared" si="42"/>
        <v>0.93782383419689119</v>
      </c>
      <c r="BM33" s="438">
        <f t="shared" si="42"/>
        <v>0.95336787564766834</v>
      </c>
      <c r="BN33" s="438">
        <f t="shared" ref="BN33:CT33" si="43">IF($CU$7=0,0,BN30/$CU$7)</f>
        <v>0.9689119170984456</v>
      </c>
      <c r="BO33" s="438">
        <f t="shared" si="43"/>
        <v>0.9689119170984456</v>
      </c>
      <c r="BP33" s="438">
        <f t="shared" si="43"/>
        <v>1</v>
      </c>
      <c r="BQ33" s="438">
        <f t="shared" si="43"/>
        <v>1</v>
      </c>
      <c r="BR33" s="438">
        <f t="shared" si="43"/>
        <v>1</v>
      </c>
      <c r="BS33" s="438">
        <f t="shared" si="43"/>
        <v>1</v>
      </c>
      <c r="BT33" s="438">
        <f t="shared" si="43"/>
        <v>1</v>
      </c>
      <c r="BU33" s="438">
        <f t="shared" si="43"/>
        <v>1</v>
      </c>
      <c r="BV33" s="438">
        <f t="shared" si="43"/>
        <v>1</v>
      </c>
      <c r="BW33" s="438">
        <f t="shared" si="43"/>
        <v>1</v>
      </c>
      <c r="BX33" s="438">
        <f t="shared" si="43"/>
        <v>1</v>
      </c>
      <c r="BY33" s="438">
        <f t="shared" si="43"/>
        <v>1</v>
      </c>
      <c r="BZ33" s="438">
        <f t="shared" si="43"/>
        <v>1</v>
      </c>
      <c r="CA33" s="438">
        <f t="shared" si="43"/>
        <v>1</v>
      </c>
      <c r="CB33" s="438">
        <f t="shared" si="43"/>
        <v>1</v>
      </c>
      <c r="CC33" s="438">
        <f t="shared" si="43"/>
        <v>1</v>
      </c>
      <c r="CD33" s="438">
        <f t="shared" si="43"/>
        <v>1</v>
      </c>
      <c r="CE33" s="438">
        <f t="shared" si="43"/>
        <v>1</v>
      </c>
      <c r="CF33" s="438">
        <f t="shared" si="43"/>
        <v>1</v>
      </c>
      <c r="CG33" s="438">
        <f t="shared" si="43"/>
        <v>1</v>
      </c>
      <c r="CH33" s="438">
        <f t="shared" si="43"/>
        <v>1</v>
      </c>
      <c r="CI33" s="438">
        <f t="shared" si="43"/>
        <v>1</v>
      </c>
      <c r="CJ33" s="438">
        <f t="shared" si="43"/>
        <v>1</v>
      </c>
      <c r="CK33" s="438">
        <f t="shared" si="43"/>
        <v>1</v>
      </c>
      <c r="CL33" s="438">
        <f t="shared" si="43"/>
        <v>1</v>
      </c>
      <c r="CM33" s="438">
        <f t="shared" si="43"/>
        <v>1</v>
      </c>
      <c r="CN33" s="438">
        <f t="shared" si="43"/>
        <v>1</v>
      </c>
      <c r="CO33" s="438">
        <f t="shared" si="43"/>
        <v>1</v>
      </c>
      <c r="CP33" s="438">
        <f t="shared" si="43"/>
        <v>1</v>
      </c>
      <c r="CQ33" s="438">
        <f t="shared" si="43"/>
        <v>1</v>
      </c>
      <c r="CR33" s="438">
        <f t="shared" si="43"/>
        <v>1</v>
      </c>
      <c r="CS33" s="438">
        <f t="shared" si="43"/>
        <v>1</v>
      </c>
      <c r="CT33" s="438">
        <f t="shared" si="43"/>
        <v>1</v>
      </c>
      <c r="CU33" s="423">
        <f>IF(CU7=0,"-",CU30/CU7)</f>
        <v>1</v>
      </c>
    </row>
    <row r="34" spans="1:99">
      <c r="BJ34" s="416"/>
    </row>
    <row r="35" spans="1:99">
      <c r="A35" s="416" t="s">
        <v>336</v>
      </c>
      <c r="BJ35" s="416"/>
    </row>
    <row r="41" spans="1:99" hidden="1"/>
    <row r="42" spans="1:99" ht="15" hidden="1" customHeight="1">
      <c r="B42" s="439">
        <v>46056</v>
      </c>
      <c r="C42" s="439">
        <v>46057</v>
      </c>
      <c r="D42" s="439">
        <v>46058</v>
      </c>
      <c r="E42" s="439">
        <v>46059</v>
      </c>
      <c r="F42" s="439">
        <v>46060</v>
      </c>
      <c r="G42" s="439">
        <v>46061</v>
      </c>
      <c r="H42" s="439">
        <v>46062</v>
      </c>
      <c r="I42" s="439">
        <v>46063</v>
      </c>
      <c r="J42" s="439">
        <v>46064</v>
      </c>
      <c r="K42" s="439">
        <v>46065</v>
      </c>
      <c r="L42" s="439">
        <v>46066</v>
      </c>
      <c r="M42" s="439">
        <v>46067</v>
      </c>
      <c r="N42" s="439">
        <v>46068</v>
      </c>
      <c r="O42" s="439">
        <v>46069</v>
      </c>
      <c r="P42" s="439">
        <v>46070</v>
      </c>
      <c r="Q42" s="439">
        <v>46071</v>
      </c>
      <c r="R42" s="439">
        <v>46072</v>
      </c>
      <c r="S42" s="439">
        <v>46073</v>
      </c>
      <c r="T42" s="439">
        <v>46074</v>
      </c>
      <c r="U42" s="439">
        <v>46075</v>
      </c>
      <c r="V42" s="439">
        <v>46076</v>
      </c>
      <c r="W42" s="439">
        <v>46077</v>
      </c>
      <c r="X42" s="439">
        <v>46078</v>
      </c>
      <c r="Y42" s="439">
        <v>46079</v>
      </c>
      <c r="Z42" s="439">
        <v>46080</v>
      </c>
      <c r="AA42" s="439">
        <v>46081</v>
      </c>
      <c r="AB42" s="439">
        <v>46082</v>
      </c>
      <c r="AC42" s="439">
        <v>46083</v>
      </c>
      <c r="AD42" s="439">
        <v>46084</v>
      </c>
      <c r="AE42" s="439">
        <v>46085</v>
      </c>
      <c r="AF42" s="439">
        <v>46086</v>
      </c>
      <c r="AG42" s="439">
        <v>46087</v>
      </c>
      <c r="AH42" s="439">
        <v>46088</v>
      </c>
      <c r="AI42" s="439">
        <v>46089</v>
      </c>
      <c r="AJ42" s="439">
        <v>46090</v>
      </c>
      <c r="AK42" s="439">
        <v>46091</v>
      </c>
      <c r="AL42" s="439">
        <v>46092</v>
      </c>
      <c r="AM42" s="439">
        <v>46093</v>
      </c>
      <c r="AN42" s="439">
        <v>46094</v>
      </c>
      <c r="AO42" s="439">
        <v>46095</v>
      </c>
      <c r="AP42" s="439">
        <v>46096</v>
      </c>
      <c r="AQ42" s="439">
        <v>46097</v>
      </c>
      <c r="AR42" s="439">
        <v>46098</v>
      </c>
      <c r="AS42" s="439">
        <v>46099</v>
      </c>
      <c r="AT42" s="439">
        <v>46100</v>
      </c>
      <c r="AU42" s="439">
        <v>46101</v>
      </c>
      <c r="AV42" s="439">
        <v>46102</v>
      </c>
      <c r="AW42" s="439">
        <v>46103</v>
      </c>
      <c r="AX42" s="439">
        <v>46104</v>
      </c>
      <c r="AY42" s="439">
        <v>46105</v>
      </c>
      <c r="AZ42" s="439">
        <v>46106</v>
      </c>
      <c r="BA42" s="439">
        <v>46107</v>
      </c>
      <c r="BB42" s="439">
        <v>46108</v>
      </c>
      <c r="BC42" s="439">
        <v>46109</v>
      </c>
      <c r="BD42" s="439">
        <v>46110</v>
      </c>
      <c r="BE42" s="439">
        <v>46111</v>
      </c>
      <c r="BF42" s="439">
        <v>46112</v>
      </c>
      <c r="BG42" s="439">
        <v>46113</v>
      </c>
      <c r="BH42" s="439">
        <v>46114</v>
      </c>
      <c r="BI42" s="439">
        <v>46115</v>
      </c>
      <c r="BJ42" s="439">
        <v>46116</v>
      </c>
      <c r="BK42" s="439">
        <v>46117</v>
      </c>
      <c r="BL42" s="439">
        <v>46118</v>
      </c>
      <c r="BM42" s="439">
        <v>46119</v>
      </c>
      <c r="BN42" s="439">
        <v>46120</v>
      </c>
      <c r="BO42" s="439">
        <v>46121</v>
      </c>
      <c r="BP42" s="439">
        <v>46122</v>
      </c>
      <c r="BQ42" s="439">
        <v>46123</v>
      </c>
      <c r="BR42" s="439">
        <v>46124</v>
      </c>
      <c r="BS42" s="439">
        <v>46125</v>
      </c>
      <c r="BT42" s="439">
        <v>46126</v>
      </c>
      <c r="BU42" s="439">
        <v>46127</v>
      </c>
      <c r="BV42" s="439">
        <v>46128</v>
      </c>
      <c r="BW42" s="439">
        <v>46129</v>
      </c>
      <c r="BX42" s="439">
        <v>46130</v>
      </c>
      <c r="BY42" s="439">
        <v>46131</v>
      </c>
      <c r="BZ42" s="439">
        <v>46132</v>
      </c>
      <c r="CA42" s="439">
        <v>46133</v>
      </c>
      <c r="CB42" s="439">
        <v>46134</v>
      </c>
      <c r="CC42" s="439">
        <v>46135</v>
      </c>
      <c r="CD42" s="439">
        <v>46136</v>
      </c>
      <c r="CE42" s="439">
        <v>46137</v>
      </c>
      <c r="CF42" s="439">
        <v>46138</v>
      </c>
      <c r="CG42" s="439">
        <v>46139</v>
      </c>
      <c r="CH42" s="439">
        <v>46140</v>
      </c>
      <c r="CI42" s="439">
        <v>46141</v>
      </c>
      <c r="CJ42" s="439">
        <v>46142</v>
      </c>
      <c r="CK42" s="439">
        <v>46143</v>
      </c>
      <c r="CL42" s="439">
        <v>46144</v>
      </c>
      <c r="CM42" s="439">
        <v>46145</v>
      </c>
      <c r="CN42" s="439">
        <v>46146</v>
      </c>
      <c r="CO42" s="439">
        <v>46147</v>
      </c>
      <c r="CP42" s="439">
        <v>46148</v>
      </c>
      <c r="CQ42" s="439">
        <v>46149</v>
      </c>
      <c r="CR42" s="439">
        <v>46150</v>
      </c>
      <c r="CS42" s="439">
        <v>46151</v>
      </c>
      <c r="CT42" s="439">
        <v>46152</v>
      </c>
    </row>
  </sheetData>
  <mergeCells count="9">
    <mergeCell ref="A27:CU27"/>
    <mergeCell ref="A4:A5"/>
    <mergeCell ref="CU4:CU5"/>
    <mergeCell ref="A1:CU1"/>
    <mergeCell ref="A2:CU2"/>
    <mergeCell ref="A6:CU6"/>
    <mergeCell ref="A10:CU10"/>
    <mergeCell ref="A15:CU15"/>
    <mergeCell ref="A20:CU2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9F89-CE0D-4116-98C9-30412F5B1521}">
  <dimension ref="A1:P18"/>
  <sheetViews>
    <sheetView topLeftCell="A19" zoomScale="80" zoomScaleNormal="80" workbookViewId="0">
      <selection activeCell="P7" sqref="P7"/>
    </sheetView>
  </sheetViews>
  <sheetFormatPr defaultColWidth="8.6640625" defaultRowHeight="14.4"/>
  <cols>
    <col min="1" max="1" width="26" style="416" customWidth="1"/>
    <col min="2" max="5" width="12" style="416" customWidth="1"/>
    <col min="6" max="6" width="11.5546875" style="416" customWidth="1"/>
    <col min="7" max="7" width="12" style="416" customWidth="1"/>
    <col min="8" max="8" width="11.33203125" style="416" customWidth="1"/>
    <col min="9" max="9" width="10.88671875" style="416" customWidth="1"/>
    <col min="10" max="10" width="10.109375" style="416" customWidth="1"/>
    <col min="11" max="15" width="10.6640625" style="416" customWidth="1"/>
    <col min="16" max="16384" width="8.6640625" style="416"/>
  </cols>
  <sheetData>
    <row r="1" spans="1:16" ht="30" customHeight="1">
      <c r="A1" s="1130" t="s">
        <v>337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</row>
    <row r="2" spans="1:16" ht="18" customHeight="1">
      <c r="A2" s="1132" t="s">
        <v>338</v>
      </c>
      <c r="B2" s="1132"/>
      <c r="C2" s="1132"/>
      <c r="D2" s="1132"/>
      <c r="E2" s="1132"/>
      <c r="F2" s="1132"/>
      <c r="G2" s="1132"/>
      <c r="H2" s="1132"/>
      <c r="I2" s="1132"/>
      <c r="J2" s="1132"/>
      <c r="K2" s="1132"/>
      <c r="L2" s="1132"/>
      <c r="M2" s="1132"/>
      <c r="N2" s="1132"/>
      <c r="O2" s="1132"/>
      <c r="P2" s="1132"/>
    </row>
    <row r="4" spans="1:16" ht="31.2">
      <c r="A4" s="498"/>
      <c r="B4" s="498" t="str">
        <f>'HQ-รายสัปดาห์'!B4</f>
        <v>W.1
(2/2-8/2)</v>
      </c>
      <c r="C4" s="498" t="str">
        <f>'HQ-รายสัปดาห์'!C4</f>
        <v>W.2
(9/2-15/2)</v>
      </c>
      <c r="D4" s="498" t="str">
        <f>'HQ-รายสัปดาห์'!D4</f>
        <v>W.3
(16/2-22/2)</v>
      </c>
      <c r="E4" s="498" t="str">
        <f>'HQ-รายสัปดาห์'!E4</f>
        <v>W.4
(23/2-1/3)</v>
      </c>
      <c r="F4" s="498" t="str">
        <f>'HQ-รายสัปดาห์'!F4</f>
        <v>W.5
(2/3-8/3)</v>
      </c>
      <c r="G4" s="498" t="str">
        <f>'HQ-รายสัปดาห์'!G4</f>
        <v>W.6
(9/3-15/3)</v>
      </c>
      <c r="H4" s="498" t="str">
        <f>'HQ-รายสัปดาห์'!H4</f>
        <v>W.7
(16/3-22/3)</v>
      </c>
      <c r="I4" s="498" t="str">
        <f>'HQ-รายสัปดาห์'!I4</f>
        <v>W.8
(23/3-29/3)</v>
      </c>
      <c r="J4" s="498" t="str">
        <f>'HQ-รายสัปดาห์'!J4</f>
        <v>W.9
(30/3-5/4)</v>
      </c>
      <c r="K4" s="498" t="str">
        <f>'HQ-รายสัปดาห์'!K4</f>
        <v>W.10
(6/4-12/4)</v>
      </c>
      <c r="L4" s="498" t="str">
        <f>'HQ-รายสัปดาห์'!L4</f>
        <v>W.11
(13/4-19/4)</v>
      </c>
      <c r="M4" s="498" t="str">
        <f>'HQ-รายสัปดาห์'!M4</f>
        <v>W.12
(20/4-26/4)</v>
      </c>
      <c r="N4" s="498" t="str">
        <f>'HQ-รายสัปดาห์'!N4</f>
        <v>W.13
(27/4-3/5)</v>
      </c>
      <c r="O4" s="498" t="str">
        <f>'HQ-รายสัปดาห์'!O4</f>
        <v>W.14
(4/5-10/5)</v>
      </c>
      <c r="P4" s="498" t="s">
        <v>29</v>
      </c>
    </row>
    <row r="5" spans="1:16" ht="18" customHeight="1">
      <c r="A5" s="440" t="s">
        <v>316</v>
      </c>
      <c r="B5" s="503">
        <f>'HQ-รายสัปดาห์'!B7</f>
        <v>34</v>
      </c>
      <c r="C5" s="503">
        <f>'HQ-รายสัปดาห์'!C7</f>
        <v>10</v>
      </c>
      <c r="D5" s="503">
        <f>'HQ-รายสัปดาห์'!D7</f>
        <v>9</v>
      </c>
      <c r="E5" s="503">
        <f>'HQ-รายสัปดาห์'!E7</f>
        <v>52</v>
      </c>
      <c r="F5" s="503">
        <f>'HQ-รายสัปดาห์'!F7</f>
        <v>14</v>
      </c>
      <c r="G5" s="503">
        <f>'HQ-รายสัปดาห์'!G7</f>
        <v>18</v>
      </c>
      <c r="H5" s="503">
        <f>'HQ-รายสัปดาห์'!H7</f>
        <v>11</v>
      </c>
      <c r="I5" s="503">
        <f>'HQ-รายสัปดาห์'!I7</f>
        <v>15</v>
      </c>
      <c r="J5" s="503">
        <f>'HQ-รายสัปดาห์'!J7</f>
        <v>14</v>
      </c>
      <c r="K5" s="503">
        <f>'HQ-รายสัปดาห์'!K7</f>
        <v>16</v>
      </c>
      <c r="L5" s="503">
        <f>'HQ-รายสัปดาห์'!L7</f>
        <v>0</v>
      </c>
      <c r="M5" s="503">
        <f>'HQ-รายสัปดาห์'!M7</f>
        <v>0</v>
      </c>
      <c r="N5" s="503">
        <f>'HQ-รายสัปดาห์'!N7</f>
        <v>0</v>
      </c>
      <c r="O5" s="503">
        <f>'HQ-รายสัปดาห์'!O7</f>
        <v>0</v>
      </c>
      <c r="P5" s="503">
        <f>SUM(B5:O5)</f>
        <v>193</v>
      </c>
    </row>
    <row r="6" spans="1:16" ht="18" customHeight="1">
      <c r="A6" s="442" t="s">
        <v>339</v>
      </c>
      <c r="B6" s="504">
        <f>'HQ-รายสัปดาห์'!B12</f>
        <v>30</v>
      </c>
      <c r="C6" s="504">
        <f>'HQ-รายสัปดาห์'!C12</f>
        <v>10</v>
      </c>
      <c r="D6" s="504">
        <f>'HQ-รายสัปดาห์'!D12</f>
        <v>9</v>
      </c>
      <c r="E6" s="504">
        <f>'HQ-รายสัปดาห์'!E12</f>
        <v>52</v>
      </c>
      <c r="F6" s="504">
        <f>'HQ-รายสัปดาห์'!F12</f>
        <v>14</v>
      </c>
      <c r="G6" s="504">
        <f>'HQ-รายสัปดาห์'!G12</f>
        <v>18</v>
      </c>
      <c r="H6" s="504">
        <f>'HQ-รายสัปดาห์'!H12</f>
        <v>11</v>
      </c>
      <c r="I6" s="504">
        <f>'HQ-รายสัปดาห์'!I12</f>
        <v>15</v>
      </c>
      <c r="J6" s="504">
        <f>'HQ-รายสัปดาห์'!J12</f>
        <v>14</v>
      </c>
      <c r="K6" s="504">
        <f>'HQ-รายสัปดาห์'!K12</f>
        <v>15</v>
      </c>
      <c r="L6" s="504"/>
      <c r="M6" s="504"/>
      <c r="N6" s="504"/>
      <c r="O6" s="504"/>
      <c r="P6" s="443">
        <f>SUM(B6:O6)</f>
        <v>188</v>
      </c>
    </row>
    <row r="7" spans="1:16" ht="18" customHeight="1">
      <c r="A7" s="442" t="s">
        <v>340</v>
      </c>
      <c r="B7" s="504">
        <f>'HQ-รายสัปดาห์'!B17</f>
        <v>30</v>
      </c>
      <c r="C7" s="504">
        <f>'HQ-รายสัปดาห์'!C17</f>
        <v>10</v>
      </c>
      <c r="D7" s="504">
        <f>'HQ-รายสัปดาห์'!D17</f>
        <v>9</v>
      </c>
      <c r="E7" s="504">
        <f>'HQ-รายสัปดาห์'!E17</f>
        <v>52</v>
      </c>
      <c r="F7" s="504">
        <f>'HQ-รายสัปดาห์'!F17</f>
        <v>14</v>
      </c>
      <c r="G7" s="504">
        <f>'HQ-รายสัปดาห์'!G17</f>
        <v>18</v>
      </c>
      <c r="H7" s="504">
        <f>'HQ-รายสัปดาห์'!H17</f>
        <v>11</v>
      </c>
      <c r="I7" s="504">
        <f>'HQ-รายสัปดาห์'!I17</f>
        <v>15</v>
      </c>
      <c r="J7" s="504">
        <f>'HQ-รายสัปดาห์'!J17</f>
        <v>14</v>
      </c>
      <c r="K7" s="504">
        <f>'HQ-รายสัปดาห์'!K17</f>
        <v>15</v>
      </c>
      <c r="L7" s="504"/>
      <c r="M7" s="504"/>
      <c r="N7" s="504"/>
      <c r="O7" s="504"/>
      <c r="P7" s="443">
        <f t="shared" ref="P7:P8" si="0">SUM(B7:O7)</f>
        <v>188</v>
      </c>
    </row>
    <row r="8" spans="1:16" ht="18" customHeight="1">
      <c r="A8" s="442" t="s">
        <v>341</v>
      </c>
      <c r="B8" s="504">
        <f>'HQ-รายสัปดาห์'!B22</f>
        <v>27</v>
      </c>
      <c r="C8" s="504">
        <f>'HQ-รายสัปดาห์'!C22</f>
        <v>10</v>
      </c>
      <c r="D8" s="504">
        <f>'HQ-รายสัปดาห์'!D22</f>
        <v>9</v>
      </c>
      <c r="E8" s="504">
        <f>'HQ-รายสัปดาห์'!E22</f>
        <v>52</v>
      </c>
      <c r="F8" s="504">
        <f>'HQ-รายสัปดาห์'!F22</f>
        <v>14</v>
      </c>
      <c r="G8" s="504">
        <f>'HQ-รายสัปดาห์'!G22</f>
        <v>18</v>
      </c>
      <c r="H8" s="504">
        <f>'HQ-รายสัปดาห์'!H22</f>
        <v>11</v>
      </c>
      <c r="I8" s="504">
        <f>'HQ-รายสัปดาห์'!I22</f>
        <v>15</v>
      </c>
      <c r="J8" s="504">
        <f>'HQ-รายสัปดาห์'!J22</f>
        <v>14</v>
      </c>
      <c r="K8" s="504">
        <f>'HQ-รายสัปดาห์'!K22</f>
        <v>13</v>
      </c>
      <c r="L8" s="504"/>
      <c r="M8" s="504"/>
      <c r="N8" s="504"/>
      <c r="O8" s="504"/>
      <c r="P8" s="443">
        <f t="shared" si="0"/>
        <v>183</v>
      </c>
    </row>
    <row r="9" spans="1:16" ht="18" customHeight="1">
      <c r="A9" s="442" t="s">
        <v>342</v>
      </c>
      <c r="B9" s="443">
        <f>'HQ-รายสัปดาห์'!B31</f>
        <v>27</v>
      </c>
      <c r="C9" s="443">
        <f>'HQ-รายสัปดาห์'!C31</f>
        <v>37</v>
      </c>
      <c r="D9" s="443">
        <f>'HQ-รายสัปดาห์'!D31</f>
        <v>46</v>
      </c>
      <c r="E9" s="443">
        <f>'HQ-รายสัปดาห์'!E31</f>
        <v>98</v>
      </c>
      <c r="F9" s="443">
        <f>'HQ-รายสัปดาห์'!F31</f>
        <v>112</v>
      </c>
      <c r="G9" s="443">
        <f>'HQ-รายสัปดาห์'!G31</f>
        <v>130</v>
      </c>
      <c r="H9" s="443">
        <f>'HQ-รายสัปดาห์'!H31</f>
        <v>141</v>
      </c>
      <c r="I9" s="443">
        <f>'HQ-รายสัปดาห์'!I31</f>
        <v>156</v>
      </c>
      <c r="J9" s="443">
        <f>'HQ-รายสัปดาห์'!J31</f>
        <v>170</v>
      </c>
      <c r="K9" s="443">
        <f>'HQ-รายสัปดาห์'!K31</f>
        <v>183</v>
      </c>
      <c r="L9" s="443"/>
      <c r="M9" s="443"/>
      <c r="N9" s="443"/>
      <c r="O9" s="443"/>
      <c r="P9" s="443"/>
    </row>
    <row r="10" spans="1:16" ht="18" customHeight="1">
      <c r="A10" s="446" t="s">
        <v>322</v>
      </c>
      <c r="B10" s="635">
        <f>'HQ-รายสัปดาห์'!B23</f>
        <v>0</v>
      </c>
      <c r="C10" s="635">
        <f>'HQ-รายสัปดาห์'!C23</f>
        <v>0</v>
      </c>
      <c r="D10" s="635">
        <f>'HQ-รายสัปดาห์'!D23</f>
        <v>0</v>
      </c>
      <c r="E10" s="635">
        <f>'HQ-รายสัปดาห์'!E23</f>
        <v>0</v>
      </c>
      <c r="F10" s="635">
        <f>'HQ-รายสัปดาห์'!F23</f>
        <v>0</v>
      </c>
      <c r="G10" s="635">
        <f>'HQ-รายสัปดาห์'!G23</f>
        <v>0</v>
      </c>
      <c r="H10" s="635">
        <f>'HQ-รายสัปดาห์'!H23</f>
        <v>0</v>
      </c>
      <c r="I10" s="635">
        <f>'HQ-รายสัปดาห์'!I23</f>
        <v>0</v>
      </c>
      <c r="J10" s="635">
        <f>'HQ-รายสัปดาห์'!J23</f>
        <v>0</v>
      </c>
      <c r="K10" s="635">
        <f>'HQ-รายสัปดาห์'!K23</f>
        <v>0</v>
      </c>
      <c r="L10" s="635"/>
      <c r="M10" s="635"/>
      <c r="N10" s="635"/>
      <c r="O10" s="635"/>
      <c r="P10" s="645">
        <f>SUM(B10:O10)</f>
        <v>0</v>
      </c>
    </row>
    <row r="11" spans="1:16" ht="18" customHeight="1">
      <c r="A11" s="446" t="s">
        <v>323</v>
      </c>
      <c r="B11" s="635">
        <f>'HQ-รายสัปดาห์'!B24</f>
        <v>7</v>
      </c>
      <c r="C11" s="635">
        <f>'HQ-รายสัปดาห์'!C24</f>
        <v>0</v>
      </c>
      <c r="D11" s="635">
        <f>'HQ-รายสัปดาห์'!D24</f>
        <v>0</v>
      </c>
      <c r="E11" s="635">
        <f>'HQ-รายสัปดาห์'!E24</f>
        <v>0</v>
      </c>
      <c r="F11" s="635">
        <f>'HQ-รายสัปดาห์'!F24</f>
        <v>0</v>
      </c>
      <c r="G11" s="635">
        <f>'HQ-รายสัปดาห์'!G24</f>
        <v>0</v>
      </c>
      <c r="H11" s="635">
        <f>'HQ-รายสัปดาห์'!H24</f>
        <v>0</v>
      </c>
      <c r="I11" s="635">
        <f>'HQ-รายสัปดาห์'!I24</f>
        <v>0</v>
      </c>
      <c r="J11" s="635">
        <f>'HQ-รายสัปดาห์'!J24</f>
        <v>0</v>
      </c>
      <c r="K11" s="635">
        <f>'HQ-รายสัปดาห์'!K24</f>
        <v>3</v>
      </c>
      <c r="L11" s="635"/>
      <c r="M11" s="635"/>
      <c r="N11" s="635"/>
      <c r="O11" s="635"/>
      <c r="P11" s="645">
        <f>SUM(B11:O11)</f>
        <v>10</v>
      </c>
    </row>
    <row r="12" spans="1:16" ht="18" customHeight="1">
      <c r="A12" s="444" t="s">
        <v>343</v>
      </c>
      <c r="B12" s="505">
        <f>'HQ-รายสัปดาห์'!B28</f>
        <v>0.8529411764705882</v>
      </c>
      <c r="C12" s="505">
        <f>'HQ-รายสัปดาห์'!C28</f>
        <v>1</v>
      </c>
      <c r="D12" s="505">
        <f>'HQ-รายสัปดาห์'!D28</f>
        <v>1</v>
      </c>
      <c r="E12" s="505">
        <f>'HQ-รายสัปดาห์'!E28</f>
        <v>1</v>
      </c>
      <c r="F12" s="505">
        <f>'HQ-รายสัปดาห์'!F28</f>
        <v>1</v>
      </c>
      <c r="G12" s="505">
        <f>'HQ-รายสัปดาห์'!G28</f>
        <v>1</v>
      </c>
      <c r="H12" s="505">
        <f>'HQ-รายสัปดาห์'!H28</f>
        <v>1</v>
      </c>
      <c r="I12" s="505">
        <f>'HQ-รายสัปดาห์'!I28</f>
        <v>1</v>
      </c>
      <c r="J12" s="505">
        <f>'HQ-รายสัปดาห์'!J28</f>
        <v>1</v>
      </c>
      <c r="K12" s="505">
        <f>'HQ-รายสัปดาห์'!K28</f>
        <v>0.89583333333333337</v>
      </c>
      <c r="L12" s="505"/>
      <c r="M12" s="505"/>
      <c r="N12" s="505"/>
      <c r="O12" s="505"/>
      <c r="P12" s="505"/>
    </row>
    <row r="13" spans="1:16" ht="18" customHeight="1">
      <c r="A13" s="446" t="s">
        <v>344</v>
      </c>
      <c r="B13" s="506">
        <f>'HQ-รายสัปดาห์'!B33</f>
        <v>0.17616580310880828</v>
      </c>
      <c r="C13" s="506">
        <f>'HQ-รายสัปดาห์'!C33</f>
        <v>0.22797927461139897</v>
      </c>
      <c r="D13" s="506">
        <f>'HQ-รายสัปดาห์'!D33</f>
        <v>0.27461139896373055</v>
      </c>
      <c r="E13" s="506">
        <f>'HQ-รายสัปดาห์'!E33</f>
        <v>0.54404145077720212</v>
      </c>
      <c r="F13" s="506">
        <f>'HQ-รายสัปดาห์'!F33</f>
        <v>0.61658031088082899</v>
      </c>
      <c r="G13" s="506">
        <f>'HQ-รายสัปดาห์'!G33</f>
        <v>0.7098445595854922</v>
      </c>
      <c r="H13" s="506">
        <f>'HQ-รายสัปดาห์'!H33</f>
        <v>0.76683937823834192</v>
      </c>
      <c r="I13" s="506">
        <f>'HQ-รายสัปดาห์'!I33</f>
        <v>0.84455958549222798</v>
      </c>
      <c r="J13" s="506">
        <f>'HQ-รายสัปดาห์'!J33</f>
        <v>0.91709844559585496</v>
      </c>
      <c r="K13" s="506">
        <f>'HQ-รายสัปดาห์'!K33</f>
        <v>1</v>
      </c>
      <c r="L13" s="506">
        <f>'HQ-รายสัปดาห์'!L33</f>
        <v>1</v>
      </c>
      <c r="M13" s="506">
        <f>'HQ-รายสัปดาห์'!M33</f>
        <v>1</v>
      </c>
      <c r="N13" s="506">
        <f>'HQ-รายสัปดาห์'!N33</f>
        <v>1</v>
      </c>
      <c r="O13" s="506">
        <f>'HQ-รายสัปดาห์'!O33</f>
        <v>1</v>
      </c>
      <c r="P13" s="506"/>
    </row>
    <row r="14" spans="1:16" ht="18" customHeight="1">
      <c r="A14" s="446" t="s">
        <v>345</v>
      </c>
      <c r="B14" s="506">
        <f>'HQ-รายสัปดาห์'!B32</f>
        <v>0.13989637305699482</v>
      </c>
      <c r="C14" s="506">
        <f>'HQ-รายสัปดาห์'!C32</f>
        <v>0.19170984455958548</v>
      </c>
      <c r="D14" s="506">
        <f>'HQ-รายสัปดาห์'!D32</f>
        <v>0.23834196891191708</v>
      </c>
      <c r="E14" s="506">
        <f>'HQ-รายสัปดาห์'!E32</f>
        <v>0.50777202072538863</v>
      </c>
      <c r="F14" s="506">
        <f>'HQ-รายสัปดาห์'!F32</f>
        <v>0.5803108808290155</v>
      </c>
      <c r="G14" s="506">
        <f>'HQ-รายสัปดาห์'!G32</f>
        <v>0.67357512953367871</v>
      </c>
      <c r="H14" s="506">
        <f>'HQ-รายสัปดาห์'!H32</f>
        <v>0.73056994818652854</v>
      </c>
      <c r="I14" s="506">
        <f>'HQ-รายสัปดาห์'!I32</f>
        <v>0.80829015544041449</v>
      </c>
      <c r="J14" s="506">
        <f>'HQ-รายสัปดาห์'!J32</f>
        <v>0.88082901554404147</v>
      </c>
      <c r="K14" s="506">
        <f>'HQ-รายสัปดาห์'!K32</f>
        <v>0.94818652849740936</v>
      </c>
      <c r="L14" s="506"/>
      <c r="M14" s="506"/>
      <c r="N14" s="506"/>
      <c r="O14" s="506"/>
      <c r="P14" s="506"/>
    </row>
    <row r="15" spans="1:16" ht="18" customHeight="1">
      <c r="A15" s="507" t="s">
        <v>346</v>
      </c>
      <c r="B15" s="508">
        <f t="shared" ref="B15:G15" si="1">IF(B5=0,0,B6/B5)</f>
        <v>0.88235294117647056</v>
      </c>
      <c r="C15" s="508">
        <f t="shared" si="1"/>
        <v>1</v>
      </c>
      <c r="D15" s="508">
        <f t="shared" si="1"/>
        <v>1</v>
      </c>
      <c r="E15" s="508">
        <f t="shared" si="1"/>
        <v>1</v>
      </c>
      <c r="F15" s="508">
        <f t="shared" si="1"/>
        <v>1</v>
      </c>
      <c r="G15" s="508">
        <f t="shared" si="1"/>
        <v>1</v>
      </c>
      <c r="H15" s="508">
        <f t="shared" ref="H15:I15" si="2">IF(H5=0,0,H6/H5)</f>
        <v>1</v>
      </c>
      <c r="I15" s="508">
        <f t="shared" si="2"/>
        <v>1</v>
      </c>
      <c r="J15" s="508">
        <f t="shared" ref="J15:K15" si="3">IF(J5=0,0,J6/J5)</f>
        <v>1</v>
      </c>
      <c r="K15" s="508">
        <f t="shared" si="3"/>
        <v>0.9375</v>
      </c>
      <c r="L15" s="508"/>
      <c r="M15" s="508"/>
      <c r="N15" s="508"/>
      <c r="O15" s="508"/>
      <c r="P15" s="508"/>
    </row>
    <row r="16" spans="1:16" ht="18" customHeight="1">
      <c r="A16" s="507" t="s">
        <v>347</v>
      </c>
      <c r="B16" s="508">
        <f t="shared" ref="B16:G16" si="4">IF(B5=0,0,B7/B5)</f>
        <v>0.88235294117647056</v>
      </c>
      <c r="C16" s="508">
        <f t="shared" si="4"/>
        <v>1</v>
      </c>
      <c r="D16" s="508">
        <f t="shared" si="4"/>
        <v>1</v>
      </c>
      <c r="E16" s="508">
        <f t="shared" si="4"/>
        <v>1</v>
      </c>
      <c r="F16" s="508">
        <f t="shared" si="4"/>
        <v>1</v>
      </c>
      <c r="G16" s="508">
        <f t="shared" si="4"/>
        <v>1</v>
      </c>
      <c r="H16" s="508">
        <f t="shared" ref="H16:I16" si="5">IF(H5=0,0,H7/H5)</f>
        <v>1</v>
      </c>
      <c r="I16" s="508">
        <f t="shared" si="5"/>
        <v>1</v>
      </c>
      <c r="J16" s="508">
        <f t="shared" ref="J16:K16" si="6">IF(J5=0,0,J7/J5)</f>
        <v>1</v>
      </c>
      <c r="K16" s="508">
        <f t="shared" si="6"/>
        <v>0.9375</v>
      </c>
      <c r="L16" s="508"/>
      <c r="M16" s="508"/>
      <c r="N16" s="508"/>
      <c r="O16" s="508"/>
      <c r="P16" s="508"/>
    </row>
    <row r="17" spans="1:16" ht="18" customHeight="1">
      <c r="A17" s="507" t="s">
        <v>348</v>
      </c>
      <c r="B17" s="508">
        <f t="shared" ref="B17:G17" si="7">IF(B5=0,0,B8/B5)</f>
        <v>0.79411764705882348</v>
      </c>
      <c r="C17" s="508">
        <f t="shared" si="7"/>
        <v>1</v>
      </c>
      <c r="D17" s="508">
        <f t="shared" si="7"/>
        <v>1</v>
      </c>
      <c r="E17" s="508">
        <f t="shared" si="7"/>
        <v>1</v>
      </c>
      <c r="F17" s="508">
        <f t="shared" si="7"/>
        <v>1</v>
      </c>
      <c r="G17" s="508">
        <f t="shared" si="7"/>
        <v>1</v>
      </c>
      <c r="H17" s="508">
        <f t="shared" ref="H17:I17" si="8">IF(H5=0,0,H8/H5)</f>
        <v>1</v>
      </c>
      <c r="I17" s="508">
        <f t="shared" si="8"/>
        <v>1</v>
      </c>
      <c r="J17" s="508">
        <f t="shared" ref="J17:K17" si="9">IF(J5=0,0,J8/J5)</f>
        <v>1</v>
      </c>
      <c r="K17" s="508">
        <f t="shared" si="9"/>
        <v>0.8125</v>
      </c>
      <c r="L17" s="508"/>
      <c r="M17" s="508"/>
      <c r="N17" s="508"/>
      <c r="O17" s="508"/>
      <c r="P17" s="508"/>
    </row>
    <row r="18" spans="1:16">
      <c r="M18" s="416" t="s">
        <v>349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14FC-05DE-4D49-A073-103F6A183D53}">
  <dimension ref="A1:BI10"/>
  <sheetViews>
    <sheetView zoomScaleNormal="100" workbookViewId="0">
      <selection activeCell="AY6" sqref="AY6"/>
    </sheetView>
  </sheetViews>
  <sheetFormatPr defaultColWidth="8.6640625" defaultRowHeight="14.4"/>
  <cols>
    <col min="1" max="1" width="28" style="416" customWidth="1"/>
    <col min="2" max="61" width="6" style="416" customWidth="1"/>
    <col min="62" max="16384" width="8.6640625" style="416"/>
  </cols>
  <sheetData>
    <row r="1" spans="1:61" ht="30" customHeight="1">
      <c r="A1" s="1130" t="s">
        <v>350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</row>
    <row r="2" spans="1:61" ht="18" customHeight="1">
      <c r="A2" s="1132" t="s">
        <v>351</v>
      </c>
      <c r="B2" s="1132"/>
      <c r="C2" s="1132"/>
      <c r="D2" s="1132"/>
      <c r="E2" s="1132"/>
      <c r="F2" s="1132"/>
      <c r="G2" s="1132"/>
      <c r="H2" s="1132"/>
      <c r="I2" s="1132"/>
      <c r="J2" s="1132"/>
      <c r="K2" s="1132"/>
      <c r="L2" s="1132"/>
      <c r="M2" s="1132"/>
      <c r="N2" s="1132"/>
      <c r="O2" s="1132"/>
      <c r="P2" s="1132"/>
    </row>
    <row r="4" spans="1:61">
      <c r="A4" s="417" t="s">
        <v>352</v>
      </c>
      <c r="B4" s="509" t="str">
        <f>'HQ-รายวัน'!B4</f>
        <v>3 ก.พ.</v>
      </c>
      <c r="C4" s="509" t="str">
        <f>'HQ-รายวัน'!C4</f>
        <v>4 ก.พ.</v>
      </c>
      <c r="D4" s="509" t="str">
        <f>'HQ-รายวัน'!D4</f>
        <v>5 ก.พ.</v>
      </c>
      <c r="E4" s="509" t="str">
        <f>'HQ-รายวัน'!E4</f>
        <v>6 ก.พ.</v>
      </c>
      <c r="F4" s="509" t="str">
        <f>'HQ-รายวัน'!F4</f>
        <v>7 ก.พ.</v>
      </c>
      <c r="G4" s="509" t="str">
        <f>'HQ-รายวัน'!G4</f>
        <v>8 ก.พ.</v>
      </c>
      <c r="H4" s="509" t="str">
        <f>'HQ-รายวัน'!H4</f>
        <v>9 ก.พ.</v>
      </c>
      <c r="I4" s="509" t="str">
        <f>'HQ-รายวัน'!I4</f>
        <v>10 ก.พ.</v>
      </c>
      <c r="J4" s="509" t="str">
        <f>'HQ-รายวัน'!J4</f>
        <v>11 ก.พ.</v>
      </c>
      <c r="K4" s="509" t="str">
        <f>'HQ-รายวัน'!K4</f>
        <v>12 ก.พ.</v>
      </c>
      <c r="L4" s="509" t="str">
        <f>'HQ-รายวัน'!L4</f>
        <v>13 ก.พ.</v>
      </c>
      <c r="M4" s="509" t="str">
        <f>'HQ-รายวัน'!M4</f>
        <v>14 ก.พ.</v>
      </c>
      <c r="N4" s="509" t="str">
        <f>'HQ-รายวัน'!N4</f>
        <v>15 ก.พ.</v>
      </c>
      <c r="O4" s="509" t="str">
        <f>'HQ-รายวัน'!O4</f>
        <v>16 ก.พ.</v>
      </c>
      <c r="P4" s="509" t="str">
        <f>'HQ-รายวัน'!P4</f>
        <v>17 ก.พ.</v>
      </c>
      <c r="Q4" s="509" t="str">
        <f>'HQ-รายวัน'!Q4</f>
        <v>18 ก.พ.</v>
      </c>
      <c r="R4" s="509" t="str">
        <f>'HQ-รายวัน'!R4</f>
        <v>19 ก.พ.</v>
      </c>
      <c r="S4" s="509" t="str">
        <f>'HQ-รายวัน'!S4</f>
        <v>20 ก.พ.</v>
      </c>
      <c r="T4" s="509" t="str">
        <f>'HQ-รายวัน'!T4</f>
        <v>21 ก.พ.</v>
      </c>
      <c r="U4" s="509" t="str">
        <f>'HQ-รายวัน'!U4</f>
        <v>22 ก.พ.</v>
      </c>
      <c r="V4" s="509" t="str">
        <f>'HQ-รายวัน'!V4</f>
        <v>23 ก.พ.</v>
      </c>
      <c r="W4" s="509" t="str">
        <f>'HQ-รายวัน'!W4</f>
        <v>24 ก.พ.</v>
      </c>
      <c r="X4" s="509" t="str">
        <f>'HQ-รายวัน'!X4</f>
        <v>25 ก.พ.</v>
      </c>
      <c r="Y4" s="509" t="str">
        <f>'HQ-รายวัน'!Y4</f>
        <v>26 ก.พ.</v>
      </c>
      <c r="Z4" s="509" t="str">
        <f>'HQ-รายวัน'!Z4</f>
        <v>27 ก.พ.</v>
      </c>
      <c r="AA4" s="509" t="str">
        <f>'HQ-รายวัน'!AA4</f>
        <v>28 ก.พ.</v>
      </c>
      <c r="AB4" s="509" t="str">
        <f>'HQ-รายวัน'!AB4</f>
        <v>1 มี.ค.</v>
      </c>
      <c r="AC4" s="509" t="str">
        <f>'HQ-รายวัน'!AC4</f>
        <v>2 มี.ค.</v>
      </c>
      <c r="AD4" s="509" t="str">
        <f>'HQ-รายวัน'!AD4</f>
        <v>3 มี.ค.</v>
      </c>
      <c r="AE4" s="509" t="str">
        <f>'HQ-รายวัน'!AE4</f>
        <v>4 มี.ค.</v>
      </c>
      <c r="AF4" s="509" t="str">
        <f>'HQ-รายวัน'!AF4</f>
        <v>5 มี.ค.</v>
      </c>
      <c r="AG4" s="509" t="str">
        <f>'HQ-รายวัน'!AG4</f>
        <v>6 มี.ค.</v>
      </c>
      <c r="AH4" s="509" t="str">
        <f>'HQ-รายวัน'!AH4</f>
        <v>7 มี.ค.</v>
      </c>
      <c r="AI4" s="509" t="str">
        <f>'HQ-รายวัน'!AI4</f>
        <v>8 มี.ค.</v>
      </c>
      <c r="AJ4" s="509" t="str">
        <f>'HQ-รายวัน'!AJ4</f>
        <v>9 มี.ค.</v>
      </c>
      <c r="AK4" s="509" t="str">
        <f>'HQ-รายวัน'!AK4</f>
        <v>10 มี.ค.</v>
      </c>
      <c r="AL4" s="509" t="str">
        <f>'HQ-รายวัน'!AL4</f>
        <v>11 มี.ค.</v>
      </c>
      <c r="AM4" s="509" t="str">
        <f>'HQ-รายวัน'!AM4</f>
        <v>12 มี.ค.</v>
      </c>
      <c r="AN4" s="509" t="str">
        <f>'HQ-รายวัน'!AN4</f>
        <v>13 มี.ค.</v>
      </c>
      <c r="AO4" s="509" t="str">
        <f>'HQ-รายวัน'!AO4</f>
        <v>14 มี.ค.</v>
      </c>
      <c r="AP4" s="509" t="str">
        <f>'HQ-รายวัน'!AP4</f>
        <v>15 มี.ค.</v>
      </c>
      <c r="AQ4" s="509" t="str">
        <f>'HQ-รายวัน'!AQ4</f>
        <v>16 มี.ค.</v>
      </c>
      <c r="AR4" s="509" t="str">
        <f>'HQ-รายวัน'!AR4</f>
        <v>17 มี.ค.</v>
      </c>
      <c r="AS4" s="509" t="str">
        <f>'HQ-รายวัน'!AS4</f>
        <v>18 มี.ค.</v>
      </c>
      <c r="AT4" s="509" t="str">
        <f>'HQ-รายวัน'!AT4</f>
        <v>19 มี.ค.</v>
      </c>
      <c r="AU4" s="509" t="str">
        <f>'HQ-รายวัน'!AU4</f>
        <v>20 มี.ค.</v>
      </c>
      <c r="AV4" s="509" t="str">
        <f>'HQ-รายวัน'!AV4</f>
        <v>21 มี.ค.</v>
      </c>
      <c r="AW4" s="509" t="str">
        <f>'HQ-รายวัน'!AW4</f>
        <v>22 มี.ค.</v>
      </c>
      <c r="AX4" s="509" t="str">
        <f>'HQ-รายวัน'!AX4</f>
        <v>23 มี.ค.</v>
      </c>
      <c r="AY4" s="509" t="str">
        <f>'HQ-รายวัน'!AY4</f>
        <v>24 มี.ค.</v>
      </c>
      <c r="AZ4" s="509" t="str">
        <f>'HQ-รายวัน'!AZ4</f>
        <v>25 มี.ค.</v>
      </c>
      <c r="BA4" s="509" t="str">
        <f>'HQ-รายวัน'!BA4</f>
        <v>26 มี.ค.</v>
      </c>
      <c r="BB4" s="509" t="str">
        <f>'HQ-รายวัน'!BB4</f>
        <v>27 มี.ค.</v>
      </c>
      <c r="BC4" s="509" t="str">
        <f>'HQ-รายวัน'!BC4</f>
        <v>28 มี.ค.</v>
      </c>
      <c r="BD4" s="509" t="str">
        <f>'HQ-รายวัน'!BD4</f>
        <v>29 มี.ค.</v>
      </c>
      <c r="BE4" s="509" t="str">
        <f>'HQ-รายวัน'!BE4</f>
        <v>30 มี.ค.</v>
      </c>
      <c r="BF4" s="509" t="str">
        <f>'HQ-รายวัน'!BF4</f>
        <v>31 มี.ค.</v>
      </c>
      <c r="BG4" s="509" t="str">
        <f>'HQ-รายวัน'!BG4</f>
        <v>1 เม.ย.</v>
      </c>
      <c r="BH4" s="509" t="str">
        <f>'HQ-รายวัน'!BH4</f>
        <v>2 เม.ย.</v>
      </c>
      <c r="BI4" s="509" t="str">
        <f>'HQ-รายวัน'!BI4</f>
        <v>3 เม.ย.</v>
      </c>
    </row>
    <row r="5" spans="1:61" ht="18" customHeight="1">
      <c r="A5" s="440" t="s">
        <v>316</v>
      </c>
      <c r="B5" s="441">
        <f>'HQ-รายวัน'!B7</f>
        <v>34</v>
      </c>
      <c r="C5" s="441">
        <f>'HQ-รายวัน'!C7</f>
        <v>0</v>
      </c>
      <c r="D5" s="441">
        <f>'HQ-รายวัน'!D7</f>
        <v>0</v>
      </c>
      <c r="E5" s="441">
        <f>'HQ-รายวัน'!E7</f>
        <v>0</v>
      </c>
      <c r="F5" s="441">
        <f>'HQ-รายวัน'!F7</f>
        <v>0</v>
      </c>
      <c r="G5" s="441">
        <f>'HQ-รายวัน'!G7</f>
        <v>0</v>
      </c>
      <c r="H5" s="441">
        <f>'HQ-รายวัน'!H7</f>
        <v>0</v>
      </c>
      <c r="I5" s="441">
        <f>'HQ-รายวัน'!I7</f>
        <v>0</v>
      </c>
      <c r="J5" s="441">
        <f>'HQ-รายวัน'!J7</f>
        <v>10</v>
      </c>
      <c r="K5" s="441">
        <f>'HQ-รายวัน'!K7</f>
        <v>0</v>
      </c>
      <c r="L5" s="441">
        <f>'HQ-รายวัน'!L7</f>
        <v>0</v>
      </c>
      <c r="M5" s="441">
        <f>'HQ-รายวัน'!M7</f>
        <v>0</v>
      </c>
      <c r="N5" s="441">
        <f>'HQ-รายวัน'!N7</f>
        <v>0</v>
      </c>
      <c r="O5" s="441">
        <f>'HQ-รายวัน'!O7</f>
        <v>0</v>
      </c>
      <c r="P5" s="441">
        <f>'HQ-รายวัน'!P7</f>
        <v>0</v>
      </c>
      <c r="Q5" s="441">
        <f>'HQ-รายวัน'!Q7</f>
        <v>5</v>
      </c>
      <c r="R5" s="441">
        <f>'HQ-รายวัน'!R7</f>
        <v>0</v>
      </c>
      <c r="S5" s="441">
        <f>'HQ-รายวัน'!S7</f>
        <v>4</v>
      </c>
      <c r="T5" s="441">
        <f>'HQ-รายวัน'!T7</f>
        <v>0</v>
      </c>
      <c r="U5" s="441">
        <f>'HQ-รายวัน'!U7</f>
        <v>0</v>
      </c>
      <c r="V5" s="441">
        <f>'HQ-รายวัน'!V7</f>
        <v>15</v>
      </c>
      <c r="W5" s="441">
        <f>'HQ-รายวัน'!W7</f>
        <v>0</v>
      </c>
      <c r="X5" s="441">
        <f>'HQ-รายวัน'!X7</f>
        <v>20</v>
      </c>
      <c r="Y5" s="441">
        <f>'HQ-รายวัน'!Y7</f>
        <v>0</v>
      </c>
      <c r="Z5" s="441">
        <f>'HQ-รายวัน'!Z7</f>
        <v>17</v>
      </c>
      <c r="AA5" s="441">
        <f>'HQ-รายวัน'!AA7</f>
        <v>0</v>
      </c>
      <c r="AB5" s="441">
        <f>'HQ-รายวัน'!AB7</f>
        <v>0</v>
      </c>
      <c r="AC5" s="441">
        <f>'HQ-รายวัน'!AC7</f>
        <v>14</v>
      </c>
      <c r="AD5" s="441">
        <f>'HQ-รายวัน'!AD7</f>
        <v>0</v>
      </c>
      <c r="AE5" s="441">
        <f>'HQ-รายวัน'!AE7</f>
        <v>0</v>
      </c>
      <c r="AF5" s="441">
        <f>'HQ-รายวัน'!AF7</f>
        <v>0</v>
      </c>
      <c r="AG5" s="441">
        <f>'HQ-รายวัน'!AG7</f>
        <v>0</v>
      </c>
      <c r="AH5" s="441">
        <f>'HQ-รายวัน'!AH7</f>
        <v>0</v>
      </c>
      <c r="AI5" s="441">
        <f>'HQ-รายวัน'!AI7</f>
        <v>0</v>
      </c>
      <c r="AJ5" s="441">
        <f>'HQ-รายวัน'!AJ7</f>
        <v>10</v>
      </c>
      <c r="AK5" s="441">
        <f>'HQ-รายวัน'!AK7</f>
        <v>0</v>
      </c>
      <c r="AL5" s="441">
        <f>'HQ-รายวัน'!AL7</f>
        <v>8</v>
      </c>
      <c r="AM5" s="441">
        <f>'HQ-รายวัน'!AM7</f>
        <v>0</v>
      </c>
      <c r="AN5" s="441">
        <f>'HQ-รายวัน'!AN7</f>
        <v>0</v>
      </c>
      <c r="AO5" s="441">
        <f>'HQ-รายวัน'!AO7</f>
        <v>0</v>
      </c>
      <c r="AP5" s="441">
        <f>'HQ-รายวัน'!AP7</f>
        <v>0</v>
      </c>
      <c r="AQ5" s="441">
        <f>'HQ-รายวัน'!AQ7</f>
        <v>11</v>
      </c>
      <c r="AR5" s="441">
        <f>'HQ-รายวัน'!AR7</f>
        <v>0</v>
      </c>
      <c r="AS5" s="441">
        <f>'HQ-รายวัน'!AS7</f>
        <v>0</v>
      </c>
      <c r="AT5" s="441">
        <f>'HQ-รายวัน'!AT7</f>
        <v>0</v>
      </c>
      <c r="AU5" s="441">
        <f>'HQ-รายวัน'!AU7</f>
        <v>0</v>
      </c>
      <c r="AV5" s="441">
        <f>'HQ-รายวัน'!AV7</f>
        <v>0</v>
      </c>
      <c r="AW5" s="441">
        <f>'HQ-รายวัน'!AW7</f>
        <v>0</v>
      </c>
      <c r="AX5" s="441">
        <f>'HQ-รายวัน'!AX7</f>
        <v>0</v>
      </c>
      <c r="AY5" s="441">
        <f>'HQ-รายวัน'!AY7</f>
        <v>7</v>
      </c>
      <c r="AZ5" s="441">
        <f>'HQ-รายวัน'!AZ7</f>
        <v>2</v>
      </c>
      <c r="BA5" s="441">
        <f>'HQ-รายวัน'!BA7</f>
        <v>0</v>
      </c>
      <c r="BB5" s="441">
        <f>'HQ-รายวัน'!BB7</f>
        <v>6</v>
      </c>
      <c r="BC5" s="441">
        <f>'HQ-รายวัน'!BC7</f>
        <v>0</v>
      </c>
      <c r="BD5" s="441">
        <f>'HQ-รายวัน'!BD7</f>
        <v>0</v>
      </c>
      <c r="BE5" s="441">
        <f>'HQ-รายวัน'!BE7</f>
        <v>0</v>
      </c>
      <c r="BF5" s="441">
        <f>'HQ-รายวัน'!BF7</f>
        <v>0</v>
      </c>
      <c r="BG5" s="441">
        <f>'HQ-รายวัน'!BG7</f>
        <v>12</v>
      </c>
      <c r="BH5" s="441">
        <f>'HQ-รายวัน'!BH7</f>
        <v>0</v>
      </c>
      <c r="BI5" s="441">
        <f>'HQ-รายวัน'!BI7</f>
        <v>2</v>
      </c>
    </row>
    <row r="6" spans="1:61" ht="18" customHeight="1">
      <c r="A6" s="442" t="s">
        <v>341</v>
      </c>
      <c r="B6" s="443">
        <f>'HQ-รายวัน'!B22</f>
        <v>27</v>
      </c>
      <c r="C6" s="443">
        <f>'HQ-รายวัน'!C22</f>
        <v>0</v>
      </c>
      <c r="D6" s="443">
        <f>'HQ-รายวัน'!D22</f>
        <v>0</v>
      </c>
      <c r="E6" s="443">
        <f>'HQ-รายวัน'!E22</f>
        <v>0</v>
      </c>
      <c r="F6" s="443">
        <f>'HQ-รายวัน'!F22</f>
        <v>0</v>
      </c>
      <c r="G6" s="443">
        <f>'HQ-รายวัน'!G22</f>
        <v>0</v>
      </c>
      <c r="H6" s="443">
        <f>'HQ-รายวัน'!H22</f>
        <v>0</v>
      </c>
      <c r="I6" s="443">
        <f>'HQ-รายวัน'!I22</f>
        <v>0</v>
      </c>
      <c r="J6" s="443">
        <f>'HQ-รายวัน'!J22</f>
        <v>10</v>
      </c>
      <c r="K6" s="443">
        <f>'HQ-รายวัน'!K22</f>
        <v>0</v>
      </c>
      <c r="L6" s="443">
        <f>'HQ-รายวัน'!L22</f>
        <v>0</v>
      </c>
      <c r="M6" s="443">
        <f>'HQ-รายวัน'!M22</f>
        <v>0</v>
      </c>
      <c r="N6" s="443">
        <f>'HQ-รายวัน'!N22</f>
        <v>0</v>
      </c>
      <c r="O6" s="443">
        <f>'HQ-รายวัน'!O22</f>
        <v>0</v>
      </c>
      <c r="P6" s="443">
        <f>'HQ-รายวัน'!P22</f>
        <v>0</v>
      </c>
      <c r="Q6" s="443">
        <f>'HQ-รายวัน'!Q22</f>
        <v>5</v>
      </c>
      <c r="R6" s="443">
        <f>'HQ-รายวัน'!R22</f>
        <v>0</v>
      </c>
      <c r="S6" s="443">
        <f>'HQ-รายวัน'!S22</f>
        <v>4</v>
      </c>
      <c r="T6" s="443">
        <f>'HQ-รายวัน'!T22</f>
        <v>0</v>
      </c>
      <c r="U6" s="443">
        <f>'HQ-รายวัน'!U22</f>
        <v>0</v>
      </c>
      <c r="V6" s="443">
        <f>'HQ-รายวัน'!V22</f>
        <v>15</v>
      </c>
      <c r="W6" s="443">
        <f>'HQ-รายวัน'!W22</f>
        <v>0</v>
      </c>
      <c r="X6" s="443">
        <f>'HQ-รายวัน'!X22</f>
        <v>20</v>
      </c>
      <c r="Y6" s="443">
        <f>'HQ-รายวัน'!Y22</f>
        <v>0</v>
      </c>
      <c r="Z6" s="443">
        <f>'HQ-รายวัน'!Z22</f>
        <v>17</v>
      </c>
      <c r="AA6" s="443">
        <f>'HQ-รายวัน'!AA22</f>
        <v>0</v>
      </c>
      <c r="AB6" s="443">
        <f>'HQ-รายวัน'!AB22</f>
        <v>0</v>
      </c>
      <c r="AC6" s="443">
        <f>'HQ-รายวัน'!AC22</f>
        <v>14</v>
      </c>
      <c r="AD6" s="443">
        <f>'HQ-รายวัน'!AD22</f>
        <v>0</v>
      </c>
      <c r="AE6" s="443">
        <f>'HQ-รายวัน'!AE22</f>
        <v>0</v>
      </c>
      <c r="AF6" s="443">
        <f>'HQ-รายวัน'!AF22</f>
        <v>0</v>
      </c>
      <c r="AG6" s="443">
        <f>'HQ-รายวัน'!AG22</f>
        <v>0</v>
      </c>
      <c r="AH6" s="443">
        <f>'HQ-รายวัน'!AH22</f>
        <v>0</v>
      </c>
      <c r="AI6" s="443">
        <f>'HQ-รายวัน'!AI22</f>
        <v>0</v>
      </c>
      <c r="AJ6" s="443">
        <f>'HQ-รายวัน'!AJ22</f>
        <v>10</v>
      </c>
      <c r="AK6" s="443">
        <f>'HQ-รายวัน'!AK22</f>
        <v>0</v>
      </c>
      <c r="AL6" s="443">
        <f>'HQ-รายวัน'!AL22</f>
        <v>8</v>
      </c>
      <c r="AM6" s="443">
        <f>'HQ-รายวัน'!AM22</f>
        <v>0</v>
      </c>
      <c r="AN6" s="443">
        <f>'HQ-รายวัน'!AN22</f>
        <v>0</v>
      </c>
      <c r="AO6" s="443">
        <f>'HQ-รายวัน'!AO22</f>
        <v>0</v>
      </c>
      <c r="AP6" s="443">
        <f>'HQ-รายวัน'!AP22</f>
        <v>0</v>
      </c>
      <c r="AQ6" s="443">
        <f>'HQ-รายวัน'!AQ22</f>
        <v>11</v>
      </c>
      <c r="AR6" s="443">
        <f>'HQ-รายวัน'!AR22</f>
        <v>0</v>
      </c>
      <c r="AS6" s="443">
        <f>'HQ-รายวัน'!AS22</f>
        <v>0</v>
      </c>
      <c r="AT6" s="443">
        <f>'HQ-รายวัน'!AT22</f>
        <v>0</v>
      </c>
      <c r="AU6" s="443">
        <f>'HQ-รายวัน'!AU22</f>
        <v>0</v>
      </c>
      <c r="AV6" s="443">
        <f>'HQ-รายวัน'!AV22</f>
        <v>0</v>
      </c>
      <c r="AW6" s="443">
        <f>'HQ-รายวัน'!AW22</f>
        <v>0</v>
      </c>
      <c r="AX6" s="443">
        <f>'HQ-รายวัน'!AX22</f>
        <v>0</v>
      </c>
      <c r="AY6" s="443">
        <f>'HQ-รายวัน'!AY22</f>
        <v>7</v>
      </c>
      <c r="AZ6" s="443"/>
      <c r="BA6" s="443"/>
      <c r="BB6" s="443"/>
      <c r="BC6" s="443"/>
      <c r="BD6" s="443"/>
      <c r="BE6" s="443"/>
      <c r="BF6" s="443"/>
      <c r="BG6" s="443"/>
      <c r="BH6" s="443"/>
      <c r="BI6" s="443"/>
    </row>
    <row r="7" spans="1:61" ht="18" customHeight="1">
      <c r="A7" s="446" t="s">
        <v>322</v>
      </c>
      <c r="B7" s="636">
        <f>'HQ-รายวัน'!B23</f>
        <v>0</v>
      </c>
      <c r="C7" s="636">
        <f>'HQ-รายวัน'!C23</f>
        <v>0</v>
      </c>
      <c r="D7" s="636">
        <f>'HQ-รายวัน'!D23</f>
        <v>0</v>
      </c>
      <c r="E7" s="636">
        <f>'HQ-รายวัน'!E23</f>
        <v>0</v>
      </c>
      <c r="F7" s="636">
        <f>'HQ-รายวัน'!F23</f>
        <v>0</v>
      </c>
      <c r="G7" s="636">
        <f>'HQ-รายวัน'!G23</f>
        <v>0</v>
      </c>
      <c r="H7" s="636">
        <f>'HQ-รายวัน'!H23</f>
        <v>0</v>
      </c>
      <c r="I7" s="636">
        <f>'HQ-รายวัน'!I23</f>
        <v>0</v>
      </c>
      <c r="J7" s="636">
        <f>'HQ-รายวัน'!J23</f>
        <v>0</v>
      </c>
      <c r="K7" s="636">
        <f>'HQ-รายวัน'!K23</f>
        <v>0</v>
      </c>
      <c r="L7" s="636">
        <f>'HQ-รายวัน'!L23</f>
        <v>0</v>
      </c>
      <c r="M7" s="636">
        <f>'HQ-รายวัน'!M23</f>
        <v>0</v>
      </c>
      <c r="N7" s="636">
        <f>'HQ-รายวัน'!N23</f>
        <v>0</v>
      </c>
      <c r="O7" s="636">
        <f>'HQ-รายวัน'!O23</f>
        <v>0</v>
      </c>
      <c r="P7" s="636">
        <f>'HQ-รายวัน'!P23</f>
        <v>0</v>
      </c>
      <c r="Q7" s="636">
        <f>'HQ-รายวัน'!Q23</f>
        <v>0</v>
      </c>
      <c r="R7" s="636">
        <f>'HQ-รายวัน'!R23</f>
        <v>0</v>
      </c>
      <c r="S7" s="636">
        <f>'HQ-รายวัน'!S23</f>
        <v>0</v>
      </c>
      <c r="T7" s="636">
        <f>'HQ-รายวัน'!T23</f>
        <v>0</v>
      </c>
      <c r="U7" s="636">
        <f>'HQ-รายวัน'!U23</f>
        <v>0</v>
      </c>
      <c r="V7" s="636">
        <f>'HQ-รายวัน'!V23</f>
        <v>0</v>
      </c>
      <c r="W7" s="636">
        <f>'HQ-รายวัน'!W23</f>
        <v>0</v>
      </c>
      <c r="X7" s="636">
        <f>'HQ-รายวัน'!X23</f>
        <v>0</v>
      </c>
      <c r="Y7" s="636">
        <f>'HQ-รายวัน'!Y23</f>
        <v>0</v>
      </c>
      <c r="Z7" s="636">
        <f>'HQ-รายวัน'!Z23</f>
        <v>0</v>
      </c>
      <c r="AA7" s="636">
        <f>'HQ-รายวัน'!AA23</f>
        <v>0</v>
      </c>
      <c r="AB7" s="636">
        <f>'HQ-รายวัน'!AB23</f>
        <v>0</v>
      </c>
      <c r="AC7" s="636">
        <f>'HQ-รายวัน'!AC23</f>
        <v>0</v>
      </c>
      <c r="AD7" s="636">
        <f>'HQ-รายวัน'!AD23</f>
        <v>0</v>
      </c>
      <c r="AE7" s="636">
        <f>'HQ-รายวัน'!AE23</f>
        <v>0</v>
      </c>
      <c r="AF7" s="636">
        <f>'HQ-รายวัน'!AF23</f>
        <v>0</v>
      </c>
      <c r="AG7" s="636">
        <f>'HQ-รายวัน'!AG23</f>
        <v>0</v>
      </c>
      <c r="AH7" s="636">
        <f>'HQ-รายวัน'!AH23</f>
        <v>0</v>
      </c>
      <c r="AI7" s="636">
        <f>'HQ-รายวัน'!AI23</f>
        <v>0</v>
      </c>
      <c r="AJ7" s="636">
        <f>'HQ-รายวัน'!AJ23</f>
        <v>0</v>
      </c>
      <c r="AK7" s="636">
        <f>'HQ-รายวัน'!AK23</f>
        <v>0</v>
      </c>
      <c r="AL7" s="636">
        <f>'HQ-รายวัน'!AL23</f>
        <v>0</v>
      </c>
      <c r="AM7" s="636">
        <f>'HQ-รายวัน'!AM23</f>
        <v>0</v>
      </c>
      <c r="AN7" s="636">
        <f>'HQ-รายวัน'!AN23</f>
        <v>0</v>
      </c>
      <c r="AO7" s="636">
        <f>'HQ-รายวัน'!AO23</f>
        <v>0</v>
      </c>
      <c r="AP7" s="636">
        <f>'HQ-รายวัน'!AP23</f>
        <v>0</v>
      </c>
      <c r="AQ7" s="636">
        <f>'HQ-รายวัน'!AQ23</f>
        <v>0</v>
      </c>
      <c r="AR7" s="636">
        <f>'HQ-รายวัน'!AR23</f>
        <v>0</v>
      </c>
      <c r="AS7" s="636">
        <f>'HQ-รายวัน'!AS23</f>
        <v>0</v>
      </c>
      <c r="AT7" s="636">
        <f>'HQ-รายวัน'!AT23</f>
        <v>0</v>
      </c>
      <c r="AU7" s="636">
        <f>'HQ-รายวัน'!AU23</f>
        <v>0</v>
      </c>
      <c r="AV7" s="636">
        <f>'HQ-รายวัน'!AV23</f>
        <v>0</v>
      </c>
      <c r="AW7" s="636">
        <f>'HQ-รายวัน'!AW23</f>
        <v>0</v>
      </c>
      <c r="AX7" s="636">
        <f>'HQ-รายวัน'!AX23</f>
        <v>0</v>
      </c>
      <c r="AY7" s="636">
        <f>'HQ-รายวัน'!AY23</f>
        <v>0</v>
      </c>
      <c r="AZ7" s="636"/>
      <c r="BA7" s="636"/>
      <c r="BB7" s="636"/>
      <c r="BC7" s="636"/>
      <c r="BD7" s="636"/>
      <c r="BE7" s="636"/>
      <c r="BF7" s="636"/>
      <c r="BG7" s="636"/>
      <c r="BH7" s="636"/>
      <c r="BI7" s="636"/>
    </row>
    <row r="8" spans="1:61" ht="18" customHeight="1">
      <c r="A8" s="446" t="s">
        <v>323</v>
      </c>
      <c r="B8" s="636">
        <f>'HQ-รายวัน'!B24</f>
        <v>7</v>
      </c>
      <c r="C8" s="636">
        <f>'HQ-รายวัน'!C24</f>
        <v>0</v>
      </c>
      <c r="D8" s="636">
        <f>'HQ-รายวัน'!D24</f>
        <v>0</v>
      </c>
      <c r="E8" s="636">
        <f>'HQ-รายวัน'!E24</f>
        <v>0</v>
      </c>
      <c r="F8" s="636">
        <f>'HQ-รายวัน'!F24</f>
        <v>0</v>
      </c>
      <c r="G8" s="636">
        <f>'HQ-รายวัน'!G24</f>
        <v>0</v>
      </c>
      <c r="H8" s="636">
        <f>'HQ-รายวัน'!H24</f>
        <v>0</v>
      </c>
      <c r="I8" s="636">
        <f>'HQ-รายวัน'!I24</f>
        <v>0</v>
      </c>
      <c r="J8" s="636">
        <f>'HQ-รายวัน'!J24</f>
        <v>0</v>
      </c>
      <c r="K8" s="636">
        <f>'HQ-รายวัน'!K24</f>
        <v>0</v>
      </c>
      <c r="L8" s="636">
        <f>'HQ-รายวัน'!L24</f>
        <v>0</v>
      </c>
      <c r="M8" s="636">
        <f>'HQ-รายวัน'!M24</f>
        <v>0</v>
      </c>
      <c r="N8" s="636">
        <f>'HQ-รายวัน'!N24</f>
        <v>0</v>
      </c>
      <c r="O8" s="636">
        <f>'HQ-รายวัน'!O24</f>
        <v>0</v>
      </c>
      <c r="P8" s="636">
        <f>'HQ-รายวัน'!P24</f>
        <v>0</v>
      </c>
      <c r="Q8" s="636">
        <f>'HQ-รายวัน'!Q24</f>
        <v>0</v>
      </c>
      <c r="R8" s="636">
        <f>'HQ-รายวัน'!R24</f>
        <v>0</v>
      </c>
      <c r="S8" s="636">
        <f>'HQ-รายวัน'!S24</f>
        <v>0</v>
      </c>
      <c r="T8" s="636">
        <f>'HQ-รายวัน'!T24</f>
        <v>0</v>
      </c>
      <c r="U8" s="636">
        <f>'HQ-รายวัน'!U24</f>
        <v>0</v>
      </c>
      <c r="V8" s="636">
        <f>'HQ-รายวัน'!V24</f>
        <v>0</v>
      </c>
      <c r="W8" s="636">
        <f>'HQ-รายวัน'!W24</f>
        <v>0</v>
      </c>
      <c r="X8" s="636">
        <f>'HQ-รายวัน'!X24</f>
        <v>0</v>
      </c>
      <c r="Y8" s="636">
        <f>'HQ-รายวัน'!Y24</f>
        <v>0</v>
      </c>
      <c r="Z8" s="636">
        <f>'HQ-รายวัน'!Z24</f>
        <v>0</v>
      </c>
      <c r="AA8" s="636">
        <f>'HQ-รายวัน'!AA24</f>
        <v>0</v>
      </c>
      <c r="AB8" s="636">
        <f>'HQ-รายวัน'!AB24</f>
        <v>0</v>
      </c>
      <c r="AC8" s="636">
        <f>'HQ-รายวัน'!AC24</f>
        <v>0</v>
      </c>
      <c r="AD8" s="636">
        <f>'HQ-รายวัน'!AD24</f>
        <v>0</v>
      </c>
      <c r="AE8" s="636">
        <f>'HQ-รายวัน'!AE24</f>
        <v>0</v>
      </c>
      <c r="AF8" s="636">
        <f>'HQ-รายวัน'!AF24</f>
        <v>0</v>
      </c>
      <c r="AG8" s="636">
        <f>'HQ-รายวัน'!AG24</f>
        <v>0</v>
      </c>
      <c r="AH8" s="636">
        <f>'HQ-รายวัน'!AH24</f>
        <v>0</v>
      </c>
      <c r="AI8" s="636">
        <f>'HQ-รายวัน'!AI24</f>
        <v>0</v>
      </c>
      <c r="AJ8" s="636">
        <f>'HQ-รายวัน'!AJ24</f>
        <v>0</v>
      </c>
      <c r="AK8" s="636">
        <f>'HQ-รายวัน'!AK24</f>
        <v>0</v>
      </c>
      <c r="AL8" s="636">
        <f>'HQ-รายวัน'!AL24</f>
        <v>0</v>
      </c>
      <c r="AM8" s="636">
        <f>'HQ-รายวัน'!AM24</f>
        <v>0</v>
      </c>
      <c r="AN8" s="636">
        <f>'HQ-รายวัน'!AN24</f>
        <v>0</v>
      </c>
      <c r="AO8" s="636">
        <f>'HQ-รายวัน'!AO24</f>
        <v>0</v>
      </c>
      <c r="AP8" s="636">
        <f>'HQ-รายวัน'!AP24</f>
        <v>0</v>
      </c>
      <c r="AQ8" s="636">
        <f>'HQ-รายวัน'!AQ24</f>
        <v>0</v>
      </c>
      <c r="AR8" s="636">
        <f>'HQ-รายวัน'!AR24</f>
        <v>0</v>
      </c>
      <c r="AS8" s="636">
        <f>'HQ-รายวัน'!AS24</f>
        <v>0</v>
      </c>
      <c r="AT8" s="636">
        <f>'HQ-รายวัน'!AT24</f>
        <v>0</v>
      </c>
      <c r="AU8" s="636">
        <f>'HQ-รายวัน'!AU24</f>
        <v>0</v>
      </c>
      <c r="AV8" s="636">
        <f>'HQ-รายวัน'!AV24</f>
        <v>0</v>
      </c>
      <c r="AW8" s="636">
        <f>'HQ-รายวัน'!AW24</f>
        <v>0</v>
      </c>
      <c r="AX8" s="636">
        <f>'HQ-รายวัน'!AX24</f>
        <v>0</v>
      </c>
      <c r="AY8" s="636">
        <f>'HQ-รายวัน'!AY24</f>
        <v>0</v>
      </c>
      <c r="AZ8" s="636"/>
      <c r="BA8" s="636"/>
      <c r="BB8" s="636"/>
      <c r="BC8" s="636"/>
      <c r="BD8" s="636"/>
      <c r="BE8" s="636"/>
      <c r="BF8" s="636"/>
      <c r="BG8" s="636"/>
      <c r="BH8" s="636"/>
      <c r="BI8" s="636"/>
    </row>
    <row r="9" spans="1:61" ht="18" customHeight="1">
      <c r="A9" s="446" t="s">
        <v>344</v>
      </c>
      <c r="B9" s="447">
        <f>'HQ-รายวัน'!B33</f>
        <v>0.17616580310880828</v>
      </c>
      <c r="C9" s="447">
        <f>'HQ-รายวัน'!C33</f>
        <v>0.17616580310880828</v>
      </c>
      <c r="D9" s="447">
        <f>'HQ-รายวัน'!D33</f>
        <v>0.17616580310880828</v>
      </c>
      <c r="E9" s="447">
        <f>'HQ-รายวัน'!E33</f>
        <v>0.17616580310880828</v>
      </c>
      <c r="F9" s="447">
        <f>'HQ-รายวัน'!F33</f>
        <v>0.17616580310880828</v>
      </c>
      <c r="G9" s="447">
        <f>'HQ-รายวัน'!G33</f>
        <v>0.17616580310880828</v>
      </c>
      <c r="H9" s="447">
        <f>'HQ-รายวัน'!H33</f>
        <v>0.17616580310880828</v>
      </c>
      <c r="I9" s="447">
        <f>'HQ-รายวัน'!I33</f>
        <v>0.17616580310880828</v>
      </c>
      <c r="J9" s="447">
        <f>'HQ-รายวัน'!J33</f>
        <v>0.22797927461139897</v>
      </c>
      <c r="K9" s="447">
        <f>'HQ-รายวัน'!K33</f>
        <v>0.22797927461139897</v>
      </c>
      <c r="L9" s="447">
        <f>'HQ-รายวัน'!L33</f>
        <v>0.22797927461139897</v>
      </c>
      <c r="M9" s="447">
        <f>'HQ-รายวัน'!M33</f>
        <v>0.22797927461139897</v>
      </c>
      <c r="N9" s="447">
        <f>'HQ-รายวัน'!N33</f>
        <v>0.22797927461139897</v>
      </c>
      <c r="O9" s="447">
        <f>'HQ-รายวัน'!O33</f>
        <v>0.22797927461139897</v>
      </c>
      <c r="P9" s="447">
        <f>'HQ-รายวัน'!P33</f>
        <v>0.22797927461139897</v>
      </c>
      <c r="Q9" s="447">
        <f>'HQ-รายวัน'!Q33</f>
        <v>0.25388601036269431</v>
      </c>
      <c r="R9" s="447">
        <f>'HQ-รายวัน'!R33</f>
        <v>0.25388601036269431</v>
      </c>
      <c r="S9" s="447">
        <f>'HQ-รายวัน'!S33</f>
        <v>0.27461139896373055</v>
      </c>
      <c r="T9" s="447">
        <f>'HQ-รายวัน'!T33</f>
        <v>0.27461139896373055</v>
      </c>
      <c r="U9" s="447">
        <f>'HQ-รายวัน'!U33</f>
        <v>0.27461139896373055</v>
      </c>
      <c r="V9" s="447">
        <f>'HQ-รายวัน'!V33</f>
        <v>0.35233160621761656</v>
      </c>
      <c r="W9" s="447">
        <f>'HQ-รายวัน'!W33</f>
        <v>0.35233160621761656</v>
      </c>
      <c r="X9" s="447">
        <f>'HQ-รายวัน'!X33</f>
        <v>0.45595854922279794</v>
      </c>
      <c r="Y9" s="447">
        <f>'HQ-รายวัน'!Y33</f>
        <v>0.45595854922279794</v>
      </c>
      <c r="Z9" s="447">
        <f>'HQ-รายวัน'!Z33</f>
        <v>0.54404145077720212</v>
      </c>
      <c r="AA9" s="447">
        <f>'HQ-รายวัน'!AA33</f>
        <v>0.54404145077720212</v>
      </c>
      <c r="AB9" s="447">
        <f>'HQ-รายวัน'!AB33</f>
        <v>0.54404145077720212</v>
      </c>
      <c r="AC9" s="447">
        <f>'HQ-รายวัน'!AC33</f>
        <v>0.61658031088082899</v>
      </c>
      <c r="AD9" s="447">
        <f>'HQ-รายวัน'!AD33</f>
        <v>0.61658031088082899</v>
      </c>
      <c r="AE9" s="447">
        <f>'HQ-รายวัน'!AE33</f>
        <v>0.61658031088082899</v>
      </c>
      <c r="AF9" s="447">
        <f>'HQ-รายวัน'!AF33</f>
        <v>0.61658031088082899</v>
      </c>
      <c r="AG9" s="447">
        <f>'HQ-รายวัน'!AG33</f>
        <v>0.61658031088082899</v>
      </c>
      <c r="AH9" s="447">
        <f>'HQ-รายวัน'!AH33</f>
        <v>0.61658031088082899</v>
      </c>
      <c r="AI9" s="447">
        <f>'HQ-รายวัน'!AI33</f>
        <v>0.61658031088082899</v>
      </c>
      <c r="AJ9" s="447">
        <f>'HQ-รายวัน'!AJ33</f>
        <v>0.66839378238341973</v>
      </c>
      <c r="AK9" s="447">
        <f>'HQ-รายวัน'!AK33</f>
        <v>0.66839378238341973</v>
      </c>
      <c r="AL9" s="447">
        <f>'HQ-รายวัน'!AL33</f>
        <v>0.7098445595854922</v>
      </c>
      <c r="AM9" s="447">
        <f>'HQ-รายวัน'!AM33</f>
        <v>0.7098445595854922</v>
      </c>
      <c r="AN9" s="447">
        <f>'HQ-รายวัน'!AN33</f>
        <v>0.7098445595854922</v>
      </c>
      <c r="AO9" s="447">
        <f>'HQ-รายวัน'!AO33</f>
        <v>0.7098445595854922</v>
      </c>
      <c r="AP9" s="447">
        <f>'HQ-รายวัน'!AP33</f>
        <v>0.7098445595854922</v>
      </c>
      <c r="AQ9" s="447">
        <f>'HQ-รายวัน'!AQ33</f>
        <v>0.76683937823834192</v>
      </c>
      <c r="AR9" s="447">
        <f>'HQ-รายวัน'!AR33</f>
        <v>0.76683937823834192</v>
      </c>
      <c r="AS9" s="447">
        <f>'HQ-รายวัน'!AS33</f>
        <v>0.76683937823834192</v>
      </c>
      <c r="AT9" s="447">
        <f>'HQ-รายวัน'!AT33</f>
        <v>0.76683937823834192</v>
      </c>
      <c r="AU9" s="447">
        <f>'HQ-รายวัน'!AU33</f>
        <v>0.76683937823834192</v>
      </c>
      <c r="AV9" s="447">
        <f>'HQ-รายวัน'!AV33</f>
        <v>0.76683937823834192</v>
      </c>
      <c r="AW9" s="447">
        <f>'HQ-รายวัน'!AW33</f>
        <v>0.76683937823834192</v>
      </c>
      <c r="AX9" s="447">
        <f>'HQ-รายวัน'!AX33</f>
        <v>0.76683937823834192</v>
      </c>
      <c r="AY9" s="447">
        <f>'HQ-รายวัน'!AY33</f>
        <v>0.80310880829015541</v>
      </c>
      <c r="AZ9" s="447">
        <f>'HQ-รายวัน'!AZ33</f>
        <v>0.81347150259067358</v>
      </c>
      <c r="BA9" s="447">
        <f>'HQ-รายวัน'!BA33</f>
        <v>0.81347150259067358</v>
      </c>
      <c r="BB9" s="447">
        <f>'HQ-รายวัน'!BB33</f>
        <v>0.84455958549222798</v>
      </c>
      <c r="BC9" s="447">
        <f>'HQ-รายวัน'!BC33</f>
        <v>0.84455958549222798</v>
      </c>
      <c r="BD9" s="447">
        <f>'HQ-รายวัน'!BD33</f>
        <v>0.84455958549222798</v>
      </c>
      <c r="BE9" s="447">
        <f>'HQ-รายวัน'!BE33</f>
        <v>0.84455958549222798</v>
      </c>
      <c r="BF9" s="447">
        <f>'HQ-รายวัน'!BF33</f>
        <v>0.84455958549222798</v>
      </c>
      <c r="BG9" s="447">
        <f>'HQ-รายวัน'!BG33</f>
        <v>0.90673575129533679</v>
      </c>
      <c r="BH9" s="447">
        <f>'HQ-รายวัน'!BH33</f>
        <v>0.90673575129533679</v>
      </c>
      <c r="BI9" s="447">
        <f>'HQ-รายวัน'!BI33</f>
        <v>0.91709844559585496</v>
      </c>
    </row>
    <row r="10" spans="1:61" ht="18" customHeight="1">
      <c r="A10" s="446" t="s">
        <v>345</v>
      </c>
      <c r="B10" s="447">
        <f>'HQ-รายวัน'!B32</f>
        <v>0.13989637305699482</v>
      </c>
      <c r="C10" s="447">
        <f>'HQ-รายวัน'!C32</f>
        <v>0.13989637305699482</v>
      </c>
      <c r="D10" s="447">
        <f>'HQ-รายวัน'!D32</f>
        <v>0.13989637305699482</v>
      </c>
      <c r="E10" s="447">
        <f>'HQ-รายวัน'!E32</f>
        <v>0.13989637305699482</v>
      </c>
      <c r="F10" s="447">
        <f>'HQ-รายวัน'!F32</f>
        <v>0.13989637305699482</v>
      </c>
      <c r="G10" s="447">
        <f>'HQ-รายวัน'!G32</f>
        <v>0.13989637305699482</v>
      </c>
      <c r="H10" s="447">
        <f>'HQ-รายวัน'!H32</f>
        <v>0.13989637305699482</v>
      </c>
      <c r="I10" s="447">
        <f>'HQ-รายวัน'!I32</f>
        <v>0.13989637305699482</v>
      </c>
      <c r="J10" s="447">
        <f>'HQ-รายวัน'!J32</f>
        <v>0.19170984455958548</v>
      </c>
      <c r="K10" s="447">
        <f>'HQ-รายวัน'!K32</f>
        <v>0.19170984455958548</v>
      </c>
      <c r="L10" s="447">
        <f>'HQ-รายวัน'!L32</f>
        <v>0.19170984455958548</v>
      </c>
      <c r="M10" s="447">
        <f>'HQ-รายวัน'!M32</f>
        <v>0.19170984455958548</v>
      </c>
      <c r="N10" s="447">
        <f>'HQ-รายวัน'!N32</f>
        <v>0.19170984455958548</v>
      </c>
      <c r="O10" s="447">
        <f>'HQ-รายวัน'!O32</f>
        <v>0.19170984455958548</v>
      </c>
      <c r="P10" s="447">
        <f>'HQ-รายวัน'!P32</f>
        <v>0.19170984455958548</v>
      </c>
      <c r="Q10" s="447">
        <f>'HQ-รายวัน'!Q32</f>
        <v>0.21761658031088082</v>
      </c>
      <c r="R10" s="447">
        <f>'HQ-รายวัน'!R32</f>
        <v>0.21761658031088082</v>
      </c>
      <c r="S10" s="447">
        <f>'HQ-รายวัน'!S32</f>
        <v>0.23834196891191708</v>
      </c>
      <c r="T10" s="447">
        <f>'HQ-รายวัน'!T32</f>
        <v>0.23834196891191708</v>
      </c>
      <c r="U10" s="447">
        <f>'HQ-รายวัน'!U32</f>
        <v>0.23834196891191708</v>
      </c>
      <c r="V10" s="447">
        <f>'HQ-รายวัน'!V32</f>
        <v>0.31606217616580312</v>
      </c>
      <c r="W10" s="447">
        <f>'HQ-รายวัน'!W32</f>
        <v>0.31606217616580312</v>
      </c>
      <c r="X10" s="447">
        <f>'HQ-รายวัน'!X32</f>
        <v>0.41968911917098445</v>
      </c>
      <c r="Y10" s="447">
        <f>'HQ-รายวัน'!Y32</f>
        <v>0.41968911917098445</v>
      </c>
      <c r="Z10" s="447">
        <f>'HQ-รายวัน'!Z32</f>
        <v>0.50777202072538863</v>
      </c>
      <c r="AA10" s="447">
        <f>'HQ-รายวัน'!AA32</f>
        <v>0.50777202072538863</v>
      </c>
      <c r="AB10" s="447">
        <f>'HQ-รายวัน'!AB32</f>
        <v>0.50777202072538863</v>
      </c>
      <c r="AC10" s="447">
        <f>'HQ-รายวัน'!AC32</f>
        <v>0.5803108808290155</v>
      </c>
      <c r="AD10" s="447">
        <f>'HQ-รายวัน'!AD32</f>
        <v>0.5803108808290155</v>
      </c>
      <c r="AE10" s="447">
        <f>'HQ-รายวัน'!AE32</f>
        <v>0.5803108808290155</v>
      </c>
      <c r="AF10" s="447">
        <f>'HQ-รายวัน'!AF32</f>
        <v>0.5803108808290155</v>
      </c>
      <c r="AG10" s="447">
        <f>'HQ-รายวัน'!AG32</f>
        <v>0.5803108808290155</v>
      </c>
      <c r="AH10" s="447">
        <f>'HQ-รายวัน'!AH32</f>
        <v>0.5803108808290155</v>
      </c>
      <c r="AI10" s="447">
        <f>'HQ-รายวัน'!AI32</f>
        <v>0.5803108808290155</v>
      </c>
      <c r="AJ10" s="447">
        <f>'HQ-รายวัน'!AJ32</f>
        <v>0.63212435233160624</v>
      </c>
      <c r="AK10" s="447">
        <f>'HQ-รายวัน'!AK32</f>
        <v>0.63212435233160624</v>
      </c>
      <c r="AL10" s="447">
        <f>'HQ-รายวัน'!AL32</f>
        <v>0.67357512953367871</v>
      </c>
      <c r="AM10" s="447">
        <f>'HQ-รายวัน'!AM32</f>
        <v>0.67357512953367871</v>
      </c>
      <c r="AN10" s="447">
        <f>'HQ-รายวัน'!AN32</f>
        <v>0.67357512953367871</v>
      </c>
      <c r="AO10" s="447">
        <f>'HQ-รายวัน'!AO32</f>
        <v>0.67357512953367871</v>
      </c>
      <c r="AP10" s="447">
        <f>'HQ-รายวัน'!AP32</f>
        <v>0.67357512953367871</v>
      </c>
      <c r="AQ10" s="447">
        <f>'HQ-รายวัน'!AQ32</f>
        <v>0.73056994818652854</v>
      </c>
      <c r="AR10" s="447">
        <f>'HQ-รายวัน'!AR32</f>
        <v>0.73056994818652854</v>
      </c>
      <c r="AS10" s="447">
        <f>'HQ-รายวัน'!AS32</f>
        <v>0.73056994818652854</v>
      </c>
      <c r="AT10" s="447">
        <f>'HQ-รายวัน'!AT32</f>
        <v>0.73056994818652854</v>
      </c>
      <c r="AU10" s="447">
        <f>'HQ-รายวัน'!AU32</f>
        <v>0.73056994818652854</v>
      </c>
      <c r="AV10" s="447">
        <f>'HQ-รายวัน'!AV32</f>
        <v>0.73056994818652854</v>
      </c>
      <c r="AW10" s="447">
        <f>'HQ-รายวัน'!AW32</f>
        <v>0.73056994818652854</v>
      </c>
      <c r="AX10" s="447">
        <f>'HQ-รายวัน'!AX32</f>
        <v>0.73056994818652854</v>
      </c>
      <c r="AY10" s="447">
        <f>'HQ-รายวัน'!AY32</f>
        <v>0.76683937823834192</v>
      </c>
      <c r="AZ10" s="447"/>
      <c r="BA10" s="447"/>
      <c r="BB10" s="447"/>
      <c r="BC10" s="447"/>
      <c r="BD10" s="447"/>
      <c r="BE10" s="447"/>
      <c r="BF10" s="447"/>
      <c r="BG10" s="447"/>
      <c r="BH10" s="447"/>
      <c r="BI10" s="447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D8CA-DBD0-4AEA-BC88-328C14039933}">
  <dimension ref="A1:S741"/>
  <sheetViews>
    <sheetView zoomScale="80" zoomScaleNormal="80" workbookViewId="0">
      <selection activeCell="J3" sqref="J3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32.6640625" customWidth="1"/>
    <col min="5" max="5" width="23.88671875" bestFit="1" customWidth="1"/>
    <col min="6" max="6" width="9.5546875" bestFit="1" customWidth="1"/>
    <col min="7" max="7" width="12.44140625" customWidth="1"/>
    <col min="8" max="8" width="14.88671875" bestFit="1" customWidth="1"/>
    <col min="9" max="9" width="15" customWidth="1"/>
    <col min="10" max="10" width="11.44140625"/>
    <col min="11" max="11" width="11.33203125" bestFit="1" customWidth="1"/>
    <col min="12" max="12" width="53" bestFit="1" customWidth="1"/>
    <col min="13" max="13" width="17.88671875" style="197" bestFit="1" customWidth="1"/>
    <col min="14" max="14" width="16" style="197" bestFit="1" customWidth="1"/>
    <col min="15" max="15" width="14.33203125" style="197" bestFit="1" customWidth="1"/>
    <col min="16" max="16" width="11" style="197" bestFit="1" customWidth="1"/>
    <col min="17" max="17" width="13.33203125" style="197" bestFit="1" customWidth="1"/>
    <col min="18" max="19" width="8.6640625" style="415" bestFit="1" customWidth="1"/>
    <col min="20" max="16384" width="9.109375" style="214"/>
  </cols>
  <sheetData>
    <row r="1" spans="1:19" ht="31.2">
      <c r="A1" s="371" t="s">
        <v>0</v>
      </c>
      <c r="B1" s="372" t="s">
        <v>353</v>
      </c>
      <c r="C1" s="373" t="s">
        <v>354</v>
      </c>
      <c r="D1" s="373" t="s">
        <v>355</v>
      </c>
      <c r="E1" s="373" t="s">
        <v>356</v>
      </c>
      <c r="F1" s="373" t="s">
        <v>357</v>
      </c>
      <c r="G1" s="373" t="s">
        <v>358</v>
      </c>
      <c r="H1" s="373" t="s">
        <v>23</v>
      </c>
      <c r="I1" s="373" t="s">
        <v>359</v>
      </c>
      <c r="J1" s="373" t="s">
        <v>3</v>
      </c>
      <c r="K1" t="s">
        <v>31</v>
      </c>
      <c r="L1" s="373" t="s">
        <v>360</v>
      </c>
      <c r="M1" s="367" t="s">
        <v>26</v>
      </c>
      <c r="N1" s="367" t="s">
        <v>27</v>
      </c>
      <c r="O1" s="367" t="s">
        <v>28</v>
      </c>
      <c r="P1" s="368" t="s">
        <v>29</v>
      </c>
      <c r="Q1" s="369" t="s">
        <v>30</v>
      </c>
      <c r="R1" s="413" t="s">
        <v>361</v>
      </c>
      <c r="S1" s="413" t="s">
        <v>33</v>
      </c>
    </row>
    <row r="2" spans="1:19">
      <c r="A2">
        <v>1</v>
      </c>
      <c r="B2" s="687" t="s">
        <v>362</v>
      </c>
      <c r="C2" s="688" t="s">
        <v>363</v>
      </c>
      <c r="D2" s="689" t="s">
        <v>41</v>
      </c>
      <c r="E2" s="689" t="s">
        <v>364</v>
      </c>
      <c r="F2" s="689">
        <v>176</v>
      </c>
      <c r="G2" s="689"/>
      <c r="H2" s="695"/>
      <c r="I2" s="695">
        <v>46105</v>
      </c>
      <c r="J2" s="689" t="s">
        <v>365</v>
      </c>
      <c r="K2" t="str">
        <f>IF(ISNUMBER(SEARCH("Access Point",E2)),"AP",IF(OR(ISNUMBER(SEARCH("Switch",E2)),ISNUMBER(SEARCH("Control Type",E2))),"Switch","Infra"))</f>
        <v>AP</v>
      </c>
      <c r="M2" s="412">
        <f t="shared" ref="M2:M65" si="0">O2</f>
        <v>0</v>
      </c>
      <c r="N2" s="412">
        <f t="shared" ref="N2:N4" si="1">O2</f>
        <v>0</v>
      </c>
      <c r="O2" s="412">
        <f>All_Detail_v2[[#This Row],[Qty. Success]]</f>
        <v>0</v>
      </c>
      <c r="P2" s="230">
        <f>IF(All_Detail_v2[[#This Row],[Qty]]=0,1,(M2+N2+O2)/(All_Detail_v2[[#This Row],[Qty]]*3))</f>
        <v>0</v>
      </c>
      <c r="Q2" s="195"/>
      <c r="R2" s="414">
        <f>All_Detail_v2[[#This Row],[Scheduled Date]]</f>
        <v>46105</v>
      </c>
      <c r="S2" s="414">
        <f>All_Detail_v2[[#This Row],[Install Date]]</f>
        <v>0</v>
      </c>
    </row>
    <row r="3" spans="1:19">
      <c r="A3">
        <v>2</v>
      </c>
      <c r="B3" s="687" t="s">
        <v>362</v>
      </c>
      <c r="C3" s="688" t="s">
        <v>363</v>
      </c>
      <c r="D3" s="689" t="s">
        <v>366</v>
      </c>
      <c r="E3" s="689" t="s">
        <v>367</v>
      </c>
      <c r="F3" s="689">
        <v>4</v>
      </c>
      <c r="G3" s="689">
        <v>4</v>
      </c>
      <c r="H3" s="695">
        <v>46073</v>
      </c>
      <c r="I3" s="695">
        <v>46073</v>
      </c>
      <c r="J3" s="689" t="s">
        <v>368</v>
      </c>
      <c r="K3" t="str">
        <f t="shared" ref="K3:K66" si="2">IF(ISNUMBER(SEARCH("Access Point",E3)),"AP",IF(OR(ISNUMBER(SEARCH("Switch",E3)),ISNUMBER(SEARCH("Control Type",E3))),"Switch","Infra"))</f>
        <v>Switch</v>
      </c>
      <c r="M3" s="412">
        <f t="shared" si="0"/>
        <v>4</v>
      </c>
      <c r="N3" s="412">
        <f t="shared" si="1"/>
        <v>4</v>
      </c>
      <c r="O3" s="412">
        <f>All_Detail_v2[[#This Row],[Qty. Success]]</f>
        <v>4</v>
      </c>
      <c r="P3" s="230">
        <f>IF(All_Detail_v2[[#This Row],[Qty]]=0,1,(M3+N3+O3)/(All_Detail_v2[[#This Row],[Qty]]*3))</f>
        <v>1</v>
      </c>
      <c r="Q3" s="195"/>
      <c r="R3" s="414">
        <f>All_Detail_v2[[#This Row],[Scheduled Date]]</f>
        <v>46073</v>
      </c>
      <c r="S3" s="414">
        <f>All_Detail_v2[[#This Row],[Install Date]]</f>
        <v>46073</v>
      </c>
    </row>
    <row r="4" spans="1:19">
      <c r="A4">
        <v>3</v>
      </c>
      <c r="B4" s="687" t="s">
        <v>362</v>
      </c>
      <c r="C4" s="688" t="s">
        <v>363</v>
      </c>
      <c r="D4" s="689" t="s">
        <v>369</v>
      </c>
      <c r="E4" s="689" t="s">
        <v>370</v>
      </c>
      <c r="F4" s="689">
        <v>2</v>
      </c>
      <c r="G4" s="689"/>
      <c r="H4" s="695"/>
      <c r="I4" s="695">
        <v>46129</v>
      </c>
      <c r="J4" s="689" t="s">
        <v>365</v>
      </c>
      <c r="K4" t="str">
        <f t="shared" si="2"/>
        <v>Switch</v>
      </c>
      <c r="M4" s="412">
        <f t="shared" si="0"/>
        <v>0</v>
      </c>
      <c r="N4" s="412">
        <f t="shared" si="1"/>
        <v>0</v>
      </c>
      <c r="O4" s="412">
        <f>All_Detail_v2[[#This Row],[Qty. Success]]</f>
        <v>0</v>
      </c>
      <c r="P4" s="230">
        <f>IF(All_Detail_v2[[#This Row],[Qty]]=0,1,(M4+N4+O4)/(All_Detail_v2[[#This Row],[Qty]]*3))</f>
        <v>0</v>
      </c>
      <c r="Q4" s="195"/>
      <c r="R4" s="414">
        <f>All_Detail_v2[[#This Row],[Scheduled Date]]</f>
        <v>46129</v>
      </c>
      <c r="S4" s="414">
        <f>All_Detail_v2[[#This Row],[Install Date]]</f>
        <v>0</v>
      </c>
    </row>
    <row r="5" spans="1:19">
      <c r="A5">
        <v>4</v>
      </c>
      <c r="B5" s="687" t="s">
        <v>362</v>
      </c>
      <c r="C5" s="688" t="s">
        <v>363</v>
      </c>
      <c r="D5" s="689" t="s">
        <v>371</v>
      </c>
      <c r="E5" s="689" t="s">
        <v>372</v>
      </c>
      <c r="F5" s="689">
        <v>2</v>
      </c>
      <c r="G5" s="689">
        <v>2</v>
      </c>
      <c r="H5" s="695">
        <v>46063</v>
      </c>
      <c r="I5" s="695">
        <v>46070</v>
      </c>
      <c r="J5" s="689" t="s">
        <v>368</v>
      </c>
      <c r="K5" t="str">
        <f t="shared" si="2"/>
        <v>Switch</v>
      </c>
      <c r="M5" s="412">
        <f>O5</f>
        <v>2</v>
      </c>
      <c r="N5" s="412">
        <f>O5</f>
        <v>2</v>
      </c>
      <c r="O5" s="412">
        <f>All_Detail_v2[[#This Row],[Qty. Success]]</f>
        <v>2</v>
      </c>
      <c r="P5" s="230">
        <f>IF(All_Detail_v2[[#This Row],[Qty]]=0,1,(M5+N5+O5)/(All_Detail_v2[[#This Row],[Qty]]*3))</f>
        <v>1</v>
      </c>
      <c r="Q5" s="195"/>
      <c r="R5" s="414">
        <f>All_Detail_v2[[#This Row],[Scheduled Date]]</f>
        <v>46070</v>
      </c>
      <c r="S5" s="414">
        <f>All_Detail_v2[[#This Row],[Install Date]]</f>
        <v>46063</v>
      </c>
    </row>
    <row r="6" spans="1:19">
      <c r="A6">
        <v>5</v>
      </c>
      <c r="B6" s="687" t="s">
        <v>362</v>
      </c>
      <c r="C6" s="688" t="s">
        <v>363</v>
      </c>
      <c r="D6" s="689" t="s">
        <v>373</v>
      </c>
      <c r="E6" s="689" t="s">
        <v>374</v>
      </c>
      <c r="F6" s="689">
        <v>5</v>
      </c>
      <c r="G6" s="689"/>
      <c r="H6" s="695"/>
      <c r="I6" s="695">
        <v>46129</v>
      </c>
      <c r="J6" s="689" t="s">
        <v>365</v>
      </c>
      <c r="K6" t="str">
        <f t="shared" si="2"/>
        <v>Switch</v>
      </c>
      <c r="M6" s="412">
        <f t="shared" si="0"/>
        <v>0</v>
      </c>
      <c r="N6" s="412">
        <f t="shared" ref="N6:N69" si="3">O6</f>
        <v>0</v>
      </c>
      <c r="O6" s="412">
        <f>All_Detail_v2[[#This Row],[Qty. Success]]</f>
        <v>0</v>
      </c>
      <c r="P6" s="230">
        <f>IF(All_Detail_v2[[#This Row],[Qty]]=0,1,(M6+N6+O6)/(All_Detail_v2[[#This Row],[Qty]]*3))</f>
        <v>0</v>
      </c>
      <c r="Q6" s="195"/>
      <c r="R6" s="414">
        <f>All_Detail_v2[[#This Row],[Scheduled Date]]</f>
        <v>46129</v>
      </c>
      <c r="S6" s="414">
        <f>All_Detail_v2[[#This Row],[Install Date]]</f>
        <v>0</v>
      </c>
    </row>
    <row r="7" spans="1:19">
      <c r="A7">
        <v>6</v>
      </c>
      <c r="B7" s="687" t="s">
        <v>362</v>
      </c>
      <c r="C7" s="688" t="s">
        <v>363</v>
      </c>
      <c r="D7" s="689" t="s">
        <v>373</v>
      </c>
      <c r="E7" s="689" t="s">
        <v>375</v>
      </c>
      <c r="F7" s="689">
        <v>1</v>
      </c>
      <c r="G7" s="689"/>
      <c r="H7" s="695"/>
      <c r="I7" s="695">
        <v>46129</v>
      </c>
      <c r="J7" s="689" t="s">
        <v>365</v>
      </c>
      <c r="K7" t="str">
        <f t="shared" si="2"/>
        <v>Switch</v>
      </c>
      <c r="M7" s="412">
        <f t="shared" si="0"/>
        <v>0</v>
      </c>
      <c r="N7" s="412">
        <f t="shared" si="3"/>
        <v>0</v>
      </c>
      <c r="O7" s="412">
        <f>All_Detail_v2[[#This Row],[Qty. Success]]</f>
        <v>0</v>
      </c>
      <c r="P7" s="230">
        <f>IF(All_Detail_v2[[#This Row],[Qty]]=0,1,(M7+N7+O7)/(All_Detail_v2[[#This Row],[Qty]]*3))</f>
        <v>0</v>
      </c>
      <c r="Q7" s="195"/>
      <c r="R7" s="414">
        <f>All_Detail_v2[[#This Row],[Scheduled Date]]</f>
        <v>46129</v>
      </c>
      <c r="S7" s="414">
        <f>All_Detail_v2[[#This Row],[Install Date]]</f>
        <v>0</v>
      </c>
    </row>
    <row r="8" spans="1:19">
      <c r="A8">
        <v>7</v>
      </c>
      <c r="B8" s="687" t="s">
        <v>362</v>
      </c>
      <c r="C8" s="688" t="s">
        <v>363</v>
      </c>
      <c r="D8" s="689" t="s">
        <v>376</v>
      </c>
      <c r="E8" s="689" t="s">
        <v>367</v>
      </c>
      <c r="F8" s="689">
        <v>4</v>
      </c>
      <c r="G8" s="689">
        <v>4</v>
      </c>
      <c r="H8" s="695">
        <v>46072</v>
      </c>
      <c r="I8" s="695">
        <v>46072</v>
      </c>
      <c r="J8" s="689" t="s">
        <v>368</v>
      </c>
      <c r="K8" t="str">
        <f t="shared" si="2"/>
        <v>Switch</v>
      </c>
      <c r="M8" s="412">
        <f t="shared" si="0"/>
        <v>4</v>
      </c>
      <c r="N8" s="412">
        <f t="shared" si="3"/>
        <v>4</v>
      </c>
      <c r="O8" s="412">
        <f>All_Detail_v2[[#This Row],[Qty. Success]]</f>
        <v>4</v>
      </c>
      <c r="P8" s="230">
        <f>IF(All_Detail_v2[[#This Row],[Qty]]=0,1,(M8+N8+O8)/(All_Detail_v2[[#This Row],[Qty]]*3))</f>
        <v>1</v>
      </c>
      <c r="Q8" s="195"/>
      <c r="R8" s="414">
        <f>All_Detail_v2[[#This Row],[Scheduled Date]]</f>
        <v>46072</v>
      </c>
      <c r="S8" s="414">
        <f>All_Detail_v2[[#This Row],[Install Date]]</f>
        <v>46072</v>
      </c>
    </row>
    <row r="9" spans="1:19">
      <c r="A9">
        <v>8</v>
      </c>
      <c r="B9" s="687" t="s">
        <v>362</v>
      </c>
      <c r="C9" s="688" t="s">
        <v>363</v>
      </c>
      <c r="D9" s="689" t="s">
        <v>377</v>
      </c>
      <c r="E9" s="689" t="s">
        <v>374</v>
      </c>
      <c r="F9" s="689">
        <v>3</v>
      </c>
      <c r="G9" s="689">
        <v>3</v>
      </c>
      <c r="H9" s="695">
        <v>46090</v>
      </c>
      <c r="I9" s="695">
        <v>46090</v>
      </c>
      <c r="J9" s="689" t="s">
        <v>368</v>
      </c>
      <c r="K9" t="str">
        <f t="shared" si="2"/>
        <v>Switch</v>
      </c>
      <c r="M9" s="412">
        <f t="shared" si="0"/>
        <v>3</v>
      </c>
      <c r="N9" s="412">
        <f t="shared" si="3"/>
        <v>3</v>
      </c>
      <c r="O9" s="412">
        <f>All_Detail_v2[[#This Row],[Qty. Success]]</f>
        <v>3</v>
      </c>
      <c r="P9" s="230">
        <f>IF(All_Detail_v2[[#This Row],[Qty]]=0,1,(M9+N9+O9)/(All_Detail_v2[[#This Row],[Qty]]*3))</f>
        <v>1</v>
      </c>
      <c r="Q9" s="195"/>
      <c r="R9" s="414">
        <f>All_Detail_v2[[#This Row],[Scheduled Date]]</f>
        <v>46090</v>
      </c>
      <c r="S9" s="414">
        <f>All_Detail_v2[[#This Row],[Install Date]]</f>
        <v>46090</v>
      </c>
    </row>
    <row r="10" spans="1:19">
      <c r="A10">
        <v>9</v>
      </c>
      <c r="B10" s="687" t="s">
        <v>362</v>
      </c>
      <c r="C10" s="688" t="s">
        <v>363</v>
      </c>
      <c r="D10" s="689" t="s">
        <v>377</v>
      </c>
      <c r="E10" s="689" t="s">
        <v>375</v>
      </c>
      <c r="F10" s="689">
        <v>7</v>
      </c>
      <c r="G10" s="689">
        <v>7</v>
      </c>
      <c r="H10" s="695">
        <v>46090</v>
      </c>
      <c r="I10" s="695">
        <v>46090</v>
      </c>
      <c r="J10" s="689" t="s">
        <v>368</v>
      </c>
      <c r="K10" t="str">
        <f t="shared" si="2"/>
        <v>Switch</v>
      </c>
      <c r="M10" s="412">
        <f t="shared" si="0"/>
        <v>7</v>
      </c>
      <c r="N10" s="412">
        <f t="shared" si="3"/>
        <v>7</v>
      </c>
      <c r="O10" s="412">
        <f>All_Detail_v2[[#This Row],[Qty. Success]]</f>
        <v>7</v>
      </c>
      <c r="P10" s="230">
        <f>IF(All_Detail_v2[[#This Row],[Qty]]=0,1,(M10+N10+O10)/(All_Detail_v2[[#This Row],[Qty]]*3))</f>
        <v>1</v>
      </c>
      <c r="Q10" s="195"/>
      <c r="R10" s="414">
        <f>All_Detail_v2[[#This Row],[Scheduled Date]]</f>
        <v>46090</v>
      </c>
      <c r="S10" s="414">
        <f>All_Detail_v2[[#This Row],[Install Date]]</f>
        <v>46090</v>
      </c>
    </row>
    <row r="11" spans="1:19">
      <c r="A11">
        <v>10</v>
      </c>
      <c r="B11" s="687" t="s">
        <v>362</v>
      </c>
      <c r="C11" s="688" t="s">
        <v>363</v>
      </c>
      <c r="D11" s="689" t="s">
        <v>378</v>
      </c>
      <c r="E11" s="689" t="s">
        <v>374</v>
      </c>
      <c r="F11" s="689">
        <v>5</v>
      </c>
      <c r="G11" s="689">
        <v>5</v>
      </c>
      <c r="H11" s="695">
        <v>46072</v>
      </c>
      <c r="I11" s="695">
        <v>46072</v>
      </c>
      <c r="J11" s="689" t="s">
        <v>368</v>
      </c>
      <c r="K11" t="str">
        <f t="shared" si="2"/>
        <v>Switch</v>
      </c>
      <c r="M11" s="412">
        <f t="shared" si="0"/>
        <v>5</v>
      </c>
      <c r="N11" s="412">
        <f t="shared" si="3"/>
        <v>5</v>
      </c>
      <c r="O11" s="412">
        <f>All_Detail_v2[[#This Row],[Qty. Success]]</f>
        <v>5</v>
      </c>
      <c r="P11" s="230">
        <f>IF(All_Detail_v2[[#This Row],[Qty]]=0,1,(M11+N11+O11)/(All_Detail_v2[[#This Row],[Qty]]*3))</f>
        <v>1</v>
      </c>
      <c r="Q11" s="195"/>
      <c r="R11" s="414">
        <f>All_Detail_v2[[#This Row],[Scheduled Date]]</f>
        <v>46072</v>
      </c>
      <c r="S11" s="414">
        <f>All_Detail_v2[[#This Row],[Install Date]]</f>
        <v>46072</v>
      </c>
    </row>
    <row r="12" spans="1:19">
      <c r="A12">
        <v>11</v>
      </c>
      <c r="B12" s="687" t="s">
        <v>362</v>
      </c>
      <c r="C12" s="688" t="s">
        <v>363</v>
      </c>
      <c r="D12" s="689" t="s">
        <v>378</v>
      </c>
      <c r="E12" s="689" t="s">
        <v>370</v>
      </c>
      <c r="F12" s="689">
        <v>2</v>
      </c>
      <c r="G12" s="689">
        <v>2</v>
      </c>
      <c r="H12" s="695">
        <v>46072</v>
      </c>
      <c r="I12" s="695">
        <v>46072</v>
      </c>
      <c r="J12" s="689" t="s">
        <v>368</v>
      </c>
      <c r="K12" t="str">
        <f t="shared" si="2"/>
        <v>Switch</v>
      </c>
      <c r="M12" s="412">
        <f t="shared" si="0"/>
        <v>2</v>
      </c>
      <c r="N12" s="412">
        <f t="shared" si="3"/>
        <v>2</v>
      </c>
      <c r="O12" s="412">
        <f>All_Detail_v2[[#This Row],[Qty. Success]]</f>
        <v>2</v>
      </c>
      <c r="P12" s="230">
        <f>IF(All_Detail_v2[[#This Row],[Qty]]=0,1,(M12+N12+O12)/(All_Detail_v2[[#This Row],[Qty]]*3))</f>
        <v>1</v>
      </c>
      <c r="Q12" s="195"/>
      <c r="R12" s="414">
        <f>All_Detail_v2[[#This Row],[Scheduled Date]]</f>
        <v>46072</v>
      </c>
      <c r="S12" s="414">
        <f>All_Detail_v2[[#This Row],[Install Date]]</f>
        <v>46072</v>
      </c>
    </row>
    <row r="13" spans="1:19">
      <c r="A13">
        <v>12</v>
      </c>
      <c r="B13" s="687" t="s">
        <v>362</v>
      </c>
      <c r="C13" s="688" t="s">
        <v>363</v>
      </c>
      <c r="D13" s="689" t="s">
        <v>378</v>
      </c>
      <c r="E13" s="689" t="s">
        <v>375</v>
      </c>
      <c r="F13" s="689">
        <v>1</v>
      </c>
      <c r="G13" s="689">
        <v>1</v>
      </c>
      <c r="H13" s="695">
        <v>46072</v>
      </c>
      <c r="I13" s="695">
        <v>46072</v>
      </c>
      <c r="J13" s="689" t="s">
        <v>368</v>
      </c>
      <c r="K13" t="str">
        <f t="shared" si="2"/>
        <v>Switch</v>
      </c>
      <c r="M13" s="412">
        <f t="shared" si="0"/>
        <v>1</v>
      </c>
      <c r="N13" s="412">
        <f t="shared" si="3"/>
        <v>1</v>
      </c>
      <c r="O13" s="412">
        <f>All_Detail_v2[[#This Row],[Qty. Success]]</f>
        <v>1</v>
      </c>
      <c r="P13" s="230">
        <f>IF(All_Detail_v2[[#This Row],[Qty]]=0,1,(M13+N13+O13)/(All_Detail_v2[[#This Row],[Qty]]*3))</f>
        <v>1</v>
      </c>
      <c r="Q13" s="195"/>
      <c r="R13" s="414">
        <f>All_Detail_v2[[#This Row],[Scheduled Date]]</f>
        <v>46072</v>
      </c>
      <c r="S13" s="414">
        <f>All_Detail_v2[[#This Row],[Install Date]]</f>
        <v>46072</v>
      </c>
    </row>
    <row r="14" spans="1:19">
      <c r="A14">
        <v>12</v>
      </c>
      <c r="B14" s="687" t="s">
        <v>362</v>
      </c>
      <c r="C14" s="688" t="s">
        <v>363</v>
      </c>
      <c r="D14" s="689" t="s">
        <v>378</v>
      </c>
      <c r="E14" s="689" t="s">
        <v>364</v>
      </c>
      <c r="F14" s="689">
        <v>12</v>
      </c>
      <c r="G14" s="689">
        <v>12</v>
      </c>
      <c r="H14" s="695">
        <v>46072</v>
      </c>
      <c r="I14" s="695">
        <v>46072</v>
      </c>
      <c r="J14" s="689" t="s">
        <v>368</v>
      </c>
      <c r="K14" t="str">
        <f t="shared" si="2"/>
        <v>AP</v>
      </c>
      <c r="L14" s="633" t="s">
        <v>379</v>
      </c>
      <c r="M14" s="412">
        <f t="shared" si="0"/>
        <v>12</v>
      </c>
      <c r="N14" s="412">
        <f t="shared" si="3"/>
        <v>12</v>
      </c>
      <c r="O14" s="412">
        <f>All_Detail_v2[[#This Row],[Qty. Success]]</f>
        <v>12</v>
      </c>
      <c r="P14" s="230">
        <f>IF(All_Detail_v2[[#This Row],[Qty]]=0,1,(M14+N14+O14)/(All_Detail_v2[[#This Row],[Qty]]*3))</f>
        <v>1</v>
      </c>
      <c r="Q14" s="195"/>
      <c r="R14" s="414">
        <f>All_Detail_v2[[#This Row],[Scheduled Date]]</f>
        <v>46072</v>
      </c>
      <c r="S14" s="414">
        <f>All_Detail_v2[[#This Row],[Install Date]]</f>
        <v>46072</v>
      </c>
    </row>
    <row r="15" spans="1:19">
      <c r="A15">
        <v>13</v>
      </c>
      <c r="B15" s="687" t="s">
        <v>362</v>
      </c>
      <c r="C15" s="688" t="s">
        <v>363</v>
      </c>
      <c r="D15" s="689" t="s">
        <v>380</v>
      </c>
      <c r="E15" s="689" t="s">
        <v>367</v>
      </c>
      <c r="F15" s="689">
        <v>4</v>
      </c>
      <c r="G15" s="689">
        <v>4</v>
      </c>
      <c r="H15" s="695">
        <v>46069</v>
      </c>
      <c r="I15" s="695">
        <v>46069</v>
      </c>
      <c r="J15" s="689" t="s">
        <v>368</v>
      </c>
      <c r="K15" t="str">
        <f t="shared" si="2"/>
        <v>Switch</v>
      </c>
      <c r="M15" s="412">
        <f t="shared" si="0"/>
        <v>4</v>
      </c>
      <c r="N15" s="412">
        <f t="shared" si="3"/>
        <v>4</v>
      </c>
      <c r="O15" s="412">
        <f>All_Detail_v2[[#This Row],[Qty. Success]]</f>
        <v>4</v>
      </c>
      <c r="P15" s="230">
        <f>IF(All_Detail_v2[[#This Row],[Qty]]=0,1,(M15+N15+O15)/(All_Detail_v2[[#This Row],[Qty]]*3))</f>
        <v>1</v>
      </c>
      <c r="Q15" s="195"/>
      <c r="R15" s="414">
        <f>All_Detail_v2[[#This Row],[Scheduled Date]]</f>
        <v>46069</v>
      </c>
      <c r="S15" s="414">
        <f>All_Detail_v2[[#This Row],[Install Date]]</f>
        <v>46069</v>
      </c>
    </row>
    <row r="16" spans="1:19">
      <c r="A16">
        <v>14</v>
      </c>
      <c r="B16" s="687" t="s">
        <v>362</v>
      </c>
      <c r="C16" s="688" t="s">
        <v>363</v>
      </c>
      <c r="D16" s="689" t="s">
        <v>381</v>
      </c>
      <c r="E16" s="689" t="s">
        <v>374</v>
      </c>
      <c r="F16" s="689">
        <v>1</v>
      </c>
      <c r="G16" s="689">
        <v>1</v>
      </c>
      <c r="H16" s="695">
        <v>46071</v>
      </c>
      <c r="I16" s="695">
        <v>46071</v>
      </c>
      <c r="J16" s="689" t="s">
        <v>368</v>
      </c>
      <c r="K16" t="str">
        <f t="shared" si="2"/>
        <v>Switch</v>
      </c>
      <c r="M16" s="412">
        <f t="shared" si="0"/>
        <v>1</v>
      </c>
      <c r="N16" s="412">
        <f t="shared" si="3"/>
        <v>1</v>
      </c>
      <c r="O16" s="412">
        <f>All_Detail_v2[[#This Row],[Qty. Success]]</f>
        <v>1</v>
      </c>
      <c r="P16" s="230">
        <f>IF(All_Detail_v2[[#This Row],[Qty]]=0,1,(M16+N16+O16)/(All_Detail_v2[[#This Row],[Qty]]*3))</f>
        <v>1</v>
      </c>
      <c r="Q16" s="195"/>
      <c r="R16" s="414">
        <f>All_Detail_v2[[#This Row],[Scheduled Date]]</f>
        <v>46071</v>
      </c>
      <c r="S16" s="414">
        <f>All_Detail_v2[[#This Row],[Install Date]]</f>
        <v>46071</v>
      </c>
    </row>
    <row r="17" spans="1:19">
      <c r="A17">
        <v>15</v>
      </c>
      <c r="B17" s="687" t="s">
        <v>362</v>
      </c>
      <c r="C17" s="688" t="s">
        <v>363</v>
      </c>
      <c r="D17" s="689" t="s">
        <v>381</v>
      </c>
      <c r="E17" s="689" t="s">
        <v>375</v>
      </c>
      <c r="F17" s="689">
        <v>2</v>
      </c>
      <c r="G17" s="689">
        <v>2</v>
      </c>
      <c r="H17" s="695">
        <v>46071</v>
      </c>
      <c r="I17" s="695">
        <v>46071</v>
      </c>
      <c r="J17" s="689" t="s">
        <v>368</v>
      </c>
      <c r="K17" t="str">
        <f t="shared" si="2"/>
        <v>Switch</v>
      </c>
      <c r="M17" s="412">
        <f t="shared" si="0"/>
        <v>2</v>
      </c>
      <c r="N17" s="412">
        <f t="shared" si="3"/>
        <v>2</v>
      </c>
      <c r="O17" s="412">
        <f>All_Detail_v2[[#This Row],[Qty. Success]]</f>
        <v>2</v>
      </c>
      <c r="P17" s="230">
        <f>IF(All_Detail_v2[[#This Row],[Qty]]=0,1,(M17+N17+O17)/(All_Detail_v2[[#This Row],[Qty]]*3))</f>
        <v>1</v>
      </c>
      <c r="Q17" s="195"/>
      <c r="R17" s="414">
        <f>All_Detail_v2[[#This Row],[Scheduled Date]]</f>
        <v>46071</v>
      </c>
      <c r="S17" s="414">
        <f>All_Detail_v2[[#This Row],[Install Date]]</f>
        <v>46071</v>
      </c>
    </row>
    <row r="18" spans="1:19">
      <c r="A18">
        <v>16</v>
      </c>
      <c r="B18" s="687" t="s">
        <v>362</v>
      </c>
      <c r="C18" s="688" t="s">
        <v>363</v>
      </c>
      <c r="D18" s="689" t="s">
        <v>381</v>
      </c>
      <c r="E18" s="689" t="s">
        <v>364</v>
      </c>
      <c r="F18" s="689">
        <v>9</v>
      </c>
      <c r="G18" s="689">
        <v>9</v>
      </c>
      <c r="H18" s="695">
        <v>46071</v>
      </c>
      <c r="I18" s="695">
        <v>46071</v>
      </c>
      <c r="J18" s="689" t="s">
        <v>368</v>
      </c>
      <c r="K18" t="str">
        <f t="shared" si="2"/>
        <v>AP</v>
      </c>
      <c r="L18" s="633" t="s">
        <v>379</v>
      </c>
      <c r="M18" s="412">
        <f t="shared" si="0"/>
        <v>9</v>
      </c>
      <c r="N18" s="412">
        <f t="shared" si="3"/>
        <v>9</v>
      </c>
      <c r="O18" s="412">
        <f>All_Detail_v2[[#This Row],[Qty. Success]]</f>
        <v>9</v>
      </c>
      <c r="P18" s="230">
        <f>IF(All_Detail_v2[[#This Row],[Qty]]=0,1,(M18+N18+O18)/(All_Detail_v2[[#This Row],[Qty]]*3))</f>
        <v>1</v>
      </c>
      <c r="Q18" s="195"/>
      <c r="R18" s="414">
        <f>All_Detail_v2[[#This Row],[Scheduled Date]]</f>
        <v>46071</v>
      </c>
      <c r="S18" s="414">
        <f>All_Detail_v2[[#This Row],[Install Date]]</f>
        <v>46071</v>
      </c>
    </row>
    <row r="19" spans="1:19">
      <c r="A19">
        <v>17</v>
      </c>
      <c r="B19" s="687" t="s">
        <v>362</v>
      </c>
      <c r="C19" s="688" t="s">
        <v>363</v>
      </c>
      <c r="D19" s="689" t="s">
        <v>382</v>
      </c>
      <c r="E19" s="689" t="s">
        <v>374</v>
      </c>
      <c r="F19" s="689">
        <v>4</v>
      </c>
      <c r="G19" s="689">
        <v>4</v>
      </c>
      <c r="H19" s="695">
        <v>46091</v>
      </c>
      <c r="I19" s="695">
        <v>46091</v>
      </c>
      <c r="J19" s="689" t="s">
        <v>368</v>
      </c>
      <c r="K19" t="str">
        <f t="shared" si="2"/>
        <v>Switch</v>
      </c>
      <c r="M19" s="412">
        <f t="shared" si="0"/>
        <v>4</v>
      </c>
      <c r="N19" s="412">
        <f t="shared" si="3"/>
        <v>4</v>
      </c>
      <c r="O19" s="412">
        <f>All_Detail_v2[[#This Row],[Qty. Success]]</f>
        <v>4</v>
      </c>
      <c r="P19" s="230">
        <f>IF(All_Detail_v2[[#This Row],[Qty]]=0,1,(M19+N19+O19)/(All_Detail_v2[[#This Row],[Qty]]*3))</f>
        <v>1</v>
      </c>
      <c r="Q19" s="195"/>
      <c r="R19" s="414">
        <f>All_Detail_v2[[#This Row],[Scheduled Date]]</f>
        <v>46091</v>
      </c>
      <c r="S19" s="414">
        <f>All_Detail_v2[[#This Row],[Install Date]]</f>
        <v>46091</v>
      </c>
    </row>
    <row r="20" spans="1:19">
      <c r="A20">
        <v>18</v>
      </c>
      <c r="B20" s="687" t="s">
        <v>362</v>
      </c>
      <c r="C20" s="688" t="s">
        <v>363</v>
      </c>
      <c r="D20" s="689" t="s">
        <v>382</v>
      </c>
      <c r="E20" s="689" t="s">
        <v>375</v>
      </c>
      <c r="F20" s="689">
        <v>1</v>
      </c>
      <c r="G20" s="689">
        <v>1</v>
      </c>
      <c r="H20" s="695">
        <v>46091</v>
      </c>
      <c r="I20" s="695">
        <v>46091</v>
      </c>
      <c r="J20" s="689" t="s">
        <v>368</v>
      </c>
      <c r="K20" t="str">
        <f t="shared" si="2"/>
        <v>Switch</v>
      </c>
      <c r="M20" s="412">
        <f t="shared" si="0"/>
        <v>1</v>
      </c>
      <c r="N20" s="412">
        <f t="shared" si="3"/>
        <v>1</v>
      </c>
      <c r="O20" s="412">
        <f>All_Detail_v2[[#This Row],[Qty. Success]]</f>
        <v>1</v>
      </c>
      <c r="P20" s="230">
        <f>IF(All_Detail_v2[[#This Row],[Qty]]=0,1,(M20+N20+O20)/(All_Detail_v2[[#This Row],[Qty]]*3))</f>
        <v>1</v>
      </c>
      <c r="Q20" s="195"/>
      <c r="R20" s="414">
        <f>All_Detail_v2[[#This Row],[Scheduled Date]]</f>
        <v>46091</v>
      </c>
      <c r="S20" s="414">
        <f>All_Detail_v2[[#This Row],[Install Date]]</f>
        <v>46091</v>
      </c>
    </row>
    <row r="21" spans="1:19">
      <c r="A21">
        <v>19</v>
      </c>
      <c r="B21" s="687" t="s">
        <v>362</v>
      </c>
      <c r="C21" s="688" t="s">
        <v>363</v>
      </c>
      <c r="D21" s="689" t="s">
        <v>383</v>
      </c>
      <c r="E21" s="689" t="s">
        <v>367</v>
      </c>
      <c r="F21" s="689">
        <v>2</v>
      </c>
      <c r="G21" s="689">
        <v>2</v>
      </c>
      <c r="H21" s="695">
        <v>46069</v>
      </c>
      <c r="I21" s="695">
        <v>46069</v>
      </c>
      <c r="J21" s="689" t="s">
        <v>368</v>
      </c>
      <c r="K21" t="str">
        <f t="shared" si="2"/>
        <v>Switch</v>
      </c>
      <c r="M21" s="412">
        <f t="shared" si="0"/>
        <v>2</v>
      </c>
      <c r="N21" s="412">
        <f t="shared" si="3"/>
        <v>2</v>
      </c>
      <c r="O21" s="412">
        <f>All_Detail_v2[[#This Row],[Qty. Success]]</f>
        <v>2</v>
      </c>
      <c r="P21" s="230">
        <f>IF(All_Detail_v2[[#This Row],[Qty]]=0,1,(M21+N21+O21)/(All_Detail_v2[[#This Row],[Qty]]*3))</f>
        <v>1</v>
      </c>
      <c r="Q21" s="195"/>
      <c r="R21" s="414">
        <f>All_Detail_v2[[#This Row],[Scheduled Date]]</f>
        <v>46069</v>
      </c>
      <c r="S21" s="414">
        <f>All_Detail_v2[[#This Row],[Install Date]]</f>
        <v>46069</v>
      </c>
    </row>
    <row r="22" spans="1:19">
      <c r="A22">
        <v>20</v>
      </c>
      <c r="B22" s="687" t="s">
        <v>362</v>
      </c>
      <c r="C22" s="688" t="s">
        <v>363</v>
      </c>
      <c r="D22" s="689" t="s">
        <v>384</v>
      </c>
      <c r="E22" s="689" t="s">
        <v>374</v>
      </c>
      <c r="F22" s="689">
        <v>2</v>
      </c>
      <c r="G22" s="689">
        <v>2</v>
      </c>
      <c r="H22" s="695">
        <v>46070</v>
      </c>
      <c r="I22" s="695">
        <v>46070</v>
      </c>
      <c r="J22" s="689" t="s">
        <v>368</v>
      </c>
      <c r="K22" t="str">
        <f t="shared" si="2"/>
        <v>Switch</v>
      </c>
      <c r="M22" s="412">
        <f t="shared" si="0"/>
        <v>2</v>
      </c>
      <c r="N22" s="412">
        <f t="shared" si="3"/>
        <v>2</v>
      </c>
      <c r="O22" s="412">
        <f>All_Detail_v2[[#This Row],[Qty. Success]]</f>
        <v>2</v>
      </c>
      <c r="P22" s="230">
        <f>IF(All_Detail_v2[[#This Row],[Qty]]=0,1,(M22+N22+O22)/(All_Detail_v2[[#This Row],[Qty]]*3))</f>
        <v>1</v>
      </c>
      <c r="Q22" s="195"/>
      <c r="R22" s="414">
        <f>All_Detail_v2[[#This Row],[Scheduled Date]]</f>
        <v>46070</v>
      </c>
      <c r="S22" s="414">
        <f>All_Detail_v2[[#This Row],[Install Date]]</f>
        <v>46070</v>
      </c>
    </row>
    <row r="23" spans="1:19">
      <c r="A23">
        <v>21</v>
      </c>
      <c r="B23" s="687" t="s">
        <v>362</v>
      </c>
      <c r="C23" s="688" t="s">
        <v>363</v>
      </c>
      <c r="D23" s="689" t="s">
        <v>384</v>
      </c>
      <c r="E23" s="689" t="s">
        <v>375</v>
      </c>
      <c r="F23" s="689">
        <v>4</v>
      </c>
      <c r="G23" s="689">
        <v>4</v>
      </c>
      <c r="H23" s="695">
        <v>46070</v>
      </c>
      <c r="I23" s="695">
        <v>46070</v>
      </c>
      <c r="J23" s="689" t="s">
        <v>368</v>
      </c>
      <c r="K23" t="str">
        <f t="shared" si="2"/>
        <v>Switch</v>
      </c>
      <c r="M23" s="412">
        <f t="shared" si="0"/>
        <v>4</v>
      </c>
      <c r="N23" s="412">
        <f t="shared" si="3"/>
        <v>4</v>
      </c>
      <c r="O23" s="412">
        <f>All_Detail_v2[[#This Row],[Qty. Success]]</f>
        <v>4</v>
      </c>
      <c r="P23" s="230">
        <f>IF(All_Detail_v2[[#This Row],[Qty]]=0,1,(M23+N23+O23)/(All_Detail_v2[[#This Row],[Qty]]*3))</f>
        <v>1</v>
      </c>
      <c r="Q23" s="195"/>
      <c r="R23" s="414">
        <f>All_Detail_v2[[#This Row],[Scheduled Date]]</f>
        <v>46070</v>
      </c>
      <c r="S23" s="414">
        <f>All_Detail_v2[[#This Row],[Install Date]]</f>
        <v>46070</v>
      </c>
    </row>
    <row r="24" spans="1:19">
      <c r="A24">
        <v>21</v>
      </c>
      <c r="B24" s="687" t="s">
        <v>362</v>
      </c>
      <c r="C24" s="688" t="s">
        <v>363</v>
      </c>
      <c r="D24" s="689" t="s">
        <v>384</v>
      </c>
      <c r="E24" s="689" t="s">
        <v>364</v>
      </c>
      <c r="F24" s="689">
        <v>15</v>
      </c>
      <c r="G24" s="689">
        <v>15</v>
      </c>
      <c r="H24" s="695">
        <v>46070</v>
      </c>
      <c r="I24" s="695">
        <v>46070</v>
      </c>
      <c r="J24" s="689" t="s">
        <v>368</v>
      </c>
      <c r="K24" t="str">
        <f t="shared" si="2"/>
        <v>AP</v>
      </c>
      <c r="L24" s="633" t="s">
        <v>379</v>
      </c>
      <c r="M24" s="412">
        <f t="shared" si="0"/>
        <v>15</v>
      </c>
      <c r="N24" s="412">
        <f t="shared" si="3"/>
        <v>15</v>
      </c>
      <c r="O24" s="412">
        <f>All_Detail_v2[[#This Row],[Qty. Success]]</f>
        <v>15</v>
      </c>
      <c r="P24" s="230">
        <f>IF(All_Detail_v2[[#This Row],[Qty]]=0,1,(M24+N24+O24)/(All_Detail_v2[[#This Row],[Qty]]*3))</f>
        <v>1</v>
      </c>
      <c r="Q24" s="195"/>
      <c r="R24" s="414">
        <f>All_Detail_v2[[#This Row],[Scheduled Date]]</f>
        <v>46070</v>
      </c>
      <c r="S24" s="414">
        <f>All_Detail_v2[[#This Row],[Install Date]]</f>
        <v>46070</v>
      </c>
    </row>
    <row r="25" spans="1:19">
      <c r="A25">
        <v>22</v>
      </c>
      <c r="B25" s="687" t="s">
        <v>362</v>
      </c>
      <c r="C25" s="688" t="s">
        <v>363</v>
      </c>
      <c r="D25" s="689" t="s">
        <v>385</v>
      </c>
      <c r="E25" s="689" t="s">
        <v>374</v>
      </c>
      <c r="F25" s="689">
        <v>2</v>
      </c>
      <c r="G25" s="689">
        <v>2</v>
      </c>
      <c r="H25" s="695">
        <v>46091</v>
      </c>
      <c r="I25" s="695">
        <v>46091</v>
      </c>
      <c r="J25" s="689" t="s">
        <v>368</v>
      </c>
      <c r="K25" t="str">
        <f t="shared" si="2"/>
        <v>Switch</v>
      </c>
      <c r="M25" s="412">
        <f t="shared" si="0"/>
        <v>2</v>
      </c>
      <c r="N25" s="412">
        <f t="shared" si="3"/>
        <v>2</v>
      </c>
      <c r="O25" s="412">
        <f>All_Detail_v2[[#This Row],[Qty. Success]]</f>
        <v>2</v>
      </c>
      <c r="P25" s="230">
        <f>IF(All_Detail_v2[[#This Row],[Qty]]=0,1,(M25+N25+O25)/(All_Detail_v2[[#This Row],[Qty]]*3))</f>
        <v>1</v>
      </c>
      <c r="Q25" s="195"/>
      <c r="R25" s="414">
        <f>All_Detail_v2[[#This Row],[Scheduled Date]]</f>
        <v>46091</v>
      </c>
      <c r="S25" s="414">
        <f>All_Detail_v2[[#This Row],[Install Date]]</f>
        <v>46091</v>
      </c>
    </row>
    <row r="26" spans="1:19">
      <c r="A26">
        <v>23</v>
      </c>
      <c r="B26" s="687" t="s">
        <v>362</v>
      </c>
      <c r="C26" s="688" t="s">
        <v>363</v>
      </c>
      <c r="D26" s="689" t="s">
        <v>385</v>
      </c>
      <c r="E26" s="689" t="s">
        <v>375</v>
      </c>
      <c r="F26" s="689">
        <v>1</v>
      </c>
      <c r="G26" s="689">
        <v>1</v>
      </c>
      <c r="H26" s="695">
        <v>46091</v>
      </c>
      <c r="I26" s="695">
        <v>46091</v>
      </c>
      <c r="J26" s="689" t="s">
        <v>368</v>
      </c>
      <c r="K26" t="str">
        <f t="shared" si="2"/>
        <v>Switch</v>
      </c>
      <c r="M26" s="412">
        <f t="shared" si="0"/>
        <v>1</v>
      </c>
      <c r="N26" s="412">
        <f t="shared" si="3"/>
        <v>1</v>
      </c>
      <c r="O26" s="412">
        <f>All_Detail_v2[[#This Row],[Qty. Success]]</f>
        <v>1</v>
      </c>
      <c r="P26" s="230">
        <f>IF(All_Detail_v2[[#This Row],[Qty]]=0,1,(M26+N26+O26)/(All_Detail_v2[[#This Row],[Qty]]*3))</f>
        <v>1</v>
      </c>
      <c r="Q26" s="195"/>
      <c r="R26" s="414">
        <f>All_Detail_v2[[#This Row],[Scheduled Date]]</f>
        <v>46091</v>
      </c>
      <c r="S26" s="414">
        <f>All_Detail_v2[[#This Row],[Install Date]]</f>
        <v>46091</v>
      </c>
    </row>
    <row r="27" spans="1:19">
      <c r="A27">
        <v>24</v>
      </c>
      <c r="B27" s="687" t="s">
        <v>362</v>
      </c>
      <c r="C27" s="688" t="s">
        <v>363</v>
      </c>
      <c r="D27" s="689" t="s">
        <v>386</v>
      </c>
      <c r="E27" s="689" t="s">
        <v>374</v>
      </c>
      <c r="F27" s="689">
        <v>4</v>
      </c>
      <c r="G27" s="689">
        <v>4</v>
      </c>
      <c r="H27" s="695">
        <v>46099</v>
      </c>
      <c r="I27" s="695">
        <v>46099</v>
      </c>
      <c r="J27" s="689" t="s">
        <v>368</v>
      </c>
      <c r="K27" t="str">
        <f t="shared" si="2"/>
        <v>Switch</v>
      </c>
      <c r="M27" s="412">
        <f t="shared" si="0"/>
        <v>4</v>
      </c>
      <c r="N27" s="412">
        <f t="shared" si="3"/>
        <v>4</v>
      </c>
      <c r="O27" s="412">
        <f>All_Detail_v2[[#This Row],[Qty. Success]]</f>
        <v>4</v>
      </c>
      <c r="P27" s="230">
        <f>IF(All_Detail_v2[[#This Row],[Qty]]=0,1,(M27+N27+O27)/(All_Detail_v2[[#This Row],[Qty]]*3))</f>
        <v>1</v>
      </c>
      <c r="Q27" s="195"/>
      <c r="R27" s="414">
        <f>All_Detail_v2[[#This Row],[Scheduled Date]]</f>
        <v>46099</v>
      </c>
      <c r="S27" s="414">
        <f>All_Detail_v2[[#This Row],[Install Date]]</f>
        <v>46099</v>
      </c>
    </row>
    <row r="28" spans="1:19">
      <c r="A28">
        <v>25</v>
      </c>
      <c r="B28" s="687" t="s">
        <v>362</v>
      </c>
      <c r="C28" s="688" t="s">
        <v>363</v>
      </c>
      <c r="D28" s="689" t="s">
        <v>386</v>
      </c>
      <c r="E28" s="689" t="s">
        <v>375</v>
      </c>
      <c r="F28" s="689">
        <v>3</v>
      </c>
      <c r="G28" s="689">
        <v>3</v>
      </c>
      <c r="H28" s="695">
        <v>46099</v>
      </c>
      <c r="I28" s="695">
        <v>46099</v>
      </c>
      <c r="J28" s="689" t="s">
        <v>368</v>
      </c>
      <c r="K28" t="str">
        <f t="shared" si="2"/>
        <v>Switch</v>
      </c>
      <c r="M28" s="412">
        <f t="shared" si="0"/>
        <v>3</v>
      </c>
      <c r="N28" s="412">
        <f t="shared" si="3"/>
        <v>3</v>
      </c>
      <c r="O28" s="412">
        <f>All_Detail_v2[[#This Row],[Qty. Success]]</f>
        <v>3</v>
      </c>
      <c r="P28" s="230">
        <f>IF(All_Detail_v2[[#This Row],[Qty]]=0,1,(M28+N28+O28)/(All_Detail_v2[[#This Row],[Qty]]*3))</f>
        <v>1</v>
      </c>
      <c r="Q28" s="195"/>
      <c r="R28" s="414">
        <f>All_Detail_v2[[#This Row],[Scheduled Date]]</f>
        <v>46099</v>
      </c>
      <c r="S28" s="414">
        <f>All_Detail_v2[[#This Row],[Install Date]]</f>
        <v>46099</v>
      </c>
    </row>
    <row r="29" spans="1:19">
      <c r="A29">
        <v>26</v>
      </c>
      <c r="B29" s="687" t="s">
        <v>362</v>
      </c>
      <c r="C29" s="688" t="s">
        <v>363</v>
      </c>
      <c r="D29" s="689" t="s">
        <v>387</v>
      </c>
      <c r="E29" s="689" t="s">
        <v>367</v>
      </c>
      <c r="F29" s="689">
        <v>3</v>
      </c>
      <c r="G29" s="689">
        <v>3</v>
      </c>
      <c r="H29" s="695">
        <v>46099</v>
      </c>
      <c r="I29" s="695">
        <v>46099</v>
      </c>
      <c r="J29" s="689" t="s">
        <v>368</v>
      </c>
      <c r="K29" t="str">
        <f t="shared" si="2"/>
        <v>Switch</v>
      </c>
      <c r="M29" s="412">
        <f t="shared" si="0"/>
        <v>3</v>
      </c>
      <c r="N29" s="412">
        <f t="shared" si="3"/>
        <v>3</v>
      </c>
      <c r="O29" s="412">
        <f>All_Detail_v2[[#This Row],[Qty. Success]]</f>
        <v>3</v>
      </c>
      <c r="P29" s="230">
        <f>IF(All_Detail_v2[[#This Row],[Qty]]=0,1,(M29+N29+O29)/(All_Detail_v2[[#This Row],[Qty]]*3))</f>
        <v>1</v>
      </c>
      <c r="Q29" s="195"/>
      <c r="R29" s="414">
        <f>All_Detail_v2[[#This Row],[Scheduled Date]]</f>
        <v>46099</v>
      </c>
      <c r="S29" s="414">
        <f>All_Detail_v2[[#This Row],[Install Date]]</f>
        <v>46099</v>
      </c>
    </row>
    <row r="30" spans="1:19">
      <c r="A30">
        <v>27</v>
      </c>
      <c r="B30" s="687" t="s">
        <v>362</v>
      </c>
      <c r="C30" s="688" t="s">
        <v>363</v>
      </c>
      <c r="D30" s="689" t="s">
        <v>388</v>
      </c>
      <c r="E30" s="689" t="s">
        <v>367</v>
      </c>
      <c r="F30" s="689">
        <v>2</v>
      </c>
      <c r="G30" s="689">
        <v>2</v>
      </c>
      <c r="H30" s="695">
        <v>46073</v>
      </c>
      <c r="I30" s="695">
        <v>46073</v>
      </c>
      <c r="J30" s="689" t="s">
        <v>368</v>
      </c>
      <c r="K30" t="str">
        <f t="shared" si="2"/>
        <v>Switch</v>
      </c>
      <c r="M30" s="412">
        <f t="shared" si="0"/>
        <v>2</v>
      </c>
      <c r="N30" s="412">
        <f t="shared" si="3"/>
        <v>2</v>
      </c>
      <c r="O30" s="412">
        <f>All_Detail_v2[[#This Row],[Qty. Success]]</f>
        <v>2</v>
      </c>
      <c r="P30" s="230">
        <f>IF(All_Detail_v2[[#This Row],[Qty]]=0,1,(M30+N30+O30)/(All_Detail_v2[[#This Row],[Qty]]*3))</f>
        <v>1</v>
      </c>
      <c r="Q30" s="195"/>
      <c r="R30" s="414">
        <f>All_Detail_v2[[#This Row],[Scheduled Date]]</f>
        <v>46073</v>
      </c>
      <c r="S30" s="414">
        <f>All_Detail_v2[[#This Row],[Install Date]]</f>
        <v>46073</v>
      </c>
    </row>
    <row r="31" spans="1:19">
      <c r="A31">
        <v>28</v>
      </c>
      <c r="B31" s="687" t="s">
        <v>362</v>
      </c>
      <c r="C31" s="688" t="s">
        <v>363</v>
      </c>
      <c r="D31" s="689" t="s">
        <v>389</v>
      </c>
      <c r="E31" s="689" t="s">
        <v>375</v>
      </c>
      <c r="F31" s="689">
        <v>1</v>
      </c>
      <c r="G31" s="689">
        <v>1</v>
      </c>
      <c r="H31" s="695">
        <v>46071</v>
      </c>
      <c r="I31" s="695">
        <v>46071</v>
      </c>
      <c r="J31" s="689" t="s">
        <v>368</v>
      </c>
      <c r="K31" t="str">
        <f t="shared" si="2"/>
        <v>Switch</v>
      </c>
      <c r="M31" s="412">
        <f t="shared" si="0"/>
        <v>1</v>
      </c>
      <c r="N31" s="412">
        <f t="shared" si="3"/>
        <v>1</v>
      </c>
      <c r="O31" s="412">
        <f>All_Detail_v2[[#This Row],[Qty. Success]]</f>
        <v>1</v>
      </c>
      <c r="P31" s="230">
        <f>IF(All_Detail_v2[[#This Row],[Qty]]=0,1,(M31+N31+O31)/(All_Detail_v2[[#This Row],[Qty]]*3))</f>
        <v>1</v>
      </c>
      <c r="Q31" s="195"/>
      <c r="R31" s="414">
        <f>All_Detail_v2[[#This Row],[Scheduled Date]]</f>
        <v>46071</v>
      </c>
      <c r="S31" s="414">
        <f>All_Detail_v2[[#This Row],[Install Date]]</f>
        <v>46071</v>
      </c>
    </row>
    <row r="32" spans="1:19">
      <c r="A32">
        <v>29</v>
      </c>
      <c r="B32" s="687" t="s">
        <v>362</v>
      </c>
      <c r="C32" s="688" t="s">
        <v>363</v>
      </c>
      <c r="D32" s="689" t="s">
        <v>390</v>
      </c>
      <c r="E32" s="689" t="s">
        <v>374</v>
      </c>
      <c r="F32" s="689">
        <v>2</v>
      </c>
      <c r="G32" s="689">
        <v>2</v>
      </c>
      <c r="H32" s="695">
        <v>46071</v>
      </c>
      <c r="I32" s="695">
        <v>46071</v>
      </c>
      <c r="J32" s="689" t="s">
        <v>368</v>
      </c>
      <c r="K32" t="str">
        <f t="shared" si="2"/>
        <v>Switch</v>
      </c>
      <c r="M32" s="412">
        <f t="shared" si="0"/>
        <v>2</v>
      </c>
      <c r="N32" s="412">
        <f t="shared" si="3"/>
        <v>2</v>
      </c>
      <c r="O32" s="412">
        <f>All_Detail_v2[[#This Row],[Qty. Success]]</f>
        <v>2</v>
      </c>
      <c r="P32" s="230">
        <f>IF(All_Detail_v2[[#This Row],[Qty]]=0,1,(M32+N32+O32)/(All_Detail_v2[[#This Row],[Qty]]*3))</f>
        <v>1</v>
      </c>
      <c r="Q32" s="195"/>
      <c r="R32" s="414">
        <f>All_Detail_v2[[#This Row],[Scheduled Date]]</f>
        <v>46071</v>
      </c>
      <c r="S32" s="414">
        <f>All_Detail_v2[[#This Row],[Install Date]]</f>
        <v>46071</v>
      </c>
    </row>
    <row r="33" spans="1:19">
      <c r="A33">
        <v>30</v>
      </c>
      <c r="B33" s="687" t="s">
        <v>362</v>
      </c>
      <c r="C33" s="688" t="s">
        <v>363</v>
      </c>
      <c r="D33" s="689" t="s">
        <v>390</v>
      </c>
      <c r="E33" s="689" t="s">
        <v>367</v>
      </c>
      <c r="F33" s="689">
        <v>2</v>
      </c>
      <c r="G33" s="689">
        <v>2</v>
      </c>
      <c r="H33" s="695">
        <v>46071</v>
      </c>
      <c r="I33" s="695">
        <v>46071</v>
      </c>
      <c r="J33" s="689" t="s">
        <v>368</v>
      </c>
      <c r="K33" t="str">
        <f t="shared" si="2"/>
        <v>Switch</v>
      </c>
      <c r="M33" s="412">
        <f t="shared" si="0"/>
        <v>2</v>
      </c>
      <c r="N33" s="412">
        <f t="shared" si="3"/>
        <v>2</v>
      </c>
      <c r="O33" s="412">
        <f>All_Detail_v2[[#This Row],[Qty. Success]]</f>
        <v>2</v>
      </c>
      <c r="P33" s="230">
        <f>IF(All_Detail_v2[[#This Row],[Qty]]=0,1,(M33+N33+O33)/(All_Detail_v2[[#This Row],[Qty]]*3))</f>
        <v>1</v>
      </c>
      <c r="Q33" s="195"/>
      <c r="R33" s="414">
        <f>All_Detail_v2[[#This Row],[Scheduled Date]]</f>
        <v>46071</v>
      </c>
      <c r="S33" s="414">
        <f>All_Detail_v2[[#This Row],[Install Date]]</f>
        <v>46071</v>
      </c>
    </row>
    <row r="34" spans="1:19">
      <c r="A34">
        <v>30</v>
      </c>
      <c r="B34" s="687" t="s">
        <v>362</v>
      </c>
      <c r="C34" s="688" t="s">
        <v>363</v>
      </c>
      <c r="D34" s="689" t="s">
        <v>390</v>
      </c>
      <c r="E34" s="689" t="s">
        <v>364</v>
      </c>
      <c r="F34" s="689">
        <v>7</v>
      </c>
      <c r="G34" s="689">
        <v>7</v>
      </c>
      <c r="H34" s="695">
        <v>46071</v>
      </c>
      <c r="I34" s="695">
        <v>46071</v>
      </c>
      <c r="J34" s="689" t="s">
        <v>368</v>
      </c>
      <c r="K34" t="str">
        <f t="shared" si="2"/>
        <v>AP</v>
      </c>
      <c r="L34" s="633" t="s">
        <v>379</v>
      </c>
      <c r="M34" s="412">
        <f t="shared" si="0"/>
        <v>7</v>
      </c>
      <c r="N34" s="412">
        <f t="shared" si="3"/>
        <v>7</v>
      </c>
      <c r="O34" s="412">
        <f>All_Detail_v2[[#This Row],[Qty. Success]]</f>
        <v>7</v>
      </c>
      <c r="P34" s="230">
        <f>IF(All_Detail_v2[[#This Row],[Qty]]=0,1,(M34+N34+O34)/(All_Detail_v2[[#This Row],[Qty]]*3))</f>
        <v>1</v>
      </c>
      <c r="Q34" s="195"/>
      <c r="R34" s="414">
        <f>All_Detail_v2[[#This Row],[Scheduled Date]]</f>
        <v>46071</v>
      </c>
      <c r="S34" s="414">
        <f>All_Detail_v2[[#This Row],[Install Date]]</f>
        <v>46071</v>
      </c>
    </row>
    <row r="35" spans="1:19">
      <c r="A35">
        <v>31</v>
      </c>
      <c r="B35" s="687" t="s">
        <v>362</v>
      </c>
      <c r="C35" s="688" t="s">
        <v>363</v>
      </c>
      <c r="D35" s="689" t="s">
        <v>391</v>
      </c>
      <c r="E35" s="689" t="s">
        <v>370</v>
      </c>
      <c r="F35" s="689">
        <v>2</v>
      </c>
      <c r="G35" s="689">
        <v>1</v>
      </c>
      <c r="H35" s="695">
        <v>46090</v>
      </c>
      <c r="I35" s="695">
        <v>46090</v>
      </c>
      <c r="J35" s="689" t="s">
        <v>368</v>
      </c>
      <c r="K35" t="str">
        <f t="shared" si="2"/>
        <v>Switch</v>
      </c>
      <c r="M35" s="412">
        <f t="shared" si="0"/>
        <v>1</v>
      </c>
      <c r="N35" s="412">
        <f t="shared" si="3"/>
        <v>1</v>
      </c>
      <c r="O35" s="412">
        <f>All_Detail_v2[[#This Row],[Qty. Success]]</f>
        <v>1</v>
      </c>
      <c r="P35" s="230">
        <f>IF(All_Detail_v2[[#This Row],[Qty]]=0,1,(M35+N35+O35)/(All_Detail_v2[[#This Row],[Qty]]*3))</f>
        <v>0.5</v>
      </c>
      <c r="Q35" s="195"/>
      <c r="R35" s="414">
        <f>All_Detail_v2[[#This Row],[Scheduled Date]]</f>
        <v>46090</v>
      </c>
      <c r="S35" s="414">
        <f>All_Detail_v2[[#This Row],[Install Date]]</f>
        <v>46090</v>
      </c>
    </row>
    <row r="36" spans="1:19">
      <c r="A36">
        <v>32</v>
      </c>
      <c r="B36" s="687" t="s">
        <v>362</v>
      </c>
      <c r="C36" s="688" t="s">
        <v>363</v>
      </c>
      <c r="D36" s="689" t="s">
        <v>391</v>
      </c>
      <c r="E36" s="689" t="s">
        <v>375</v>
      </c>
      <c r="F36" s="689">
        <v>2</v>
      </c>
      <c r="G36" s="689">
        <v>1</v>
      </c>
      <c r="H36" s="695">
        <v>46090</v>
      </c>
      <c r="I36" s="695">
        <v>46090</v>
      </c>
      <c r="J36" s="689" t="s">
        <v>368</v>
      </c>
      <c r="K36" t="str">
        <f t="shared" si="2"/>
        <v>Switch</v>
      </c>
      <c r="M36" s="412">
        <f t="shared" si="0"/>
        <v>1</v>
      </c>
      <c r="N36" s="412">
        <f t="shared" si="3"/>
        <v>1</v>
      </c>
      <c r="O36" s="412">
        <f>All_Detail_v2[[#This Row],[Qty. Success]]</f>
        <v>1</v>
      </c>
      <c r="P36" s="230">
        <f>IF(All_Detail_v2[[#This Row],[Qty]]=0,1,(M36+N36+O36)/(All_Detail_v2[[#This Row],[Qty]]*3))</f>
        <v>0.5</v>
      </c>
      <c r="Q36" s="195"/>
      <c r="R36" s="414">
        <f>All_Detail_v2[[#This Row],[Scheduled Date]]</f>
        <v>46090</v>
      </c>
      <c r="S36" s="414">
        <f>All_Detail_v2[[#This Row],[Install Date]]</f>
        <v>46090</v>
      </c>
    </row>
    <row r="37" spans="1:19">
      <c r="A37">
        <v>33</v>
      </c>
      <c r="B37" s="687" t="s">
        <v>362</v>
      </c>
      <c r="C37" s="688" t="s">
        <v>363</v>
      </c>
      <c r="D37" s="689" t="s">
        <v>392</v>
      </c>
      <c r="E37" s="689" t="s">
        <v>370</v>
      </c>
      <c r="F37" s="689">
        <v>1</v>
      </c>
      <c r="G37" s="689">
        <v>1</v>
      </c>
      <c r="H37" s="695">
        <v>46071</v>
      </c>
      <c r="I37" s="695">
        <v>46071</v>
      </c>
      <c r="J37" s="689" t="s">
        <v>368</v>
      </c>
      <c r="K37" t="str">
        <f t="shared" si="2"/>
        <v>Switch</v>
      </c>
      <c r="L37" t="s">
        <v>393</v>
      </c>
      <c r="M37" s="412">
        <f t="shared" si="0"/>
        <v>1</v>
      </c>
      <c r="N37" s="412">
        <f t="shared" si="3"/>
        <v>1</v>
      </c>
      <c r="O37" s="412">
        <f>All_Detail_v2[[#This Row],[Qty. Success]]</f>
        <v>1</v>
      </c>
      <c r="P37" s="230">
        <f>IF(All_Detail_v2[[#This Row],[Qty]]=0,1,(M37+N37+O37)/(All_Detail_v2[[#This Row],[Qty]]*3))</f>
        <v>1</v>
      </c>
      <c r="Q37" s="195"/>
      <c r="R37" s="414">
        <f>All_Detail_v2[[#This Row],[Scheduled Date]]</f>
        <v>46071</v>
      </c>
      <c r="S37" s="414">
        <f>All_Detail_v2[[#This Row],[Install Date]]</f>
        <v>46071</v>
      </c>
    </row>
    <row r="38" spans="1:19">
      <c r="A38">
        <v>34</v>
      </c>
      <c r="B38" s="687" t="s">
        <v>362</v>
      </c>
      <c r="C38" s="688" t="s">
        <v>363</v>
      </c>
      <c r="D38" s="689" t="s">
        <v>394</v>
      </c>
      <c r="E38" s="689" t="s">
        <v>370</v>
      </c>
      <c r="F38" s="689">
        <v>1</v>
      </c>
      <c r="G38" s="689">
        <v>1</v>
      </c>
      <c r="H38" s="695">
        <v>46070</v>
      </c>
      <c r="I38" s="695">
        <v>46070</v>
      </c>
      <c r="J38" s="689" t="s">
        <v>368</v>
      </c>
      <c r="K38" t="str">
        <f t="shared" si="2"/>
        <v>Switch</v>
      </c>
      <c r="L38" s="633" t="s">
        <v>395</v>
      </c>
      <c r="M38" s="412">
        <f t="shared" si="0"/>
        <v>1</v>
      </c>
      <c r="N38" s="412">
        <f t="shared" si="3"/>
        <v>1</v>
      </c>
      <c r="O38" s="412">
        <f>All_Detail_v2[[#This Row],[Qty. Success]]</f>
        <v>1</v>
      </c>
      <c r="P38" s="230">
        <f>IF(All_Detail_v2[[#This Row],[Qty]]=0,1,(M38+N38+O38)/(All_Detail_v2[[#This Row],[Qty]]*3))</f>
        <v>1</v>
      </c>
      <c r="Q38" s="195"/>
      <c r="R38" s="414">
        <f>All_Detail_v2[[#This Row],[Scheduled Date]]</f>
        <v>46070</v>
      </c>
      <c r="S38" s="414">
        <f>All_Detail_v2[[#This Row],[Install Date]]</f>
        <v>46070</v>
      </c>
    </row>
    <row r="39" spans="1:19">
      <c r="A39">
        <v>35</v>
      </c>
      <c r="B39" s="687" t="s">
        <v>362</v>
      </c>
      <c r="C39" s="688" t="s">
        <v>363</v>
      </c>
      <c r="D39" s="689" t="s">
        <v>394</v>
      </c>
      <c r="E39" s="689" t="s">
        <v>375</v>
      </c>
      <c r="F39" s="689">
        <v>1</v>
      </c>
      <c r="G39" s="689">
        <v>1</v>
      </c>
      <c r="H39" s="695">
        <v>46070</v>
      </c>
      <c r="I39" s="695">
        <v>46070</v>
      </c>
      <c r="J39" s="689" t="s">
        <v>368</v>
      </c>
      <c r="K39" t="str">
        <f t="shared" si="2"/>
        <v>Switch</v>
      </c>
      <c r="L39" t="s">
        <v>396</v>
      </c>
      <c r="M39" s="412">
        <f t="shared" si="0"/>
        <v>1</v>
      </c>
      <c r="N39" s="412">
        <f t="shared" si="3"/>
        <v>1</v>
      </c>
      <c r="O39" s="412">
        <f>All_Detail_v2[[#This Row],[Qty. Success]]</f>
        <v>1</v>
      </c>
      <c r="P39" s="230">
        <f>IF(All_Detail_v2[[#This Row],[Qty]]=0,1,(M39+N39+O39)/(All_Detail_v2[[#This Row],[Qty]]*3))</f>
        <v>1</v>
      </c>
      <c r="Q39" s="195"/>
      <c r="R39" s="414">
        <f>All_Detail_v2[[#This Row],[Scheduled Date]]</f>
        <v>46070</v>
      </c>
      <c r="S39" s="414">
        <f>All_Detail_v2[[#This Row],[Install Date]]</f>
        <v>46070</v>
      </c>
    </row>
    <row r="40" spans="1:19">
      <c r="A40">
        <v>36</v>
      </c>
      <c r="B40" s="687" t="s">
        <v>362</v>
      </c>
      <c r="C40" s="688" t="s">
        <v>363</v>
      </c>
      <c r="D40" s="688" t="s">
        <v>397</v>
      </c>
      <c r="E40" s="689" t="s">
        <v>370</v>
      </c>
      <c r="F40" s="689">
        <v>1</v>
      </c>
      <c r="G40" s="689">
        <v>1</v>
      </c>
      <c r="H40" s="695"/>
      <c r="I40" s="695">
        <v>46174</v>
      </c>
      <c r="J40" s="689" t="s">
        <v>398</v>
      </c>
      <c r="K40" t="str">
        <f t="shared" si="2"/>
        <v>Switch</v>
      </c>
      <c r="L40" s="633" t="s">
        <v>399</v>
      </c>
      <c r="M40" s="412">
        <f t="shared" si="0"/>
        <v>1</v>
      </c>
      <c r="N40" s="412">
        <f t="shared" si="3"/>
        <v>1</v>
      </c>
      <c r="O40" s="412">
        <f>All_Detail_v2[[#This Row],[Qty. Success]]</f>
        <v>1</v>
      </c>
      <c r="P40" s="230">
        <f>IF(All_Detail_v2[[#This Row],[Qty]]=0,1,(M40+N40+O40)/(All_Detail_v2[[#This Row],[Qty]]*3))</f>
        <v>1</v>
      </c>
      <c r="Q40" s="195"/>
      <c r="R40" s="414">
        <f>All_Detail_v2[[#This Row],[Scheduled Date]]</f>
        <v>46174</v>
      </c>
      <c r="S40" s="414">
        <f>All_Detail_v2[[#This Row],[Install Date]]</f>
        <v>0</v>
      </c>
    </row>
    <row r="41" spans="1:19">
      <c r="A41">
        <v>37</v>
      </c>
      <c r="B41" s="687" t="s">
        <v>362</v>
      </c>
      <c r="C41" s="688" t="s">
        <v>363</v>
      </c>
      <c r="D41" s="688" t="s">
        <v>397</v>
      </c>
      <c r="E41" s="689" t="s">
        <v>375</v>
      </c>
      <c r="F41" s="689">
        <v>1</v>
      </c>
      <c r="G41" s="689">
        <v>1</v>
      </c>
      <c r="H41" s="695">
        <v>46090</v>
      </c>
      <c r="I41" s="695">
        <v>46090</v>
      </c>
      <c r="J41" s="689" t="s">
        <v>368</v>
      </c>
      <c r="K41" t="str">
        <f t="shared" si="2"/>
        <v>Switch</v>
      </c>
      <c r="M41" s="412">
        <f t="shared" si="0"/>
        <v>1</v>
      </c>
      <c r="N41" s="412">
        <f t="shared" si="3"/>
        <v>1</v>
      </c>
      <c r="O41" s="412">
        <f>All_Detail_v2[[#This Row],[Qty. Success]]</f>
        <v>1</v>
      </c>
      <c r="P41" s="230">
        <f>IF(All_Detail_v2[[#This Row],[Qty]]=0,1,(M41+N41+O41)/(All_Detail_v2[[#This Row],[Qty]]*3))</f>
        <v>1</v>
      </c>
      <c r="Q41" s="195"/>
      <c r="R41" s="414">
        <f>All_Detail_v2[[#This Row],[Scheduled Date]]</f>
        <v>46090</v>
      </c>
      <c r="S41" s="414">
        <f>All_Detail_v2[[#This Row],[Install Date]]</f>
        <v>46090</v>
      </c>
    </row>
    <row r="42" spans="1:19">
      <c r="A42">
        <v>38</v>
      </c>
      <c r="B42" s="687" t="s">
        <v>362</v>
      </c>
      <c r="C42" s="688" t="s">
        <v>363</v>
      </c>
      <c r="D42" s="688" t="s">
        <v>400</v>
      </c>
      <c r="E42" s="689" t="s">
        <v>370</v>
      </c>
      <c r="F42" s="689">
        <v>1</v>
      </c>
      <c r="G42" s="689">
        <v>1</v>
      </c>
      <c r="H42" s="695">
        <v>46071</v>
      </c>
      <c r="I42" s="695">
        <v>46071</v>
      </c>
      <c r="J42" s="689" t="s">
        <v>368</v>
      </c>
      <c r="K42" t="str">
        <f t="shared" si="2"/>
        <v>Switch</v>
      </c>
      <c r="L42" t="s">
        <v>401</v>
      </c>
      <c r="M42" s="412">
        <f t="shared" si="0"/>
        <v>1</v>
      </c>
      <c r="N42" s="412">
        <f t="shared" si="3"/>
        <v>1</v>
      </c>
      <c r="O42" s="412">
        <f>All_Detail_v2[[#This Row],[Qty. Success]]</f>
        <v>1</v>
      </c>
      <c r="P42" s="230">
        <f>IF(All_Detail_v2[[#This Row],[Qty]]=0,1,(M42+N42+O42)/(All_Detail_v2[[#This Row],[Qty]]*3))</f>
        <v>1</v>
      </c>
      <c r="Q42" s="195"/>
      <c r="R42" s="414">
        <f>All_Detail_v2[[#This Row],[Scheduled Date]]</f>
        <v>46071</v>
      </c>
      <c r="S42" s="414">
        <f>All_Detail_v2[[#This Row],[Install Date]]</f>
        <v>46071</v>
      </c>
    </row>
    <row r="43" spans="1:19">
      <c r="A43">
        <v>39</v>
      </c>
      <c r="B43" s="687" t="s">
        <v>362</v>
      </c>
      <c r="C43" s="688" t="s">
        <v>363</v>
      </c>
      <c r="D43" s="688" t="s">
        <v>400</v>
      </c>
      <c r="E43" s="689" t="s">
        <v>375</v>
      </c>
      <c r="F43" s="689">
        <v>1</v>
      </c>
      <c r="G43" s="689">
        <v>1</v>
      </c>
      <c r="H43" s="695">
        <v>46071</v>
      </c>
      <c r="I43" s="695">
        <v>46071</v>
      </c>
      <c r="J43" s="689" t="s">
        <v>368</v>
      </c>
      <c r="K43" t="str">
        <f t="shared" si="2"/>
        <v>Switch</v>
      </c>
      <c r="L43" t="s">
        <v>401</v>
      </c>
      <c r="M43" s="412">
        <f t="shared" si="0"/>
        <v>1</v>
      </c>
      <c r="N43" s="412">
        <f t="shared" si="3"/>
        <v>1</v>
      </c>
      <c r="O43" s="412">
        <f>All_Detail_v2[[#This Row],[Qty. Success]]</f>
        <v>1</v>
      </c>
      <c r="P43" s="230">
        <f>IF(All_Detail_v2[[#This Row],[Qty]]=0,1,(M43+N43+O43)/(All_Detail_v2[[#This Row],[Qty]]*3))</f>
        <v>1</v>
      </c>
      <c r="Q43" s="195"/>
      <c r="R43" s="414">
        <f>All_Detail_v2[[#This Row],[Scheduled Date]]</f>
        <v>46071</v>
      </c>
      <c r="S43" s="414">
        <f>All_Detail_v2[[#This Row],[Install Date]]</f>
        <v>46071</v>
      </c>
    </row>
    <row r="44" spans="1:19">
      <c r="A44">
        <v>40</v>
      </c>
      <c r="B44" s="687" t="s">
        <v>362</v>
      </c>
      <c r="C44" s="688" t="s">
        <v>363</v>
      </c>
      <c r="D44" s="688" t="s">
        <v>402</v>
      </c>
      <c r="E44" s="689" t="s">
        <v>370</v>
      </c>
      <c r="F44" s="689">
        <v>1</v>
      </c>
      <c r="G44" s="689">
        <v>0</v>
      </c>
      <c r="H44" s="695">
        <v>46070</v>
      </c>
      <c r="I44" s="695">
        <v>46070</v>
      </c>
      <c r="J44" s="689" t="s">
        <v>368</v>
      </c>
      <c r="K44" t="str">
        <f t="shared" si="2"/>
        <v>Switch</v>
      </c>
      <c r="L44" s="633" t="s">
        <v>403</v>
      </c>
      <c r="M44" s="412">
        <f t="shared" si="0"/>
        <v>0</v>
      </c>
      <c r="N44" s="412">
        <f t="shared" si="3"/>
        <v>0</v>
      </c>
      <c r="O44" s="412">
        <f>All_Detail_v2[[#This Row],[Qty. Success]]</f>
        <v>0</v>
      </c>
      <c r="P44" s="230">
        <f>IF(All_Detail_v2[[#This Row],[Qty]]=0,1,(M44+N44+O44)/(All_Detail_v2[[#This Row],[Qty]]*3))</f>
        <v>0</v>
      </c>
      <c r="Q44" s="195"/>
      <c r="R44" s="414">
        <f>All_Detail_v2[[#This Row],[Scheduled Date]]</f>
        <v>46070</v>
      </c>
      <c r="S44" s="414">
        <f>All_Detail_v2[[#This Row],[Install Date]]</f>
        <v>46070</v>
      </c>
    </row>
    <row r="45" spans="1:19">
      <c r="A45">
        <v>41</v>
      </c>
      <c r="B45" s="687" t="s">
        <v>362</v>
      </c>
      <c r="C45" s="688" t="s">
        <v>363</v>
      </c>
      <c r="D45" s="688" t="s">
        <v>402</v>
      </c>
      <c r="E45" s="689" t="s">
        <v>375</v>
      </c>
      <c r="F45" s="689">
        <v>1</v>
      </c>
      <c r="G45" s="689">
        <v>1</v>
      </c>
      <c r="H45" s="695">
        <v>46070</v>
      </c>
      <c r="I45" s="695">
        <v>46070</v>
      </c>
      <c r="J45" s="689" t="s">
        <v>368</v>
      </c>
      <c r="K45" t="str">
        <f t="shared" si="2"/>
        <v>Switch</v>
      </c>
      <c r="L45" t="s">
        <v>404</v>
      </c>
      <c r="M45" s="412">
        <f t="shared" si="0"/>
        <v>1</v>
      </c>
      <c r="N45" s="412">
        <f t="shared" si="3"/>
        <v>1</v>
      </c>
      <c r="O45" s="412">
        <f>All_Detail_v2[[#This Row],[Qty. Success]]</f>
        <v>1</v>
      </c>
      <c r="P45" s="230">
        <f>IF(All_Detail_v2[[#This Row],[Qty]]=0,1,(M45+N45+O45)/(All_Detail_v2[[#This Row],[Qty]]*3))</f>
        <v>1</v>
      </c>
      <c r="Q45" s="195"/>
      <c r="R45" s="414">
        <f>All_Detail_v2[[#This Row],[Scheduled Date]]</f>
        <v>46070</v>
      </c>
      <c r="S45" s="414">
        <f>All_Detail_v2[[#This Row],[Install Date]]</f>
        <v>46070</v>
      </c>
    </row>
    <row r="46" spans="1:19">
      <c r="A46">
        <v>42</v>
      </c>
      <c r="B46" s="687" t="s">
        <v>362</v>
      </c>
      <c r="C46" s="688" t="s">
        <v>363</v>
      </c>
      <c r="D46" s="688" t="s">
        <v>405</v>
      </c>
      <c r="E46" s="689" t="s">
        <v>370</v>
      </c>
      <c r="F46" s="689">
        <v>2</v>
      </c>
      <c r="G46" s="689">
        <v>1</v>
      </c>
      <c r="H46" s="695">
        <v>46070</v>
      </c>
      <c r="I46" s="695">
        <v>46070</v>
      </c>
      <c r="J46" s="689" t="s">
        <v>368</v>
      </c>
      <c r="K46" t="str">
        <f t="shared" si="2"/>
        <v>Switch</v>
      </c>
      <c r="L46" s="633" t="s">
        <v>406</v>
      </c>
      <c r="M46" s="412">
        <f t="shared" si="0"/>
        <v>1</v>
      </c>
      <c r="N46" s="412">
        <f t="shared" si="3"/>
        <v>1</v>
      </c>
      <c r="O46" s="412">
        <f>All_Detail_v2[[#This Row],[Qty. Success]]</f>
        <v>1</v>
      </c>
      <c r="P46" s="230">
        <f>IF(All_Detail_v2[[#This Row],[Qty]]=0,1,(M46+N46+O46)/(All_Detail_v2[[#This Row],[Qty]]*3))</f>
        <v>0.5</v>
      </c>
      <c r="Q46" s="195"/>
      <c r="R46" s="414">
        <f>All_Detail_v2[[#This Row],[Scheduled Date]]</f>
        <v>46070</v>
      </c>
      <c r="S46" s="414">
        <f>All_Detail_v2[[#This Row],[Install Date]]</f>
        <v>46070</v>
      </c>
    </row>
    <row r="47" spans="1:19">
      <c r="A47">
        <v>43</v>
      </c>
      <c r="B47" s="687" t="s">
        <v>362</v>
      </c>
      <c r="C47" s="688" t="s">
        <v>363</v>
      </c>
      <c r="D47" s="688" t="s">
        <v>405</v>
      </c>
      <c r="E47" s="689" t="s">
        <v>375</v>
      </c>
      <c r="F47" s="689">
        <v>1</v>
      </c>
      <c r="G47" s="689">
        <v>1</v>
      </c>
      <c r="H47" s="695">
        <v>46070</v>
      </c>
      <c r="I47" s="695">
        <v>46070</v>
      </c>
      <c r="J47" s="689" t="s">
        <v>368</v>
      </c>
      <c r="K47" t="str">
        <f t="shared" si="2"/>
        <v>Switch</v>
      </c>
      <c r="L47" t="s">
        <v>404</v>
      </c>
      <c r="M47" s="412">
        <f t="shared" si="0"/>
        <v>1</v>
      </c>
      <c r="N47" s="412">
        <f t="shared" si="3"/>
        <v>1</v>
      </c>
      <c r="O47" s="412">
        <f>All_Detail_v2[[#This Row],[Qty. Success]]</f>
        <v>1</v>
      </c>
      <c r="P47" s="230">
        <f>IF(All_Detail_v2[[#This Row],[Qty]]=0,1,(M47+N47+O47)/(All_Detail_v2[[#This Row],[Qty]]*3))</f>
        <v>1</v>
      </c>
      <c r="Q47" s="195"/>
      <c r="R47" s="414">
        <f>All_Detail_v2[[#This Row],[Scheduled Date]]</f>
        <v>46070</v>
      </c>
      <c r="S47" s="414">
        <f>All_Detail_v2[[#This Row],[Install Date]]</f>
        <v>46070</v>
      </c>
    </row>
    <row r="48" spans="1:19">
      <c r="A48">
        <v>44</v>
      </c>
      <c r="B48" s="687" t="s">
        <v>362</v>
      </c>
      <c r="C48" s="688" t="s">
        <v>363</v>
      </c>
      <c r="D48" s="688" t="s">
        <v>407</v>
      </c>
      <c r="E48" s="689" t="s">
        <v>370</v>
      </c>
      <c r="F48" s="689">
        <v>5</v>
      </c>
      <c r="G48" s="689"/>
      <c r="H48" s="695"/>
      <c r="I48" s="695">
        <v>46132</v>
      </c>
      <c r="J48" s="689" t="s">
        <v>365</v>
      </c>
      <c r="K48" t="str">
        <f t="shared" si="2"/>
        <v>Switch</v>
      </c>
      <c r="M48" s="412">
        <f t="shared" si="0"/>
        <v>0</v>
      </c>
      <c r="N48" s="412">
        <f t="shared" si="3"/>
        <v>0</v>
      </c>
      <c r="O48" s="412">
        <f>All_Detail_v2[[#This Row],[Qty. Success]]</f>
        <v>0</v>
      </c>
      <c r="P48" s="230">
        <f>IF(All_Detail_v2[[#This Row],[Qty]]=0,1,(M48+N48+O48)/(All_Detail_v2[[#This Row],[Qty]]*3))</f>
        <v>0</v>
      </c>
      <c r="Q48" s="195"/>
      <c r="R48" s="414">
        <f>All_Detail_v2[[#This Row],[Scheduled Date]]</f>
        <v>46132</v>
      </c>
      <c r="S48" s="414">
        <f>All_Detail_v2[[#This Row],[Install Date]]</f>
        <v>0</v>
      </c>
    </row>
    <row r="49" spans="1:19">
      <c r="A49">
        <v>45</v>
      </c>
      <c r="B49" s="687" t="s">
        <v>362</v>
      </c>
      <c r="C49" s="688" t="s">
        <v>363</v>
      </c>
      <c r="D49" s="688" t="s">
        <v>407</v>
      </c>
      <c r="E49" s="689" t="s">
        <v>367</v>
      </c>
      <c r="F49" s="689">
        <v>1</v>
      </c>
      <c r="G49" s="689"/>
      <c r="H49" s="695"/>
      <c r="I49" s="695">
        <v>46132</v>
      </c>
      <c r="J49" s="689" t="s">
        <v>365</v>
      </c>
      <c r="K49" t="str">
        <f t="shared" si="2"/>
        <v>Switch</v>
      </c>
      <c r="M49" s="412">
        <f t="shared" si="0"/>
        <v>0</v>
      </c>
      <c r="N49" s="412">
        <f t="shared" si="3"/>
        <v>0</v>
      </c>
      <c r="O49" s="412">
        <f>All_Detail_v2[[#This Row],[Qty. Success]]</f>
        <v>0</v>
      </c>
      <c r="P49" s="230">
        <f>IF(All_Detail_v2[[#This Row],[Qty]]=0,1,(M49+N49+O49)/(All_Detail_v2[[#This Row],[Qty]]*3))</f>
        <v>0</v>
      </c>
      <c r="Q49" s="195"/>
      <c r="R49" s="414">
        <f>All_Detail_v2[[#This Row],[Scheduled Date]]</f>
        <v>46132</v>
      </c>
      <c r="S49" s="414">
        <f>All_Detail_v2[[#This Row],[Install Date]]</f>
        <v>0</v>
      </c>
    </row>
    <row r="50" spans="1:19">
      <c r="A50">
        <v>46</v>
      </c>
      <c r="B50" s="687" t="s">
        <v>362</v>
      </c>
      <c r="C50" s="688" t="s">
        <v>363</v>
      </c>
      <c r="D50" s="688" t="s">
        <v>407</v>
      </c>
      <c r="E50" s="689" t="s">
        <v>375</v>
      </c>
      <c r="F50" s="689">
        <v>1</v>
      </c>
      <c r="G50" s="689"/>
      <c r="H50" s="695"/>
      <c r="I50" s="695">
        <v>46132</v>
      </c>
      <c r="J50" s="689" t="s">
        <v>365</v>
      </c>
      <c r="K50" t="str">
        <f t="shared" si="2"/>
        <v>Switch</v>
      </c>
      <c r="M50" s="412">
        <f t="shared" si="0"/>
        <v>0</v>
      </c>
      <c r="N50" s="412">
        <f t="shared" si="3"/>
        <v>0</v>
      </c>
      <c r="O50" s="412">
        <f>All_Detail_v2[[#This Row],[Qty. Success]]</f>
        <v>0</v>
      </c>
      <c r="P50" s="230">
        <f>IF(All_Detail_v2[[#This Row],[Qty]]=0,1,(M50+N50+O50)/(All_Detail_v2[[#This Row],[Qty]]*3))</f>
        <v>0</v>
      </c>
      <c r="Q50" s="195"/>
      <c r="R50" s="414">
        <f>All_Detail_v2[[#This Row],[Scheduled Date]]</f>
        <v>46132</v>
      </c>
      <c r="S50" s="414">
        <f>All_Detail_v2[[#This Row],[Install Date]]</f>
        <v>0</v>
      </c>
    </row>
    <row r="51" spans="1:19">
      <c r="A51">
        <v>47</v>
      </c>
      <c r="B51" s="687" t="s">
        <v>362</v>
      </c>
      <c r="C51" s="689" t="s">
        <v>408</v>
      </c>
      <c r="D51" s="689" t="s">
        <v>409</v>
      </c>
      <c r="E51" s="689" t="s">
        <v>370</v>
      </c>
      <c r="F51" s="689">
        <v>1</v>
      </c>
      <c r="G51" s="689"/>
      <c r="H51" s="695"/>
      <c r="I51" s="695">
        <v>46105</v>
      </c>
      <c r="J51" s="689" t="s">
        <v>365</v>
      </c>
      <c r="K51" t="str">
        <f t="shared" si="2"/>
        <v>Switch</v>
      </c>
      <c r="M51" s="412">
        <f t="shared" si="0"/>
        <v>0</v>
      </c>
      <c r="N51" s="412">
        <f t="shared" si="3"/>
        <v>0</v>
      </c>
      <c r="O51" s="412">
        <f>All_Detail_v2[[#This Row],[Qty. Success]]</f>
        <v>0</v>
      </c>
      <c r="P51" s="230">
        <f>IF(All_Detail_v2[[#This Row],[Qty]]=0,1,(M51+N51+O51)/(All_Detail_v2[[#This Row],[Qty]]*3))</f>
        <v>0</v>
      </c>
      <c r="Q51" s="195"/>
      <c r="R51" s="414">
        <f>All_Detail_v2[[#This Row],[Scheduled Date]]</f>
        <v>46105</v>
      </c>
      <c r="S51" s="414">
        <f>All_Detail_v2[[#This Row],[Install Date]]</f>
        <v>0</v>
      </c>
    </row>
    <row r="52" spans="1:19">
      <c r="A52">
        <v>48</v>
      </c>
      <c r="B52" s="687" t="s">
        <v>362</v>
      </c>
      <c r="C52" s="689" t="s">
        <v>408</v>
      </c>
      <c r="D52" s="689" t="s">
        <v>409</v>
      </c>
      <c r="E52" s="689" t="s">
        <v>375</v>
      </c>
      <c r="F52" s="689">
        <v>1</v>
      </c>
      <c r="G52" s="689"/>
      <c r="H52" s="695"/>
      <c r="I52" s="695">
        <v>46105</v>
      </c>
      <c r="J52" s="689" t="s">
        <v>365</v>
      </c>
      <c r="K52" t="str">
        <f t="shared" si="2"/>
        <v>Switch</v>
      </c>
      <c r="M52" s="412">
        <f t="shared" si="0"/>
        <v>0</v>
      </c>
      <c r="N52" s="412">
        <f t="shared" si="3"/>
        <v>0</v>
      </c>
      <c r="O52" s="412">
        <f>All_Detail_v2[[#This Row],[Qty. Success]]</f>
        <v>0</v>
      </c>
      <c r="P52" s="230">
        <f>IF(All_Detail_v2[[#This Row],[Qty]]=0,1,(M52+N52+O52)/(All_Detail_v2[[#This Row],[Qty]]*3))</f>
        <v>0</v>
      </c>
      <c r="Q52" s="195"/>
      <c r="R52" s="414">
        <f>All_Detail_v2[[#This Row],[Scheduled Date]]</f>
        <v>46105</v>
      </c>
      <c r="S52" s="414">
        <f>All_Detail_v2[[#This Row],[Install Date]]</f>
        <v>0</v>
      </c>
    </row>
    <row r="53" spans="1:19">
      <c r="A53">
        <v>49</v>
      </c>
      <c r="B53" s="687" t="s">
        <v>362</v>
      </c>
      <c r="C53" s="689" t="s">
        <v>408</v>
      </c>
      <c r="D53" s="689" t="s">
        <v>409</v>
      </c>
      <c r="E53" s="689" t="s">
        <v>410</v>
      </c>
      <c r="F53" s="689">
        <v>1</v>
      </c>
      <c r="G53" s="689"/>
      <c r="H53" s="695"/>
      <c r="I53" s="695">
        <v>46105</v>
      </c>
      <c r="J53" s="689" t="s">
        <v>365</v>
      </c>
      <c r="K53" t="str">
        <f t="shared" si="2"/>
        <v>Switch</v>
      </c>
      <c r="M53" s="412">
        <f t="shared" si="0"/>
        <v>0</v>
      </c>
      <c r="N53" s="412">
        <f t="shared" si="3"/>
        <v>0</v>
      </c>
      <c r="O53" s="412">
        <f>All_Detail_v2[[#This Row],[Qty. Success]]</f>
        <v>0</v>
      </c>
      <c r="P53" s="230">
        <f>IF(All_Detail_v2[[#This Row],[Qty]]=0,1,(M53+N53+O53)/(All_Detail_v2[[#This Row],[Qty]]*3))</f>
        <v>0</v>
      </c>
      <c r="Q53" s="195"/>
      <c r="R53" s="414">
        <f>All_Detail_v2[[#This Row],[Scheduled Date]]</f>
        <v>46105</v>
      </c>
      <c r="S53" s="414">
        <f>All_Detail_v2[[#This Row],[Install Date]]</f>
        <v>0</v>
      </c>
    </row>
    <row r="54" spans="1:19">
      <c r="A54">
        <v>50</v>
      </c>
      <c r="B54" s="687" t="s">
        <v>362</v>
      </c>
      <c r="C54" s="689" t="s">
        <v>408</v>
      </c>
      <c r="D54" s="689" t="s">
        <v>411</v>
      </c>
      <c r="E54" s="689" t="s">
        <v>370</v>
      </c>
      <c r="F54" s="689">
        <v>2</v>
      </c>
      <c r="G54" s="689"/>
      <c r="H54" s="695"/>
      <c r="I54" s="695">
        <v>46105</v>
      </c>
      <c r="J54" s="689" t="s">
        <v>365</v>
      </c>
      <c r="K54" t="str">
        <f t="shared" si="2"/>
        <v>Switch</v>
      </c>
      <c r="M54" s="412">
        <f t="shared" si="0"/>
        <v>0</v>
      </c>
      <c r="N54" s="412">
        <f t="shared" si="3"/>
        <v>0</v>
      </c>
      <c r="O54" s="412">
        <f>All_Detail_v2[[#This Row],[Qty. Success]]</f>
        <v>0</v>
      </c>
      <c r="P54" s="230">
        <f>IF(All_Detail_v2[[#This Row],[Qty]]=0,1,(M54+N54+O54)/(All_Detail_v2[[#This Row],[Qty]]*3))</f>
        <v>0</v>
      </c>
      <c r="Q54" s="195"/>
      <c r="R54" s="414">
        <f>All_Detail_v2[[#This Row],[Scheduled Date]]</f>
        <v>46105</v>
      </c>
      <c r="S54" s="414">
        <f>All_Detail_v2[[#This Row],[Install Date]]</f>
        <v>0</v>
      </c>
    </row>
    <row r="55" spans="1:19">
      <c r="A55">
        <v>51</v>
      </c>
      <c r="B55" s="687" t="s">
        <v>362</v>
      </c>
      <c r="C55" s="689" t="s">
        <v>408</v>
      </c>
      <c r="D55" s="689" t="s">
        <v>411</v>
      </c>
      <c r="E55" s="689" t="s">
        <v>375</v>
      </c>
      <c r="F55" s="689">
        <v>1</v>
      </c>
      <c r="G55" s="689"/>
      <c r="H55" s="695"/>
      <c r="I55" s="695">
        <v>46105</v>
      </c>
      <c r="J55" s="689" t="s">
        <v>365</v>
      </c>
      <c r="K55" t="str">
        <f t="shared" si="2"/>
        <v>Switch</v>
      </c>
      <c r="M55" s="412">
        <f t="shared" si="0"/>
        <v>0</v>
      </c>
      <c r="N55" s="412">
        <f t="shared" si="3"/>
        <v>0</v>
      </c>
      <c r="O55" s="412">
        <f>All_Detail_v2[[#This Row],[Qty. Success]]</f>
        <v>0</v>
      </c>
      <c r="P55" s="230">
        <f>IF(All_Detail_v2[[#This Row],[Qty]]=0,1,(M55+N55+O55)/(All_Detail_v2[[#This Row],[Qty]]*3))</f>
        <v>0</v>
      </c>
      <c r="Q55" s="195"/>
      <c r="R55" s="414">
        <f>All_Detail_v2[[#This Row],[Scheduled Date]]</f>
        <v>46105</v>
      </c>
      <c r="S55" s="414">
        <f>All_Detail_v2[[#This Row],[Install Date]]</f>
        <v>0</v>
      </c>
    </row>
    <row r="56" spans="1:19">
      <c r="A56">
        <v>52</v>
      </c>
      <c r="B56" s="687" t="s">
        <v>362</v>
      </c>
      <c r="C56" s="689" t="s">
        <v>408</v>
      </c>
      <c r="D56" s="689" t="s">
        <v>411</v>
      </c>
      <c r="E56" s="689" t="s">
        <v>412</v>
      </c>
      <c r="F56" s="689">
        <v>1</v>
      </c>
      <c r="G56" s="689"/>
      <c r="H56" s="695"/>
      <c r="I56" s="695">
        <v>46105</v>
      </c>
      <c r="J56" s="689" t="s">
        <v>365</v>
      </c>
      <c r="K56" t="str">
        <f t="shared" si="2"/>
        <v>Switch</v>
      </c>
      <c r="M56" s="412">
        <f t="shared" si="0"/>
        <v>0</v>
      </c>
      <c r="N56" s="412">
        <f t="shared" si="3"/>
        <v>0</v>
      </c>
      <c r="O56" s="412">
        <f>All_Detail_v2[[#This Row],[Qty. Success]]</f>
        <v>0</v>
      </c>
      <c r="P56" s="230">
        <f>IF(All_Detail_v2[[#This Row],[Qty]]=0,1,(M56+N56+O56)/(All_Detail_v2[[#This Row],[Qty]]*3))</f>
        <v>0</v>
      </c>
      <c r="Q56" s="195"/>
      <c r="R56" s="414">
        <f>All_Detail_v2[[#This Row],[Scheduled Date]]</f>
        <v>46105</v>
      </c>
      <c r="S56" s="414">
        <f>All_Detail_v2[[#This Row],[Install Date]]</f>
        <v>0</v>
      </c>
    </row>
    <row r="57" spans="1:19">
      <c r="A57">
        <v>53</v>
      </c>
      <c r="B57" s="687" t="s">
        <v>362</v>
      </c>
      <c r="C57" s="689" t="s">
        <v>408</v>
      </c>
      <c r="D57" s="689" t="s">
        <v>413</v>
      </c>
      <c r="E57" s="689" t="s">
        <v>370</v>
      </c>
      <c r="F57" s="689">
        <v>2</v>
      </c>
      <c r="G57" s="689"/>
      <c r="H57" s="695"/>
      <c r="I57" s="695">
        <v>46105</v>
      </c>
      <c r="J57" s="689" t="s">
        <v>365</v>
      </c>
      <c r="K57" t="str">
        <f t="shared" si="2"/>
        <v>Switch</v>
      </c>
      <c r="M57" s="412">
        <f t="shared" si="0"/>
        <v>0</v>
      </c>
      <c r="N57" s="412">
        <f t="shared" si="3"/>
        <v>0</v>
      </c>
      <c r="O57" s="412">
        <f>All_Detail_v2[[#This Row],[Qty. Success]]</f>
        <v>0</v>
      </c>
      <c r="P57" s="230">
        <f>IF(All_Detail_v2[[#This Row],[Qty]]=0,1,(M57+N57+O57)/(All_Detail_v2[[#This Row],[Qty]]*3))</f>
        <v>0</v>
      </c>
      <c r="Q57" s="195"/>
      <c r="R57" s="414">
        <f>All_Detail_v2[[#This Row],[Scheduled Date]]</f>
        <v>46105</v>
      </c>
      <c r="S57" s="414">
        <f>All_Detail_v2[[#This Row],[Install Date]]</f>
        <v>0</v>
      </c>
    </row>
    <row r="58" spans="1:19">
      <c r="A58">
        <v>54</v>
      </c>
      <c r="B58" s="687" t="s">
        <v>362</v>
      </c>
      <c r="C58" s="689" t="s">
        <v>408</v>
      </c>
      <c r="D58" s="689" t="s">
        <v>413</v>
      </c>
      <c r="E58" s="689" t="s">
        <v>375</v>
      </c>
      <c r="F58" s="689">
        <v>1</v>
      </c>
      <c r="G58" s="689"/>
      <c r="H58" s="695"/>
      <c r="I58" s="695">
        <v>46105</v>
      </c>
      <c r="J58" s="689" t="s">
        <v>365</v>
      </c>
      <c r="K58" t="str">
        <f t="shared" si="2"/>
        <v>Switch</v>
      </c>
      <c r="M58" s="412">
        <f t="shared" si="0"/>
        <v>0</v>
      </c>
      <c r="N58" s="412">
        <f t="shared" si="3"/>
        <v>0</v>
      </c>
      <c r="O58" s="412">
        <f>All_Detail_v2[[#This Row],[Qty. Success]]</f>
        <v>0</v>
      </c>
      <c r="P58" s="230">
        <f>IF(All_Detail_v2[[#This Row],[Qty]]=0,1,(M58+N58+O58)/(All_Detail_v2[[#This Row],[Qty]]*3))</f>
        <v>0</v>
      </c>
      <c r="Q58" s="195"/>
      <c r="R58" s="414">
        <f>All_Detail_v2[[#This Row],[Scheduled Date]]</f>
        <v>46105</v>
      </c>
      <c r="S58" s="414">
        <f>All_Detail_v2[[#This Row],[Install Date]]</f>
        <v>0</v>
      </c>
    </row>
    <row r="59" spans="1:19">
      <c r="A59">
        <v>55</v>
      </c>
      <c r="B59" s="687" t="s">
        <v>362</v>
      </c>
      <c r="C59" s="689" t="s">
        <v>408</v>
      </c>
      <c r="D59" s="689" t="s">
        <v>413</v>
      </c>
      <c r="E59" s="689" t="s">
        <v>412</v>
      </c>
      <c r="F59" s="689">
        <v>1</v>
      </c>
      <c r="G59" s="689"/>
      <c r="H59" s="695"/>
      <c r="I59" s="695">
        <v>46105</v>
      </c>
      <c r="J59" s="689" t="s">
        <v>365</v>
      </c>
      <c r="K59" t="str">
        <f t="shared" si="2"/>
        <v>Switch</v>
      </c>
      <c r="M59" s="412">
        <f t="shared" si="0"/>
        <v>0</v>
      </c>
      <c r="N59" s="412">
        <f t="shared" si="3"/>
        <v>0</v>
      </c>
      <c r="O59" s="412">
        <f>All_Detail_v2[[#This Row],[Qty. Success]]</f>
        <v>0</v>
      </c>
      <c r="P59" s="230">
        <f>IF(All_Detail_v2[[#This Row],[Qty]]=0,1,(M59+N59+O59)/(All_Detail_v2[[#This Row],[Qty]]*3))</f>
        <v>0</v>
      </c>
      <c r="Q59" s="195"/>
      <c r="R59" s="414">
        <f>All_Detail_v2[[#This Row],[Scheduled Date]]</f>
        <v>46105</v>
      </c>
      <c r="S59" s="414">
        <f>All_Detail_v2[[#This Row],[Install Date]]</f>
        <v>0</v>
      </c>
    </row>
    <row r="60" spans="1:19">
      <c r="A60">
        <v>56</v>
      </c>
      <c r="B60" s="687" t="s">
        <v>362</v>
      </c>
      <c r="C60" s="689" t="s">
        <v>408</v>
      </c>
      <c r="D60" s="689" t="s">
        <v>414</v>
      </c>
      <c r="E60" s="689" t="s">
        <v>370</v>
      </c>
      <c r="F60" s="689">
        <v>2</v>
      </c>
      <c r="G60" s="689"/>
      <c r="H60" s="695"/>
      <c r="I60" s="695">
        <v>46105</v>
      </c>
      <c r="J60" s="689" t="s">
        <v>365</v>
      </c>
      <c r="K60" t="str">
        <f t="shared" si="2"/>
        <v>Switch</v>
      </c>
      <c r="M60" s="412">
        <f t="shared" si="0"/>
        <v>0</v>
      </c>
      <c r="N60" s="412">
        <f t="shared" si="3"/>
        <v>0</v>
      </c>
      <c r="O60" s="412">
        <f>All_Detail_v2[[#This Row],[Qty. Success]]</f>
        <v>0</v>
      </c>
      <c r="P60" s="230">
        <f>IF(All_Detail_v2[[#This Row],[Qty]]=0,1,(M60+N60+O60)/(All_Detail_v2[[#This Row],[Qty]]*3))</f>
        <v>0</v>
      </c>
      <c r="Q60" s="195"/>
      <c r="R60" s="414">
        <f>All_Detail_v2[[#This Row],[Scheduled Date]]</f>
        <v>46105</v>
      </c>
      <c r="S60" s="414">
        <f>All_Detail_v2[[#This Row],[Install Date]]</f>
        <v>0</v>
      </c>
    </row>
    <row r="61" spans="1:19">
      <c r="A61">
        <v>57</v>
      </c>
      <c r="B61" s="687" t="s">
        <v>362</v>
      </c>
      <c r="C61" s="689" t="s">
        <v>408</v>
      </c>
      <c r="D61" s="689" t="s">
        <v>414</v>
      </c>
      <c r="E61" s="689" t="s">
        <v>375</v>
      </c>
      <c r="F61" s="689">
        <v>1</v>
      </c>
      <c r="G61" s="689"/>
      <c r="H61" s="695"/>
      <c r="I61" s="695">
        <v>46105</v>
      </c>
      <c r="J61" s="689" t="s">
        <v>365</v>
      </c>
      <c r="K61" t="str">
        <f t="shared" si="2"/>
        <v>Switch</v>
      </c>
      <c r="M61" s="412">
        <f t="shared" si="0"/>
        <v>0</v>
      </c>
      <c r="N61" s="412">
        <f t="shared" si="3"/>
        <v>0</v>
      </c>
      <c r="O61" s="412">
        <f>All_Detail_v2[[#This Row],[Qty. Success]]</f>
        <v>0</v>
      </c>
      <c r="P61" s="230">
        <f>IF(All_Detail_v2[[#This Row],[Qty]]=0,1,(M61+N61+O61)/(All_Detail_v2[[#This Row],[Qty]]*3))</f>
        <v>0</v>
      </c>
      <c r="Q61" s="195"/>
      <c r="R61" s="414">
        <f>All_Detail_v2[[#This Row],[Scheduled Date]]</f>
        <v>46105</v>
      </c>
      <c r="S61" s="414">
        <f>All_Detail_v2[[#This Row],[Install Date]]</f>
        <v>0</v>
      </c>
    </row>
    <row r="62" spans="1:19">
      <c r="A62">
        <v>58</v>
      </c>
      <c r="B62" s="687" t="s">
        <v>362</v>
      </c>
      <c r="C62" s="689" t="s">
        <v>408</v>
      </c>
      <c r="D62" s="689" t="s">
        <v>414</v>
      </c>
      <c r="E62" s="689" t="s">
        <v>412</v>
      </c>
      <c r="F62" s="689">
        <v>1</v>
      </c>
      <c r="G62" s="689"/>
      <c r="H62" s="695"/>
      <c r="I62" s="695">
        <v>46105</v>
      </c>
      <c r="J62" s="689" t="s">
        <v>365</v>
      </c>
      <c r="K62" t="str">
        <f t="shared" si="2"/>
        <v>Switch</v>
      </c>
      <c r="M62" s="412">
        <f t="shared" si="0"/>
        <v>0</v>
      </c>
      <c r="N62" s="412">
        <f t="shared" si="3"/>
        <v>0</v>
      </c>
      <c r="O62" s="412">
        <f>All_Detail_v2[[#This Row],[Qty. Success]]</f>
        <v>0</v>
      </c>
      <c r="P62" s="230">
        <f>IF(All_Detail_v2[[#This Row],[Qty]]=0,1,(M62+N62+O62)/(All_Detail_v2[[#This Row],[Qty]]*3))</f>
        <v>0</v>
      </c>
      <c r="Q62" s="195"/>
      <c r="R62" s="414">
        <f>All_Detail_v2[[#This Row],[Scheduled Date]]</f>
        <v>46105</v>
      </c>
      <c r="S62" s="414">
        <f>All_Detail_v2[[#This Row],[Install Date]]</f>
        <v>0</v>
      </c>
    </row>
    <row r="63" spans="1:19">
      <c r="A63">
        <v>59</v>
      </c>
      <c r="B63" s="687" t="s">
        <v>362</v>
      </c>
      <c r="C63" s="689" t="s">
        <v>408</v>
      </c>
      <c r="D63" s="689" t="s">
        <v>415</v>
      </c>
      <c r="E63" s="689" t="s">
        <v>370</v>
      </c>
      <c r="F63" s="689">
        <v>1</v>
      </c>
      <c r="G63" s="689"/>
      <c r="H63" s="695"/>
      <c r="I63" s="695">
        <v>46106</v>
      </c>
      <c r="J63" s="689" t="s">
        <v>365</v>
      </c>
      <c r="K63" t="str">
        <f t="shared" si="2"/>
        <v>Switch</v>
      </c>
      <c r="M63" s="412">
        <f t="shared" si="0"/>
        <v>0</v>
      </c>
      <c r="N63" s="412">
        <f t="shared" si="3"/>
        <v>0</v>
      </c>
      <c r="O63" s="412">
        <f>All_Detail_v2[[#This Row],[Qty. Success]]</f>
        <v>0</v>
      </c>
      <c r="P63" s="230">
        <f>IF(All_Detail_v2[[#This Row],[Qty]]=0,1,(M63+N63+O63)/(All_Detail_v2[[#This Row],[Qty]]*3))</f>
        <v>0</v>
      </c>
      <c r="Q63" s="195"/>
      <c r="R63" s="414">
        <f>All_Detail_v2[[#This Row],[Scheduled Date]]</f>
        <v>46106</v>
      </c>
      <c r="S63" s="414">
        <f>All_Detail_v2[[#This Row],[Install Date]]</f>
        <v>0</v>
      </c>
    </row>
    <row r="64" spans="1:19">
      <c r="A64">
        <v>60</v>
      </c>
      <c r="B64" s="687" t="s">
        <v>362</v>
      </c>
      <c r="C64" s="689" t="s">
        <v>408</v>
      </c>
      <c r="D64" s="689" t="s">
        <v>415</v>
      </c>
      <c r="E64" s="689" t="s">
        <v>375</v>
      </c>
      <c r="F64" s="689">
        <v>1</v>
      </c>
      <c r="G64" s="689"/>
      <c r="H64" s="695"/>
      <c r="I64" s="695">
        <v>46106</v>
      </c>
      <c r="J64" s="689" t="s">
        <v>365</v>
      </c>
      <c r="K64" t="str">
        <f t="shared" si="2"/>
        <v>Switch</v>
      </c>
      <c r="M64" s="412">
        <f t="shared" si="0"/>
        <v>0</v>
      </c>
      <c r="N64" s="412">
        <f t="shared" si="3"/>
        <v>0</v>
      </c>
      <c r="O64" s="412">
        <f>All_Detail_v2[[#This Row],[Qty. Success]]</f>
        <v>0</v>
      </c>
      <c r="P64" s="230">
        <f>IF(All_Detail_v2[[#This Row],[Qty]]=0,1,(M64+N64+O64)/(All_Detail_v2[[#This Row],[Qty]]*3))</f>
        <v>0</v>
      </c>
      <c r="Q64" s="195"/>
      <c r="R64" s="414">
        <f>All_Detail_v2[[#This Row],[Scheduled Date]]</f>
        <v>46106</v>
      </c>
      <c r="S64" s="414">
        <f>All_Detail_v2[[#This Row],[Install Date]]</f>
        <v>0</v>
      </c>
    </row>
    <row r="65" spans="1:19">
      <c r="A65">
        <v>61</v>
      </c>
      <c r="B65" s="687" t="s">
        <v>362</v>
      </c>
      <c r="C65" s="689" t="s">
        <v>408</v>
      </c>
      <c r="D65" s="689" t="s">
        <v>415</v>
      </c>
      <c r="E65" s="689" t="s">
        <v>412</v>
      </c>
      <c r="F65" s="689">
        <v>1</v>
      </c>
      <c r="G65" s="689"/>
      <c r="H65" s="695"/>
      <c r="I65" s="695">
        <v>46106</v>
      </c>
      <c r="J65" s="689" t="s">
        <v>365</v>
      </c>
      <c r="K65" t="str">
        <f t="shared" si="2"/>
        <v>Switch</v>
      </c>
      <c r="M65" s="412">
        <f t="shared" si="0"/>
        <v>0</v>
      </c>
      <c r="N65" s="412">
        <f t="shared" si="3"/>
        <v>0</v>
      </c>
      <c r="O65" s="412">
        <f>All_Detail_v2[[#This Row],[Qty. Success]]</f>
        <v>0</v>
      </c>
      <c r="P65" s="230">
        <f>IF(All_Detail_v2[[#This Row],[Qty]]=0,1,(M65+N65+O65)/(All_Detail_v2[[#This Row],[Qty]]*3))</f>
        <v>0</v>
      </c>
      <c r="Q65" s="195"/>
      <c r="R65" s="414">
        <f>All_Detail_v2[[#This Row],[Scheduled Date]]</f>
        <v>46106</v>
      </c>
      <c r="S65" s="414">
        <f>All_Detail_v2[[#This Row],[Install Date]]</f>
        <v>0</v>
      </c>
    </row>
    <row r="66" spans="1:19">
      <c r="A66">
        <v>62</v>
      </c>
      <c r="B66" s="687" t="s">
        <v>362</v>
      </c>
      <c r="C66" s="689" t="s">
        <v>408</v>
      </c>
      <c r="D66" s="689" t="s">
        <v>416</v>
      </c>
      <c r="E66" s="689" t="s">
        <v>370</v>
      </c>
      <c r="F66" s="689">
        <v>2</v>
      </c>
      <c r="G66" s="689"/>
      <c r="H66" s="695"/>
      <c r="I66" s="695">
        <v>46106</v>
      </c>
      <c r="J66" s="689" t="s">
        <v>365</v>
      </c>
      <c r="K66" t="str">
        <f t="shared" si="2"/>
        <v>Switch</v>
      </c>
      <c r="M66" s="412">
        <f t="shared" ref="M66:M129" si="4">O66</f>
        <v>0</v>
      </c>
      <c r="N66" s="412">
        <f t="shared" si="3"/>
        <v>0</v>
      </c>
      <c r="O66" s="412">
        <f>All_Detail_v2[[#This Row],[Qty. Success]]</f>
        <v>0</v>
      </c>
      <c r="P66" s="230">
        <f>IF(All_Detail_v2[[#This Row],[Qty]]=0,1,(M66+N66+O66)/(All_Detail_v2[[#This Row],[Qty]]*3))</f>
        <v>0</v>
      </c>
      <c r="Q66" s="195"/>
      <c r="R66" s="414">
        <f>All_Detail_v2[[#This Row],[Scheduled Date]]</f>
        <v>46106</v>
      </c>
      <c r="S66" s="414">
        <f>All_Detail_v2[[#This Row],[Install Date]]</f>
        <v>0</v>
      </c>
    </row>
    <row r="67" spans="1:19">
      <c r="A67">
        <v>63</v>
      </c>
      <c r="B67" s="687" t="s">
        <v>362</v>
      </c>
      <c r="C67" s="689" t="s">
        <v>408</v>
      </c>
      <c r="D67" s="689" t="s">
        <v>416</v>
      </c>
      <c r="E67" s="689" t="s">
        <v>375</v>
      </c>
      <c r="F67" s="689">
        <v>1</v>
      </c>
      <c r="G67" s="689"/>
      <c r="H67" s="695"/>
      <c r="I67" s="695">
        <v>46106</v>
      </c>
      <c r="J67" s="689" t="s">
        <v>365</v>
      </c>
      <c r="K67" t="str">
        <f t="shared" ref="K67:K130" si="5">IF(ISNUMBER(SEARCH("Access Point",E67)),"AP",IF(OR(ISNUMBER(SEARCH("Switch",E67)),ISNUMBER(SEARCH("Control Type",E67))),"Switch","Infra"))</f>
        <v>Switch</v>
      </c>
      <c r="M67" s="412">
        <f t="shared" si="4"/>
        <v>0</v>
      </c>
      <c r="N67" s="412">
        <f t="shared" si="3"/>
        <v>0</v>
      </c>
      <c r="O67" s="412">
        <f>All_Detail_v2[[#This Row],[Qty. Success]]</f>
        <v>0</v>
      </c>
      <c r="P67" s="230">
        <f>IF(All_Detail_v2[[#This Row],[Qty]]=0,1,(M67+N67+O67)/(All_Detail_v2[[#This Row],[Qty]]*3))</f>
        <v>0</v>
      </c>
      <c r="Q67" s="195"/>
      <c r="R67" s="414">
        <f>All_Detail_v2[[#This Row],[Scheduled Date]]</f>
        <v>46106</v>
      </c>
      <c r="S67" s="414">
        <f>All_Detail_v2[[#This Row],[Install Date]]</f>
        <v>0</v>
      </c>
    </row>
    <row r="68" spans="1:19">
      <c r="A68">
        <v>64</v>
      </c>
      <c r="B68" s="687" t="s">
        <v>362</v>
      </c>
      <c r="C68" s="689" t="s">
        <v>408</v>
      </c>
      <c r="D68" s="689" t="s">
        <v>416</v>
      </c>
      <c r="E68" s="689" t="s">
        <v>410</v>
      </c>
      <c r="F68" s="689">
        <v>1</v>
      </c>
      <c r="G68" s="689"/>
      <c r="H68" s="695"/>
      <c r="I68" s="695">
        <v>46106</v>
      </c>
      <c r="J68" s="689" t="s">
        <v>365</v>
      </c>
      <c r="K68" t="str">
        <f t="shared" si="5"/>
        <v>Switch</v>
      </c>
      <c r="M68" s="412">
        <f t="shared" si="4"/>
        <v>0</v>
      </c>
      <c r="N68" s="412">
        <f t="shared" si="3"/>
        <v>0</v>
      </c>
      <c r="O68" s="412">
        <f>All_Detail_v2[[#This Row],[Qty. Success]]</f>
        <v>0</v>
      </c>
      <c r="P68" s="230">
        <f>IF(All_Detail_v2[[#This Row],[Qty]]=0,1,(M68+N68+O68)/(All_Detail_v2[[#This Row],[Qty]]*3))</f>
        <v>0</v>
      </c>
      <c r="Q68" s="195"/>
      <c r="R68" s="414">
        <f>All_Detail_v2[[#This Row],[Scheduled Date]]</f>
        <v>46106</v>
      </c>
      <c r="S68" s="414">
        <f>All_Detail_v2[[#This Row],[Install Date]]</f>
        <v>0</v>
      </c>
    </row>
    <row r="69" spans="1:19">
      <c r="A69">
        <v>65</v>
      </c>
      <c r="B69" s="687" t="s">
        <v>362</v>
      </c>
      <c r="C69" s="689" t="s">
        <v>408</v>
      </c>
      <c r="D69" s="689" t="s">
        <v>362</v>
      </c>
      <c r="E69" s="689" t="s">
        <v>370</v>
      </c>
      <c r="F69" s="689">
        <v>7</v>
      </c>
      <c r="G69" s="689">
        <v>7</v>
      </c>
      <c r="H69" s="695">
        <v>46063</v>
      </c>
      <c r="I69" s="695">
        <v>46063</v>
      </c>
      <c r="J69" s="689" t="s">
        <v>368</v>
      </c>
      <c r="K69" t="str">
        <f t="shared" si="5"/>
        <v>Switch</v>
      </c>
      <c r="M69" s="412">
        <f t="shared" si="4"/>
        <v>7</v>
      </c>
      <c r="N69" s="412">
        <f t="shared" si="3"/>
        <v>7</v>
      </c>
      <c r="O69" s="412">
        <f>All_Detail_v2[[#This Row],[Qty. Success]]</f>
        <v>7</v>
      </c>
      <c r="P69" s="230">
        <f>IF(All_Detail_v2[[#This Row],[Qty]]=0,1,(M69+N69+O69)/(All_Detail_v2[[#This Row],[Qty]]*3))</f>
        <v>1</v>
      </c>
      <c r="Q69" s="195"/>
      <c r="R69" s="414">
        <f>All_Detail_v2[[#This Row],[Scheduled Date]]</f>
        <v>46063</v>
      </c>
      <c r="S69" s="414">
        <f>All_Detail_v2[[#This Row],[Install Date]]</f>
        <v>46063</v>
      </c>
    </row>
    <row r="70" spans="1:19">
      <c r="A70">
        <v>66</v>
      </c>
      <c r="B70" s="687" t="s">
        <v>362</v>
      </c>
      <c r="C70" s="689" t="s">
        <v>408</v>
      </c>
      <c r="D70" s="689" t="s">
        <v>362</v>
      </c>
      <c r="E70" s="689" t="s">
        <v>375</v>
      </c>
      <c r="F70" s="689">
        <v>1</v>
      </c>
      <c r="G70" s="689">
        <v>1</v>
      </c>
      <c r="H70" s="695">
        <v>46063</v>
      </c>
      <c r="I70" s="695">
        <v>46063</v>
      </c>
      <c r="J70" s="689" t="s">
        <v>368</v>
      </c>
      <c r="K70" t="str">
        <f t="shared" si="5"/>
        <v>Switch</v>
      </c>
      <c r="M70" s="412">
        <f t="shared" si="4"/>
        <v>1</v>
      </c>
      <c r="N70" s="412">
        <f t="shared" ref="N70:N133" si="6">O70</f>
        <v>1</v>
      </c>
      <c r="O70" s="412">
        <f>All_Detail_v2[[#This Row],[Qty. Success]]</f>
        <v>1</v>
      </c>
      <c r="P70" s="230">
        <f>IF(All_Detail_v2[[#This Row],[Qty]]=0,1,(M70+N70+O70)/(All_Detail_v2[[#This Row],[Qty]]*3))</f>
        <v>1</v>
      </c>
      <c r="Q70" s="195"/>
      <c r="R70" s="414">
        <f>All_Detail_v2[[#This Row],[Scheduled Date]]</f>
        <v>46063</v>
      </c>
      <c r="S70" s="414">
        <f>All_Detail_v2[[#This Row],[Install Date]]</f>
        <v>46063</v>
      </c>
    </row>
    <row r="71" spans="1:19">
      <c r="A71">
        <v>67</v>
      </c>
      <c r="B71" s="687" t="s">
        <v>362</v>
      </c>
      <c r="C71" s="689" t="s">
        <v>408</v>
      </c>
      <c r="D71" s="689" t="s">
        <v>362</v>
      </c>
      <c r="E71" s="689" t="s">
        <v>412</v>
      </c>
      <c r="F71" s="689">
        <v>3</v>
      </c>
      <c r="G71" s="689">
        <v>3</v>
      </c>
      <c r="H71" s="695">
        <v>46063</v>
      </c>
      <c r="I71" s="695">
        <v>46063</v>
      </c>
      <c r="J71" s="689" t="s">
        <v>368</v>
      </c>
      <c r="K71" t="str">
        <f t="shared" si="5"/>
        <v>Switch</v>
      </c>
      <c r="M71" s="412">
        <f t="shared" si="4"/>
        <v>3</v>
      </c>
      <c r="N71" s="412">
        <f t="shared" si="6"/>
        <v>3</v>
      </c>
      <c r="O71" s="412">
        <f>All_Detail_v2[[#This Row],[Qty. Success]]</f>
        <v>3</v>
      </c>
      <c r="P71" s="230">
        <f>IF(All_Detail_v2[[#This Row],[Qty]]=0,1,(M71+N71+O71)/(All_Detail_v2[[#This Row],[Qty]]*3))</f>
        <v>1</v>
      </c>
      <c r="Q71" s="195"/>
      <c r="R71" s="414">
        <f>All_Detail_v2[[#This Row],[Scheduled Date]]</f>
        <v>46063</v>
      </c>
      <c r="S71" s="414">
        <f>All_Detail_v2[[#This Row],[Install Date]]</f>
        <v>46063</v>
      </c>
    </row>
    <row r="72" spans="1:19">
      <c r="A72">
        <v>68</v>
      </c>
      <c r="B72" s="687" t="s">
        <v>362</v>
      </c>
      <c r="C72" s="689" t="s">
        <v>408</v>
      </c>
      <c r="D72" s="689" t="s">
        <v>362</v>
      </c>
      <c r="E72" s="689" t="s">
        <v>410</v>
      </c>
      <c r="F72" s="689">
        <v>1</v>
      </c>
      <c r="G72" s="689">
        <v>1</v>
      </c>
      <c r="H72" s="695">
        <v>46063</v>
      </c>
      <c r="I72" s="695">
        <v>46063</v>
      </c>
      <c r="J72" s="689" t="s">
        <v>368</v>
      </c>
      <c r="K72" t="str">
        <f t="shared" si="5"/>
        <v>Switch</v>
      </c>
      <c r="M72" s="412">
        <f t="shared" si="4"/>
        <v>1</v>
      </c>
      <c r="N72" s="412">
        <f t="shared" si="6"/>
        <v>1</v>
      </c>
      <c r="O72" s="412">
        <f>All_Detail_v2[[#This Row],[Qty. Success]]</f>
        <v>1</v>
      </c>
      <c r="P72" s="230">
        <f>IF(All_Detail_v2[[#This Row],[Qty]]=0,1,(M72+N72+O72)/(All_Detail_v2[[#This Row],[Qty]]*3))</f>
        <v>1</v>
      </c>
      <c r="Q72" s="195"/>
      <c r="R72" s="414">
        <f>All_Detail_v2[[#This Row],[Scheduled Date]]</f>
        <v>46063</v>
      </c>
      <c r="S72" s="414">
        <f>All_Detail_v2[[#This Row],[Install Date]]</f>
        <v>46063</v>
      </c>
    </row>
    <row r="73" spans="1:19">
      <c r="A73">
        <v>69</v>
      </c>
      <c r="B73" s="687" t="s">
        <v>362</v>
      </c>
      <c r="C73" s="689" t="s">
        <v>408</v>
      </c>
      <c r="D73" s="689" t="s">
        <v>362</v>
      </c>
      <c r="E73" s="689" t="s">
        <v>417</v>
      </c>
      <c r="F73" s="689">
        <v>2</v>
      </c>
      <c r="G73" s="689">
        <v>2</v>
      </c>
      <c r="H73" s="695">
        <v>46063</v>
      </c>
      <c r="I73" s="695">
        <v>46063</v>
      </c>
      <c r="J73" s="689" t="s">
        <v>368</v>
      </c>
      <c r="K73" t="str">
        <f t="shared" si="5"/>
        <v>Switch</v>
      </c>
      <c r="M73" s="412">
        <f t="shared" si="4"/>
        <v>2</v>
      </c>
      <c r="N73" s="412">
        <f t="shared" si="6"/>
        <v>2</v>
      </c>
      <c r="O73" s="412">
        <f>All_Detail_v2[[#This Row],[Qty. Success]]</f>
        <v>2</v>
      </c>
      <c r="P73" s="230">
        <f>IF(All_Detail_v2[[#This Row],[Qty]]=0,1,(M73+N73+O73)/(All_Detail_v2[[#This Row],[Qty]]*3))</f>
        <v>1</v>
      </c>
      <c r="Q73" s="195"/>
      <c r="R73" s="414">
        <f>All_Detail_v2[[#This Row],[Scheduled Date]]</f>
        <v>46063</v>
      </c>
      <c r="S73" s="414">
        <f>All_Detail_v2[[#This Row],[Install Date]]</f>
        <v>46063</v>
      </c>
    </row>
    <row r="74" spans="1:19">
      <c r="A74">
        <v>70</v>
      </c>
      <c r="B74" s="687" t="s">
        <v>362</v>
      </c>
      <c r="C74" s="689" t="s">
        <v>408</v>
      </c>
      <c r="D74" s="689" t="s">
        <v>362</v>
      </c>
      <c r="E74" s="689" t="s">
        <v>418</v>
      </c>
      <c r="F74" s="689">
        <v>2</v>
      </c>
      <c r="G74" s="689">
        <v>2</v>
      </c>
      <c r="H74" s="695">
        <v>46063</v>
      </c>
      <c r="I74" s="695">
        <v>46063</v>
      </c>
      <c r="J74" s="689" t="s">
        <v>368</v>
      </c>
      <c r="K74" t="str">
        <f t="shared" si="5"/>
        <v>Switch</v>
      </c>
      <c r="M74" s="412">
        <f t="shared" si="4"/>
        <v>2</v>
      </c>
      <c r="N74" s="412">
        <f t="shared" si="6"/>
        <v>2</v>
      </c>
      <c r="O74" s="412">
        <f>All_Detail_v2[[#This Row],[Qty. Success]]</f>
        <v>2</v>
      </c>
      <c r="P74" s="230">
        <f>IF(All_Detail_v2[[#This Row],[Qty]]=0,1,(M74+N74+O74)/(All_Detail_v2[[#This Row],[Qty]]*3))</f>
        <v>1</v>
      </c>
      <c r="Q74" s="195"/>
      <c r="R74" s="414">
        <f>All_Detail_v2[[#This Row],[Scheduled Date]]</f>
        <v>46063</v>
      </c>
      <c r="S74" s="414">
        <f>All_Detail_v2[[#This Row],[Install Date]]</f>
        <v>46063</v>
      </c>
    </row>
    <row r="75" spans="1:19">
      <c r="A75">
        <v>71</v>
      </c>
      <c r="B75" s="687" t="s">
        <v>362</v>
      </c>
      <c r="C75" s="689" t="s">
        <v>408</v>
      </c>
      <c r="D75" s="689" t="s">
        <v>362</v>
      </c>
      <c r="E75" s="689" t="s">
        <v>419</v>
      </c>
      <c r="F75" s="689">
        <v>1</v>
      </c>
      <c r="G75" s="689">
        <v>1</v>
      </c>
      <c r="H75" s="695">
        <v>46063</v>
      </c>
      <c r="I75" s="695">
        <v>46063</v>
      </c>
      <c r="J75" s="689" t="s">
        <v>368</v>
      </c>
      <c r="K75" t="str">
        <f t="shared" si="5"/>
        <v>Switch</v>
      </c>
      <c r="M75" s="412">
        <f t="shared" si="4"/>
        <v>1</v>
      </c>
      <c r="N75" s="412">
        <f t="shared" si="6"/>
        <v>1</v>
      </c>
      <c r="O75" s="412">
        <f>All_Detail_v2[[#This Row],[Qty. Success]]</f>
        <v>1</v>
      </c>
      <c r="P75" s="230">
        <f>IF(All_Detail_v2[[#This Row],[Qty]]=0,1,(M75+N75+O75)/(All_Detail_v2[[#This Row],[Qty]]*3))</f>
        <v>1</v>
      </c>
      <c r="Q75" s="195"/>
      <c r="R75" s="414">
        <f>All_Detail_v2[[#This Row],[Scheduled Date]]</f>
        <v>46063</v>
      </c>
      <c r="S75" s="414">
        <f>All_Detail_v2[[#This Row],[Install Date]]</f>
        <v>46063</v>
      </c>
    </row>
    <row r="76" spans="1:19">
      <c r="A76">
        <v>72</v>
      </c>
      <c r="B76" s="687" t="s">
        <v>362</v>
      </c>
      <c r="C76" s="689" t="s">
        <v>408</v>
      </c>
      <c r="D76" s="689" t="s">
        <v>362</v>
      </c>
      <c r="E76" s="689" t="s">
        <v>420</v>
      </c>
      <c r="F76" s="689">
        <v>2</v>
      </c>
      <c r="G76" s="689">
        <v>2</v>
      </c>
      <c r="H76" s="695">
        <v>46063</v>
      </c>
      <c r="I76" s="695">
        <v>46063</v>
      </c>
      <c r="J76" s="689" t="s">
        <v>368</v>
      </c>
      <c r="K76" t="str">
        <f t="shared" si="5"/>
        <v>Infra</v>
      </c>
      <c r="M76" s="412">
        <f t="shared" si="4"/>
        <v>2</v>
      </c>
      <c r="N76" s="412">
        <f t="shared" si="6"/>
        <v>2</v>
      </c>
      <c r="O76" s="412">
        <f>All_Detail_v2[[#This Row],[Qty. Success]]</f>
        <v>2</v>
      </c>
      <c r="P76" s="230">
        <f>IF(All_Detail_v2[[#This Row],[Qty]]=0,1,(M76+N76+O76)/(All_Detail_v2[[#This Row],[Qty]]*3))</f>
        <v>1</v>
      </c>
      <c r="Q76" s="195"/>
      <c r="R76" s="414">
        <f>All_Detail_v2[[#This Row],[Scheduled Date]]</f>
        <v>46063</v>
      </c>
      <c r="S76" s="414">
        <f>All_Detail_v2[[#This Row],[Install Date]]</f>
        <v>46063</v>
      </c>
    </row>
    <row r="77" spans="1:19">
      <c r="A77">
        <v>73</v>
      </c>
      <c r="B77" s="687" t="s">
        <v>362</v>
      </c>
      <c r="C77" s="689" t="s">
        <v>408</v>
      </c>
      <c r="D77" s="689" t="s">
        <v>362</v>
      </c>
      <c r="E77" s="689" t="s">
        <v>421</v>
      </c>
      <c r="F77" s="689">
        <v>2</v>
      </c>
      <c r="G77" s="689">
        <v>2</v>
      </c>
      <c r="H77" s="695">
        <v>46063</v>
      </c>
      <c r="I77" s="695">
        <v>46063</v>
      </c>
      <c r="J77" s="689" t="s">
        <v>368</v>
      </c>
      <c r="K77" t="str">
        <f t="shared" si="5"/>
        <v>Infra</v>
      </c>
      <c r="L77" s="634" t="s">
        <v>422</v>
      </c>
      <c r="M77" s="412">
        <f t="shared" si="4"/>
        <v>2</v>
      </c>
      <c r="N77" s="412">
        <f t="shared" si="6"/>
        <v>2</v>
      </c>
      <c r="O77" s="412">
        <f>All_Detail_v2[[#This Row],[Qty. Success]]</f>
        <v>2</v>
      </c>
      <c r="P77" s="230">
        <f>IF(All_Detail_v2[[#This Row],[Qty]]=0,1,(M77+N77+O77)/(All_Detail_v2[[#This Row],[Qty]]*3))</f>
        <v>1</v>
      </c>
      <c r="Q77" s="195"/>
      <c r="R77" s="414">
        <f>All_Detail_v2[[#This Row],[Scheduled Date]]</f>
        <v>46063</v>
      </c>
      <c r="S77" s="414">
        <f>All_Detail_v2[[#This Row],[Install Date]]</f>
        <v>46063</v>
      </c>
    </row>
    <row r="78" spans="1:19">
      <c r="A78">
        <v>74</v>
      </c>
      <c r="B78" s="687" t="s">
        <v>362</v>
      </c>
      <c r="C78" s="689" t="s">
        <v>408</v>
      </c>
      <c r="D78" s="689" t="s">
        <v>423</v>
      </c>
      <c r="E78" s="689" t="s">
        <v>370</v>
      </c>
      <c r="F78" s="689">
        <v>1</v>
      </c>
      <c r="G78" s="689"/>
      <c r="H78" s="695"/>
      <c r="I78" s="695">
        <v>46106</v>
      </c>
      <c r="J78" s="689" t="s">
        <v>365</v>
      </c>
      <c r="K78" t="str">
        <f t="shared" si="5"/>
        <v>Switch</v>
      </c>
      <c r="M78" s="412">
        <f t="shared" si="4"/>
        <v>0</v>
      </c>
      <c r="N78" s="412">
        <f t="shared" si="6"/>
        <v>0</v>
      </c>
      <c r="O78" s="412">
        <f>All_Detail_v2[[#This Row],[Qty. Success]]</f>
        <v>0</v>
      </c>
      <c r="P78" s="230">
        <f>IF(All_Detail_v2[[#This Row],[Qty]]=0,1,(M78+N78+O78)/(All_Detail_v2[[#This Row],[Qty]]*3))</f>
        <v>0</v>
      </c>
      <c r="Q78" s="195"/>
      <c r="R78" s="414">
        <f>All_Detail_v2[[#This Row],[Scheduled Date]]</f>
        <v>46106</v>
      </c>
      <c r="S78" s="414">
        <f>All_Detail_v2[[#This Row],[Install Date]]</f>
        <v>0</v>
      </c>
    </row>
    <row r="79" spans="1:19">
      <c r="A79">
        <v>75</v>
      </c>
      <c r="B79" s="687" t="s">
        <v>362</v>
      </c>
      <c r="C79" s="689" t="s">
        <v>408</v>
      </c>
      <c r="D79" s="689" t="s">
        <v>423</v>
      </c>
      <c r="E79" s="689" t="s">
        <v>375</v>
      </c>
      <c r="F79" s="689">
        <v>1</v>
      </c>
      <c r="G79" s="689"/>
      <c r="H79" s="695"/>
      <c r="I79" s="695">
        <v>46106</v>
      </c>
      <c r="J79" s="689" t="s">
        <v>365</v>
      </c>
      <c r="K79" t="str">
        <f t="shared" si="5"/>
        <v>Switch</v>
      </c>
      <c r="M79" s="412">
        <f t="shared" si="4"/>
        <v>0</v>
      </c>
      <c r="N79" s="412">
        <f t="shared" si="6"/>
        <v>0</v>
      </c>
      <c r="O79" s="412">
        <f>All_Detail_v2[[#This Row],[Qty. Success]]</f>
        <v>0</v>
      </c>
      <c r="P79" s="230">
        <f>IF(All_Detail_v2[[#This Row],[Qty]]=0,1,(M79+N79+O79)/(All_Detail_v2[[#This Row],[Qty]]*3))</f>
        <v>0</v>
      </c>
      <c r="Q79" s="195"/>
      <c r="R79" s="414">
        <f>All_Detail_v2[[#This Row],[Scheduled Date]]</f>
        <v>46106</v>
      </c>
      <c r="S79" s="414">
        <f>All_Detail_v2[[#This Row],[Install Date]]</f>
        <v>0</v>
      </c>
    </row>
    <row r="80" spans="1:19">
      <c r="A80">
        <v>76</v>
      </c>
      <c r="B80" s="687" t="s">
        <v>362</v>
      </c>
      <c r="C80" s="689" t="s">
        <v>408</v>
      </c>
      <c r="D80" s="689" t="s">
        <v>423</v>
      </c>
      <c r="E80" s="689" t="s">
        <v>410</v>
      </c>
      <c r="F80" s="689">
        <v>1</v>
      </c>
      <c r="G80" s="689"/>
      <c r="H80" s="695"/>
      <c r="I80" s="695">
        <v>46106</v>
      </c>
      <c r="J80" s="689" t="s">
        <v>365</v>
      </c>
      <c r="K80" t="str">
        <f t="shared" si="5"/>
        <v>Switch</v>
      </c>
      <c r="M80" s="412">
        <f t="shared" si="4"/>
        <v>0</v>
      </c>
      <c r="N80" s="412">
        <f t="shared" si="6"/>
        <v>0</v>
      </c>
      <c r="O80" s="412">
        <f>All_Detail_v2[[#This Row],[Qty. Success]]</f>
        <v>0</v>
      </c>
      <c r="P80" s="230">
        <f>IF(All_Detail_v2[[#This Row],[Qty]]=0,1,(M80+N80+O80)/(All_Detail_v2[[#This Row],[Qty]]*3))</f>
        <v>0</v>
      </c>
      <c r="Q80" s="195"/>
      <c r="R80" s="414">
        <f>All_Detail_v2[[#This Row],[Scheduled Date]]</f>
        <v>46106</v>
      </c>
      <c r="S80" s="414">
        <f>All_Detail_v2[[#This Row],[Install Date]]</f>
        <v>0</v>
      </c>
    </row>
    <row r="81" spans="1:19">
      <c r="A81">
        <v>77</v>
      </c>
      <c r="B81" s="687" t="s">
        <v>362</v>
      </c>
      <c r="C81" s="689" t="s">
        <v>408</v>
      </c>
      <c r="D81" s="689" t="s">
        <v>424</v>
      </c>
      <c r="E81" s="689" t="s">
        <v>370</v>
      </c>
      <c r="F81" s="689">
        <v>1</v>
      </c>
      <c r="G81" s="689"/>
      <c r="H81" s="695"/>
      <c r="I81" s="695">
        <v>46107</v>
      </c>
      <c r="J81" s="689" t="s">
        <v>365</v>
      </c>
      <c r="K81" t="str">
        <f t="shared" si="5"/>
        <v>Switch</v>
      </c>
      <c r="M81" s="412">
        <f t="shared" si="4"/>
        <v>0</v>
      </c>
      <c r="N81" s="412">
        <f t="shared" si="6"/>
        <v>0</v>
      </c>
      <c r="O81" s="412">
        <f>All_Detail_v2[[#This Row],[Qty. Success]]</f>
        <v>0</v>
      </c>
      <c r="P81" s="230">
        <f>IF(All_Detail_v2[[#This Row],[Qty]]=0,1,(M81+N81+O81)/(All_Detail_v2[[#This Row],[Qty]]*3))</f>
        <v>0</v>
      </c>
      <c r="Q81" s="195"/>
      <c r="R81" s="414">
        <f>All_Detail_v2[[#This Row],[Scheduled Date]]</f>
        <v>46107</v>
      </c>
      <c r="S81" s="414">
        <f>All_Detail_v2[[#This Row],[Install Date]]</f>
        <v>0</v>
      </c>
    </row>
    <row r="82" spans="1:19">
      <c r="A82">
        <v>78</v>
      </c>
      <c r="B82" s="687" t="s">
        <v>362</v>
      </c>
      <c r="C82" s="689" t="s">
        <v>408</v>
      </c>
      <c r="D82" s="689" t="s">
        <v>424</v>
      </c>
      <c r="E82" s="689" t="s">
        <v>375</v>
      </c>
      <c r="F82" s="689">
        <v>1</v>
      </c>
      <c r="G82" s="689"/>
      <c r="H82" s="695"/>
      <c r="I82" s="695">
        <v>46107</v>
      </c>
      <c r="J82" s="689" t="s">
        <v>365</v>
      </c>
      <c r="K82" t="str">
        <f t="shared" si="5"/>
        <v>Switch</v>
      </c>
      <c r="M82" s="412">
        <f t="shared" si="4"/>
        <v>0</v>
      </c>
      <c r="N82" s="412">
        <f t="shared" si="6"/>
        <v>0</v>
      </c>
      <c r="O82" s="412">
        <f>All_Detail_v2[[#This Row],[Qty. Success]]</f>
        <v>0</v>
      </c>
      <c r="P82" s="230">
        <f>IF(All_Detail_v2[[#This Row],[Qty]]=0,1,(M82+N82+O82)/(All_Detail_v2[[#This Row],[Qty]]*3))</f>
        <v>0</v>
      </c>
      <c r="Q82" s="195"/>
      <c r="R82" s="414">
        <f>All_Detail_v2[[#This Row],[Scheduled Date]]</f>
        <v>46107</v>
      </c>
      <c r="S82" s="414">
        <f>All_Detail_v2[[#This Row],[Install Date]]</f>
        <v>0</v>
      </c>
    </row>
    <row r="83" spans="1:19">
      <c r="A83">
        <v>79</v>
      </c>
      <c r="B83" s="687" t="s">
        <v>362</v>
      </c>
      <c r="C83" s="689" t="s">
        <v>408</v>
      </c>
      <c r="D83" s="689" t="s">
        <v>424</v>
      </c>
      <c r="E83" s="689" t="s">
        <v>410</v>
      </c>
      <c r="F83" s="689">
        <v>1</v>
      </c>
      <c r="G83" s="689"/>
      <c r="H83" s="695"/>
      <c r="I83" s="695">
        <v>46107</v>
      </c>
      <c r="J83" s="689" t="s">
        <v>365</v>
      </c>
      <c r="K83" t="str">
        <f t="shared" si="5"/>
        <v>Switch</v>
      </c>
      <c r="M83" s="412">
        <f t="shared" si="4"/>
        <v>0</v>
      </c>
      <c r="N83" s="412">
        <f t="shared" si="6"/>
        <v>0</v>
      </c>
      <c r="O83" s="412">
        <f>All_Detail_v2[[#This Row],[Qty. Success]]</f>
        <v>0</v>
      </c>
      <c r="P83" s="230">
        <f>IF(All_Detail_v2[[#This Row],[Qty]]=0,1,(M83+N83+O83)/(All_Detail_v2[[#This Row],[Qty]]*3))</f>
        <v>0</v>
      </c>
      <c r="Q83" s="195"/>
      <c r="R83" s="414">
        <f>All_Detail_v2[[#This Row],[Scheduled Date]]</f>
        <v>46107</v>
      </c>
      <c r="S83" s="414">
        <f>All_Detail_v2[[#This Row],[Install Date]]</f>
        <v>0</v>
      </c>
    </row>
    <row r="84" spans="1:19">
      <c r="A84">
        <v>80</v>
      </c>
      <c r="B84" s="687" t="s">
        <v>362</v>
      </c>
      <c r="C84" s="689" t="s">
        <v>408</v>
      </c>
      <c r="D84" s="689" t="s">
        <v>425</v>
      </c>
      <c r="E84" s="689" t="s">
        <v>370</v>
      </c>
      <c r="F84" s="689">
        <v>6</v>
      </c>
      <c r="G84" s="689"/>
      <c r="H84" s="695"/>
      <c r="I84" s="695">
        <v>46107</v>
      </c>
      <c r="J84" s="689" t="s">
        <v>365</v>
      </c>
      <c r="K84" t="str">
        <f t="shared" si="5"/>
        <v>Switch</v>
      </c>
      <c r="M84" s="412">
        <f t="shared" si="4"/>
        <v>0</v>
      </c>
      <c r="N84" s="412">
        <f t="shared" si="6"/>
        <v>0</v>
      </c>
      <c r="O84" s="412">
        <f>All_Detail_v2[[#This Row],[Qty. Success]]</f>
        <v>0</v>
      </c>
      <c r="P84" s="230">
        <f>IF(All_Detail_v2[[#This Row],[Qty]]=0,1,(M84+N84+O84)/(All_Detail_v2[[#This Row],[Qty]]*3))</f>
        <v>0</v>
      </c>
      <c r="Q84" s="195"/>
      <c r="R84" s="414">
        <f>All_Detail_v2[[#This Row],[Scheduled Date]]</f>
        <v>46107</v>
      </c>
      <c r="S84" s="414">
        <f>All_Detail_v2[[#This Row],[Install Date]]</f>
        <v>0</v>
      </c>
    </row>
    <row r="85" spans="1:19">
      <c r="A85">
        <v>81</v>
      </c>
      <c r="B85" s="687" t="s">
        <v>362</v>
      </c>
      <c r="C85" s="689" t="s">
        <v>408</v>
      </c>
      <c r="D85" s="689" t="s">
        <v>425</v>
      </c>
      <c r="E85" s="689" t="s">
        <v>375</v>
      </c>
      <c r="F85" s="689">
        <v>1</v>
      </c>
      <c r="G85" s="689"/>
      <c r="H85" s="695"/>
      <c r="I85" s="695">
        <v>46107</v>
      </c>
      <c r="J85" s="689" t="s">
        <v>365</v>
      </c>
      <c r="K85" t="str">
        <f t="shared" si="5"/>
        <v>Switch</v>
      </c>
      <c r="M85" s="412">
        <f t="shared" si="4"/>
        <v>0</v>
      </c>
      <c r="N85" s="412">
        <f t="shared" si="6"/>
        <v>0</v>
      </c>
      <c r="O85" s="412">
        <f>All_Detail_v2[[#This Row],[Qty. Success]]</f>
        <v>0</v>
      </c>
      <c r="P85" s="230">
        <f>IF(All_Detail_v2[[#This Row],[Qty]]=0,1,(M85+N85+O85)/(All_Detail_v2[[#This Row],[Qty]]*3))</f>
        <v>0</v>
      </c>
      <c r="Q85" s="195"/>
      <c r="R85" s="414">
        <f>All_Detail_v2[[#This Row],[Scheduled Date]]</f>
        <v>46107</v>
      </c>
      <c r="S85" s="414">
        <f>All_Detail_v2[[#This Row],[Install Date]]</f>
        <v>0</v>
      </c>
    </row>
    <row r="86" spans="1:19">
      <c r="A86">
        <v>82</v>
      </c>
      <c r="B86" s="687" t="s">
        <v>362</v>
      </c>
      <c r="C86" s="689" t="s">
        <v>408</v>
      </c>
      <c r="D86" s="689" t="s">
        <v>425</v>
      </c>
      <c r="E86" s="689" t="s">
        <v>412</v>
      </c>
      <c r="F86" s="689">
        <v>2</v>
      </c>
      <c r="G86" s="689"/>
      <c r="H86" s="695"/>
      <c r="I86" s="695">
        <v>46107</v>
      </c>
      <c r="J86" s="689" t="s">
        <v>365</v>
      </c>
      <c r="K86" t="str">
        <f t="shared" si="5"/>
        <v>Switch</v>
      </c>
      <c r="M86" s="412">
        <f t="shared" si="4"/>
        <v>0</v>
      </c>
      <c r="N86" s="412">
        <f t="shared" si="6"/>
        <v>0</v>
      </c>
      <c r="O86" s="412">
        <f>All_Detail_v2[[#This Row],[Qty. Success]]</f>
        <v>0</v>
      </c>
      <c r="P86" s="230">
        <f>IF(All_Detail_v2[[#This Row],[Qty]]=0,1,(M86+N86+O86)/(All_Detail_v2[[#This Row],[Qty]]*3))</f>
        <v>0</v>
      </c>
      <c r="Q86" s="195"/>
      <c r="R86" s="414">
        <f>All_Detail_v2[[#This Row],[Scheduled Date]]</f>
        <v>46107</v>
      </c>
      <c r="S86" s="414">
        <f>All_Detail_v2[[#This Row],[Install Date]]</f>
        <v>0</v>
      </c>
    </row>
    <row r="87" spans="1:19">
      <c r="A87">
        <v>83</v>
      </c>
      <c r="B87" s="687" t="s">
        <v>362</v>
      </c>
      <c r="C87" s="689" t="s">
        <v>408</v>
      </c>
      <c r="D87" s="689" t="s">
        <v>425</v>
      </c>
      <c r="E87" s="689" t="s">
        <v>410</v>
      </c>
      <c r="F87" s="689">
        <v>1</v>
      </c>
      <c r="G87" s="689"/>
      <c r="H87" s="695"/>
      <c r="I87" s="695">
        <v>46107</v>
      </c>
      <c r="J87" s="689" t="s">
        <v>365</v>
      </c>
      <c r="K87" t="str">
        <f t="shared" si="5"/>
        <v>Switch</v>
      </c>
      <c r="M87" s="412">
        <f t="shared" si="4"/>
        <v>0</v>
      </c>
      <c r="N87" s="412">
        <f t="shared" si="6"/>
        <v>0</v>
      </c>
      <c r="O87" s="412">
        <f>All_Detail_v2[[#This Row],[Qty. Success]]</f>
        <v>0</v>
      </c>
      <c r="P87" s="230">
        <f>IF(All_Detail_v2[[#This Row],[Qty]]=0,1,(M87+N87+O87)/(All_Detail_v2[[#This Row],[Qty]]*3))</f>
        <v>0</v>
      </c>
      <c r="Q87" s="195"/>
      <c r="R87" s="414">
        <f>All_Detail_v2[[#This Row],[Scheduled Date]]</f>
        <v>46107</v>
      </c>
      <c r="S87" s="414">
        <f>All_Detail_v2[[#This Row],[Install Date]]</f>
        <v>0</v>
      </c>
    </row>
    <row r="88" spans="1:19">
      <c r="A88">
        <v>84</v>
      </c>
      <c r="B88" s="687" t="s">
        <v>362</v>
      </c>
      <c r="C88" s="689" t="s">
        <v>408</v>
      </c>
      <c r="D88" s="689" t="s">
        <v>425</v>
      </c>
      <c r="E88" s="689" t="s">
        <v>417</v>
      </c>
      <c r="F88" s="689">
        <v>2</v>
      </c>
      <c r="G88" s="689">
        <v>2</v>
      </c>
      <c r="H88" s="695">
        <v>46063</v>
      </c>
      <c r="I88" s="695">
        <v>46063</v>
      </c>
      <c r="J88" s="689" t="s">
        <v>368</v>
      </c>
      <c r="K88" t="str">
        <f t="shared" si="5"/>
        <v>Switch</v>
      </c>
      <c r="M88" s="412">
        <f t="shared" si="4"/>
        <v>2</v>
      </c>
      <c r="N88" s="412">
        <f t="shared" si="6"/>
        <v>2</v>
      </c>
      <c r="O88" s="412">
        <f>All_Detail_v2[[#This Row],[Qty. Success]]</f>
        <v>2</v>
      </c>
      <c r="P88" s="230">
        <f>IF(All_Detail_v2[[#This Row],[Qty]]=0,1,(M88+N88+O88)/(All_Detail_v2[[#This Row],[Qty]]*3))</f>
        <v>1</v>
      </c>
      <c r="Q88" s="195"/>
      <c r="R88" s="414">
        <f>All_Detail_v2[[#This Row],[Scheduled Date]]</f>
        <v>46063</v>
      </c>
      <c r="S88" s="414">
        <f>All_Detail_v2[[#This Row],[Install Date]]</f>
        <v>46063</v>
      </c>
    </row>
    <row r="89" spans="1:19">
      <c r="A89">
        <v>85</v>
      </c>
      <c r="B89" s="687" t="s">
        <v>362</v>
      </c>
      <c r="C89" s="689" t="s">
        <v>408</v>
      </c>
      <c r="D89" s="689" t="s">
        <v>425</v>
      </c>
      <c r="E89" s="689" t="s">
        <v>418</v>
      </c>
      <c r="F89" s="689">
        <v>2</v>
      </c>
      <c r="G89" s="689">
        <v>2</v>
      </c>
      <c r="H89" s="695">
        <v>46063</v>
      </c>
      <c r="I89" s="695">
        <v>46063</v>
      </c>
      <c r="J89" s="689" t="s">
        <v>368</v>
      </c>
      <c r="K89" t="str">
        <f t="shared" si="5"/>
        <v>Switch</v>
      </c>
      <c r="M89" s="412">
        <f t="shared" si="4"/>
        <v>2</v>
      </c>
      <c r="N89" s="412">
        <f t="shared" si="6"/>
        <v>2</v>
      </c>
      <c r="O89" s="412">
        <f>All_Detail_v2[[#This Row],[Qty. Success]]</f>
        <v>2</v>
      </c>
      <c r="P89" s="230">
        <f>IF(All_Detail_v2[[#This Row],[Qty]]=0,1,(M89+N89+O89)/(All_Detail_v2[[#This Row],[Qty]]*3))</f>
        <v>1</v>
      </c>
      <c r="Q89" s="195"/>
      <c r="R89" s="414">
        <f>All_Detail_v2[[#This Row],[Scheduled Date]]</f>
        <v>46063</v>
      </c>
      <c r="S89" s="414">
        <f>All_Detail_v2[[#This Row],[Install Date]]</f>
        <v>46063</v>
      </c>
    </row>
    <row r="90" spans="1:19">
      <c r="A90">
        <v>86</v>
      </c>
      <c r="B90" s="687" t="s">
        <v>362</v>
      </c>
      <c r="C90" s="689" t="s">
        <v>408</v>
      </c>
      <c r="D90" s="689" t="s">
        <v>425</v>
      </c>
      <c r="E90" s="689" t="s">
        <v>419</v>
      </c>
      <c r="F90" s="689">
        <v>1</v>
      </c>
      <c r="G90" s="689">
        <v>1</v>
      </c>
      <c r="H90" s="695">
        <v>46063</v>
      </c>
      <c r="I90" s="695">
        <v>46063</v>
      </c>
      <c r="J90" s="689" t="s">
        <v>368</v>
      </c>
      <c r="K90" t="str">
        <f t="shared" si="5"/>
        <v>Switch</v>
      </c>
      <c r="L90" s="634" t="s">
        <v>426</v>
      </c>
      <c r="M90" s="412">
        <f t="shared" si="4"/>
        <v>1</v>
      </c>
      <c r="N90" s="412">
        <f t="shared" si="6"/>
        <v>1</v>
      </c>
      <c r="O90" s="412">
        <f>All_Detail_v2[[#This Row],[Qty. Success]]</f>
        <v>1</v>
      </c>
      <c r="P90" s="230">
        <f>IF(All_Detail_v2[[#This Row],[Qty]]=0,1,(M90+N90+O90)/(All_Detail_v2[[#This Row],[Qty]]*3))</f>
        <v>1</v>
      </c>
      <c r="Q90" s="195"/>
      <c r="R90" s="414">
        <f>All_Detail_v2[[#This Row],[Scheduled Date]]</f>
        <v>46063</v>
      </c>
      <c r="S90" s="414">
        <f>All_Detail_v2[[#This Row],[Install Date]]</f>
        <v>46063</v>
      </c>
    </row>
    <row r="91" spans="1:19">
      <c r="A91">
        <v>87</v>
      </c>
      <c r="B91" s="689" t="s">
        <v>425</v>
      </c>
      <c r="C91" s="689" t="s">
        <v>408</v>
      </c>
      <c r="D91" s="689" t="s">
        <v>425</v>
      </c>
      <c r="E91" s="689" t="s">
        <v>421</v>
      </c>
      <c r="F91" s="689">
        <v>2</v>
      </c>
      <c r="G91" s="689">
        <v>2</v>
      </c>
      <c r="H91" s="695">
        <v>46063</v>
      </c>
      <c r="I91" s="695">
        <v>46063</v>
      </c>
      <c r="J91" s="689" t="s">
        <v>368</v>
      </c>
      <c r="K91" t="str">
        <f t="shared" si="5"/>
        <v>Infra</v>
      </c>
      <c r="L91" s="634" t="s">
        <v>422</v>
      </c>
      <c r="M91" s="412">
        <f t="shared" si="4"/>
        <v>2</v>
      </c>
      <c r="N91" s="412">
        <f t="shared" si="6"/>
        <v>2</v>
      </c>
      <c r="O91" s="412">
        <f>All_Detail_v2[[#This Row],[Qty. Success]]</f>
        <v>2</v>
      </c>
      <c r="P91" s="230">
        <f>IF(All_Detail_v2[[#This Row],[Qty]]=0,1,(M91+N91+O91)/(All_Detail_v2[[#This Row],[Qty]]*3))</f>
        <v>1</v>
      </c>
      <c r="Q91" s="195"/>
      <c r="R91" s="414">
        <f>All_Detail_v2[[#This Row],[Scheduled Date]]</f>
        <v>46063</v>
      </c>
      <c r="S91" s="414">
        <f>All_Detail_v2[[#This Row],[Install Date]]</f>
        <v>46063</v>
      </c>
    </row>
    <row r="92" spans="1:19">
      <c r="A92">
        <v>88</v>
      </c>
      <c r="B92" s="687" t="s">
        <v>362</v>
      </c>
      <c r="C92" s="689" t="s">
        <v>408</v>
      </c>
      <c r="D92" s="689" t="s">
        <v>427</v>
      </c>
      <c r="E92" s="689" t="s">
        <v>370</v>
      </c>
      <c r="F92" s="689">
        <v>2</v>
      </c>
      <c r="G92" s="689">
        <v>2</v>
      </c>
      <c r="H92" s="695">
        <v>46070</v>
      </c>
      <c r="I92" s="695">
        <v>46070</v>
      </c>
      <c r="J92" s="689" t="s">
        <v>368</v>
      </c>
      <c r="K92" t="str">
        <f t="shared" si="5"/>
        <v>Switch</v>
      </c>
      <c r="M92" s="412">
        <f t="shared" si="4"/>
        <v>2</v>
      </c>
      <c r="N92" s="412">
        <f t="shared" si="6"/>
        <v>2</v>
      </c>
      <c r="O92" s="412">
        <f>All_Detail_v2[[#This Row],[Qty. Success]]</f>
        <v>2</v>
      </c>
      <c r="P92" s="230">
        <f>IF(All_Detail_v2[[#This Row],[Qty]]=0,1,(M92+N92+O92)/(All_Detail_v2[[#This Row],[Qty]]*3))</f>
        <v>1</v>
      </c>
      <c r="Q92" s="195"/>
      <c r="R92" s="414">
        <f>All_Detail_v2[[#This Row],[Scheduled Date]]</f>
        <v>46070</v>
      </c>
      <c r="S92" s="414">
        <f>All_Detail_v2[[#This Row],[Install Date]]</f>
        <v>46070</v>
      </c>
    </row>
    <row r="93" spans="1:19">
      <c r="A93">
        <v>89</v>
      </c>
      <c r="B93" s="687" t="s">
        <v>362</v>
      </c>
      <c r="C93" s="689" t="s">
        <v>408</v>
      </c>
      <c r="D93" s="689" t="s">
        <v>427</v>
      </c>
      <c r="E93" s="689" t="s">
        <v>375</v>
      </c>
      <c r="F93" s="689">
        <v>1</v>
      </c>
      <c r="G93" s="689">
        <v>1</v>
      </c>
      <c r="H93" s="695">
        <v>46070</v>
      </c>
      <c r="I93" s="695">
        <v>46070</v>
      </c>
      <c r="J93" s="689" t="s">
        <v>368</v>
      </c>
      <c r="K93" t="str">
        <f t="shared" si="5"/>
        <v>Switch</v>
      </c>
      <c r="M93" s="412">
        <f t="shared" si="4"/>
        <v>1</v>
      </c>
      <c r="N93" s="412">
        <f t="shared" si="6"/>
        <v>1</v>
      </c>
      <c r="O93" s="412">
        <f>All_Detail_v2[[#This Row],[Qty. Success]]</f>
        <v>1</v>
      </c>
      <c r="P93" s="230">
        <f>IF(All_Detail_v2[[#This Row],[Qty]]=0,1,(M93+N93+O93)/(All_Detail_v2[[#This Row],[Qty]]*3))</f>
        <v>1</v>
      </c>
      <c r="Q93" s="195"/>
      <c r="R93" s="414">
        <f>All_Detail_v2[[#This Row],[Scheduled Date]]</f>
        <v>46070</v>
      </c>
      <c r="S93" s="414">
        <f>All_Detail_v2[[#This Row],[Install Date]]</f>
        <v>46070</v>
      </c>
    </row>
    <row r="94" spans="1:19">
      <c r="A94">
        <v>90</v>
      </c>
      <c r="B94" s="687" t="s">
        <v>362</v>
      </c>
      <c r="C94" s="689" t="s">
        <v>408</v>
      </c>
      <c r="D94" s="689" t="s">
        <v>428</v>
      </c>
      <c r="E94" s="689" t="s">
        <v>370</v>
      </c>
      <c r="F94" s="689">
        <v>1</v>
      </c>
      <c r="G94" s="689"/>
      <c r="H94" s="695"/>
      <c r="I94" s="695">
        <v>46108</v>
      </c>
      <c r="J94" s="689" t="s">
        <v>365</v>
      </c>
      <c r="K94" t="str">
        <f t="shared" si="5"/>
        <v>Switch</v>
      </c>
      <c r="M94" s="412">
        <f t="shared" si="4"/>
        <v>0</v>
      </c>
      <c r="N94" s="412">
        <f t="shared" si="6"/>
        <v>0</v>
      </c>
      <c r="O94" s="412">
        <f>All_Detail_v2[[#This Row],[Qty. Success]]</f>
        <v>0</v>
      </c>
      <c r="P94" s="230">
        <f>IF(All_Detail_v2[[#This Row],[Qty]]=0,1,(M94+N94+O94)/(All_Detail_v2[[#This Row],[Qty]]*3))</f>
        <v>0</v>
      </c>
      <c r="Q94" s="195"/>
      <c r="R94" s="414">
        <f>All_Detail_v2[[#This Row],[Scheduled Date]]</f>
        <v>46108</v>
      </c>
      <c r="S94" s="414">
        <f>All_Detail_v2[[#This Row],[Install Date]]</f>
        <v>0</v>
      </c>
    </row>
    <row r="95" spans="1:19">
      <c r="A95">
        <v>91</v>
      </c>
      <c r="B95" s="687" t="s">
        <v>362</v>
      </c>
      <c r="C95" s="689" t="s">
        <v>408</v>
      </c>
      <c r="D95" s="689" t="s">
        <v>428</v>
      </c>
      <c r="E95" s="689" t="s">
        <v>375</v>
      </c>
      <c r="F95" s="689">
        <v>1</v>
      </c>
      <c r="G95" s="689"/>
      <c r="H95" s="695"/>
      <c r="I95" s="695">
        <v>46108</v>
      </c>
      <c r="J95" s="689" t="s">
        <v>365</v>
      </c>
      <c r="K95" t="str">
        <f t="shared" si="5"/>
        <v>Switch</v>
      </c>
      <c r="M95" s="412">
        <f t="shared" si="4"/>
        <v>0</v>
      </c>
      <c r="N95" s="412">
        <f t="shared" si="6"/>
        <v>0</v>
      </c>
      <c r="O95" s="412">
        <f>All_Detail_v2[[#This Row],[Qty. Success]]</f>
        <v>0</v>
      </c>
      <c r="P95" s="230">
        <f>IF(All_Detail_v2[[#This Row],[Qty]]=0,1,(M95+N95+O95)/(All_Detail_v2[[#This Row],[Qty]]*3))</f>
        <v>0</v>
      </c>
      <c r="Q95" s="195"/>
      <c r="R95" s="414">
        <f>All_Detail_v2[[#This Row],[Scheduled Date]]</f>
        <v>46108</v>
      </c>
      <c r="S95" s="414">
        <f>All_Detail_v2[[#This Row],[Install Date]]</f>
        <v>0</v>
      </c>
    </row>
    <row r="96" spans="1:19">
      <c r="A96">
        <v>92</v>
      </c>
      <c r="B96" s="687" t="s">
        <v>362</v>
      </c>
      <c r="C96" s="689" t="s">
        <v>408</v>
      </c>
      <c r="D96" s="689" t="s">
        <v>429</v>
      </c>
      <c r="E96" s="689" t="s">
        <v>370</v>
      </c>
      <c r="F96" s="689">
        <v>1</v>
      </c>
      <c r="G96" s="689"/>
      <c r="H96" s="695"/>
      <c r="I96" s="695">
        <v>46108</v>
      </c>
      <c r="J96" s="689" t="s">
        <v>365</v>
      </c>
      <c r="K96" t="str">
        <f t="shared" si="5"/>
        <v>Switch</v>
      </c>
      <c r="M96" s="412">
        <f t="shared" si="4"/>
        <v>0</v>
      </c>
      <c r="N96" s="412">
        <f t="shared" si="6"/>
        <v>0</v>
      </c>
      <c r="O96" s="412">
        <f>All_Detail_v2[[#This Row],[Qty. Success]]</f>
        <v>0</v>
      </c>
      <c r="P96" s="230">
        <f>IF(All_Detail_v2[[#This Row],[Qty]]=0,1,(M96+N96+O96)/(All_Detail_v2[[#This Row],[Qty]]*3))</f>
        <v>0</v>
      </c>
      <c r="Q96" s="195"/>
      <c r="R96" s="414">
        <f>All_Detail_v2[[#This Row],[Scheduled Date]]</f>
        <v>46108</v>
      </c>
      <c r="S96" s="414">
        <f>All_Detail_v2[[#This Row],[Install Date]]</f>
        <v>0</v>
      </c>
    </row>
    <row r="97" spans="1:19">
      <c r="A97">
        <v>93</v>
      </c>
      <c r="B97" s="687" t="s">
        <v>362</v>
      </c>
      <c r="C97" s="689" t="s">
        <v>408</v>
      </c>
      <c r="D97" s="689" t="s">
        <v>429</v>
      </c>
      <c r="E97" s="689" t="s">
        <v>375</v>
      </c>
      <c r="F97" s="689">
        <v>1</v>
      </c>
      <c r="G97" s="689"/>
      <c r="H97" s="695"/>
      <c r="I97" s="695">
        <v>46108</v>
      </c>
      <c r="J97" s="689" t="s">
        <v>365</v>
      </c>
      <c r="K97" t="str">
        <f t="shared" si="5"/>
        <v>Switch</v>
      </c>
      <c r="M97" s="412">
        <f t="shared" si="4"/>
        <v>0</v>
      </c>
      <c r="N97" s="412">
        <f t="shared" si="6"/>
        <v>0</v>
      </c>
      <c r="O97" s="412">
        <f>All_Detail_v2[[#This Row],[Qty. Success]]</f>
        <v>0</v>
      </c>
      <c r="P97" s="230">
        <f>IF(All_Detail_v2[[#This Row],[Qty]]=0,1,(M97+N97+O97)/(All_Detail_v2[[#This Row],[Qty]]*3))</f>
        <v>0</v>
      </c>
      <c r="Q97" s="195"/>
      <c r="R97" s="414">
        <f>All_Detail_v2[[#This Row],[Scheduled Date]]</f>
        <v>46108</v>
      </c>
      <c r="S97" s="414">
        <f>All_Detail_v2[[#This Row],[Install Date]]</f>
        <v>0</v>
      </c>
    </row>
    <row r="98" spans="1:19">
      <c r="A98">
        <v>94</v>
      </c>
      <c r="B98" s="687" t="s">
        <v>362</v>
      </c>
      <c r="C98" s="689" t="s">
        <v>408</v>
      </c>
      <c r="D98" s="689" t="s">
        <v>430</v>
      </c>
      <c r="E98" s="689" t="s">
        <v>370</v>
      </c>
      <c r="F98" s="689">
        <v>1</v>
      </c>
      <c r="G98" s="689"/>
      <c r="H98" s="695"/>
      <c r="I98" s="695">
        <v>46108</v>
      </c>
      <c r="J98" s="689" t="s">
        <v>365</v>
      </c>
      <c r="K98" t="str">
        <f t="shared" si="5"/>
        <v>Switch</v>
      </c>
      <c r="M98" s="412">
        <f t="shared" si="4"/>
        <v>0</v>
      </c>
      <c r="N98" s="412">
        <f t="shared" si="6"/>
        <v>0</v>
      </c>
      <c r="O98" s="412">
        <f>All_Detail_v2[[#This Row],[Qty. Success]]</f>
        <v>0</v>
      </c>
      <c r="P98" s="230">
        <f>IF(All_Detail_v2[[#This Row],[Qty]]=0,1,(M98+N98+O98)/(All_Detail_v2[[#This Row],[Qty]]*3))</f>
        <v>0</v>
      </c>
      <c r="Q98" s="195"/>
      <c r="R98" s="414">
        <f>All_Detail_v2[[#This Row],[Scheduled Date]]</f>
        <v>46108</v>
      </c>
      <c r="S98" s="414">
        <f>All_Detail_v2[[#This Row],[Install Date]]</f>
        <v>0</v>
      </c>
    </row>
    <row r="99" spans="1:19">
      <c r="A99">
        <v>95</v>
      </c>
      <c r="B99" s="687" t="s">
        <v>362</v>
      </c>
      <c r="C99" s="689" t="s">
        <v>408</v>
      </c>
      <c r="D99" s="689" t="s">
        <v>430</v>
      </c>
      <c r="E99" s="689" t="s">
        <v>375</v>
      </c>
      <c r="F99" s="689">
        <v>1</v>
      </c>
      <c r="G99" s="689"/>
      <c r="H99" s="695"/>
      <c r="I99" s="695">
        <v>46108</v>
      </c>
      <c r="J99" s="689" t="s">
        <v>365</v>
      </c>
      <c r="K99" t="str">
        <f t="shared" si="5"/>
        <v>Switch</v>
      </c>
      <c r="M99" s="412">
        <f t="shared" si="4"/>
        <v>0</v>
      </c>
      <c r="N99" s="412">
        <f t="shared" si="6"/>
        <v>0</v>
      </c>
      <c r="O99" s="412">
        <f>All_Detail_v2[[#This Row],[Qty. Success]]</f>
        <v>0</v>
      </c>
      <c r="P99" s="230">
        <f>IF(All_Detail_v2[[#This Row],[Qty]]=0,1,(M99+N99+O99)/(All_Detail_v2[[#This Row],[Qty]]*3))</f>
        <v>0</v>
      </c>
      <c r="Q99" s="195"/>
      <c r="R99" s="414">
        <f>All_Detail_v2[[#This Row],[Scheduled Date]]</f>
        <v>46108</v>
      </c>
      <c r="S99" s="414">
        <f>All_Detail_v2[[#This Row],[Install Date]]</f>
        <v>0</v>
      </c>
    </row>
    <row r="100" spans="1:19">
      <c r="A100">
        <v>96</v>
      </c>
      <c r="B100" s="687" t="s">
        <v>362</v>
      </c>
      <c r="C100" s="689" t="s">
        <v>408</v>
      </c>
      <c r="D100" s="689" t="s">
        <v>431</v>
      </c>
      <c r="E100" s="689" t="s">
        <v>370</v>
      </c>
      <c r="F100" s="689">
        <v>1</v>
      </c>
      <c r="G100" s="689"/>
      <c r="H100" s="695"/>
      <c r="I100" s="695">
        <v>46108</v>
      </c>
      <c r="J100" s="689" t="s">
        <v>365</v>
      </c>
      <c r="K100" t="str">
        <f t="shared" si="5"/>
        <v>Switch</v>
      </c>
      <c r="M100" s="412">
        <f t="shared" si="4"/>
        <v>0</v>
      </c>
      <c r="N100" s="412">
        <f t="shared" si="6"/>
        <v>0</v>
      </c>
      <c r="O100" s="412">
        <f>All_Detail_v2[[#This Row],[Qty. Success]]</f>
        <v>0</v>
      </c>
      <c r="P100" s="230">
        <f>IF(All_Detail_v2[[#This Row],[Qty]]=0,1,(M100+N100+O100)/(All_Detail_v2[[#This Row],[Qty]]*3))</f>
        <v>0</v>
      </c>
      <c r="Q100" s="195"/>
      <c r="R100" s="414">
        <f>All_Detail_v2[[#This Row],[Scheduled Date]]</f>
        <v>46108</v>
      </c>
      <c r="S100" s="414">
        <f>All_Detail_v2[[#This Row],[Install Date]]</f>
        <v>0</v>
      </c>
    </row>
    <row r="101" spans="1:19">
      <c r="A101">
        <v>97</v>
      </c>
      <c r="B101" s="687" t="s">
        <v>362</v>
      </c>
      <c r="C101" s="689" t="s">
        <v>408</v>
      </c>
      <c r="D101" s="689" t="s">
        <v>431</v>
      </c>
      <c r="E101" s="689" t="s">
        <v>375</v>
      </c>
      <c r="F101" s="689">
        <v>1</v>
      </c>
      <c r="G101" s="689"/>
      <c r="H101" s="695"/>
      <c r="I101" s="695">
        <v>46108</v>
      </c>
      <c r="J101" s="689" t="s">
        <v>365</v>
      </c>
      <c r="K101" t="str">
        <f t="shared" si="5"/>
        <v>Switch</v>
      </c>
      <c r="M101" s="412">
        <f t="shared" si="4"/>
        <v>0</v>
      </c>
      <c r="N101" s="412">
        <f t="shared" si="6"/>
        <v>0</v>
      </c>
      <c r="O101" s="412">
        <f>All_Detail_v2[[#This Row],[Qty. Success]]</f>
        <v>0</v>
      </c>
      <c r="P101" s="230">
        <f>IF(All_Detail_v2[[#This Row],[Qty]]=0,1,(M101+N101+O101)/(All_Detail_v2[[#This Row],[Qty]]*3))</f>
        <v>0</v>
      </c>
      <c r="Q101" s="195"/>
      <c r="R101" s="414">
        <f>All_Detail_v2[[#This Row],[Scheduled Date]]</f>
        <v>46108</v>
      </c>
      <c r="S101" s="414">
        <f>All_Detail_v2[[#This Row],[Install Date]]</f>
        <v>0</v>
      </c>
    </row>
    <row r="102" spans="1:19">
      <c r="A102">
        <v>98</v>
      </c>
      <c r="B102" s="687" t="s">
        <v>362</v>
      </c>
      <c r="C102" s="689" t="s">
        <v>408</v>
      </c>
      <c r="D102" s="689" t="s">
        <v>432</v>
      </c>
      <c r="E102" s="689" t="s">
        <v>370</v>
      </c>
      <c r="F102" s="689">
        <v>1</v>
      </c>
      <c r="G102" s="689"/>
      <c r="H102" s="695"/>
      <c r="I102" s="695">
        <v>46108</v>
      </c>
      <c r="J102" s="689" t="s">
        <v>365</v>
      </c>
      <c r="K102" t="str">
        <f t="shared" si="5"/>
        <v>Switch</v>
      </c>
      <c r="M102" s="412">
        <f t="shared" si="4"/>
        <v>0</v>
      </c>
      <c r="N102" s="412">
        <f t="shared" si="6"/>
        <v>0</v>
      </c>
      <c r="O102" s="412">
        <f>All_Detail_v2[[#This Row],[Qty. Success]]</f>
        <v>0</v>
      </c>
      <c r="P102" s="230">
        <f>IF(All_Detail_v2[[#This Row],[Qty]]=0,1,(M102+N102+O102)/(All_Detail_v2[[#This Row],[Qty]]*3))</f>
        <v>0</v>
      </c>
      <c r="Q102" s="195"/>
      <c r="R102" s="414">
        <f>All_Detail_v2[[#This Row],[Scheduled Date]]</f>
        <v>46108</v>
      </c>
      <c r="S102" s="414">
        <f>All_Detail_v2[[#This Row],[Install Date]]</f>
        <v>0</v>
      </c>
    </row>
    <row r="103" spans="1:19">
      <c r="A103">
        <v>99</v>
      </c>
      <c r="B103" s="687" t="s">
        <v>362</v>
      </c>
      <c r="C103" s="689" t="s">
        <v>408</v>
      </c>
      <c r="D103" s="689" t="s">
        <v>432</v>
      </c>
      <c r="E103" s="689" t="s">
        <v>375</v>
      </c>
      <c r="F103" s="689">
        <v>1</v>
      </c>
      <c r="G103" s="689"/>
      <c r="H103" s="695"/>
      <c r="I103" s="695">
        <v>46108</v>
      </c>
      <c r="J103" s="689" t="s">
        <v>365</v>
      </c>
      <c r="K103" t="str">
        <f t="shared" si="5"/>
        <v>Switch</v>
      </c>
      <c r="M103" s="412">
        <f t="shared" si="4"/>
        <v>0</v>
      </c>
      <c r="N103" s="412">
        <f t="shared" si="6"/>
        <v>0</v>
      </c>
      <c r="O103" s="412">
        <f>All_Detail_v2[[#This Row],[Qty. Success]]</f>
        <v>0</v>
      </c>
      <c r="P103" s="230">
        <f>IF(All_Detail_v2[[#This Row],[Qty]]=0,1,(M103+N103+O103)/(All_Detail_v2[[#This Row],[Qty]]*3))</f>
        <v>0</v>
      </c>
      <c r="Q103" s="195"/>
      <c r="R103" s="414">
        <f>All_Detail_v2[[#This Row],[Scheduled Date]]</f>
        <v>46108</v>
      </c>
      <c r="S103" s="414">
        <f>All_Detail_v2[[#This Row],[Install Date]]</f>
        <v>0</v>
      </c>
    </row>
    <row r="104" spans="1:19">
      <c r="A104">
        <v>100</v>
      </c>
      <c r="B104" s="687" t="s">
        <v>362</v>
      </c>
      <c r="C104" s="689" t="s">
        <v>408</v>
      </c>
      <c r="D104" s="689" t="s">
        <v>433</v>
      </c>
      <c r="E104" s="689" t="s">
        <v>370</v>
      </c>
      <c r="F104" s="689">
        <v>1</v>
      </c>
      <c r="G104" s="689"/>
      <c r="H104" s="695"/>
      <c r="I104" s="695">
        <v>46111</v>
      </c>
      <c r="J104" s="689" t="s">
        <v>365</v>
      </c>
      <c r="K104" t="str">
        <f t="shared" si="5"/>
        <v>Switch</v>
      </c>
      <c r="M104" s="412">
        <f t="shared" si="4"/>
        <v>0</v>
      </c>
      <c r="N104" s="412">
        <f t="shared" si="6"/>
        <v>0</v>
      </c>
      <c r="O104" s="412">
        <f>All_Detail_v2[[#This Row],[Qty. Success]]</f>
        <v>0</v>
      </c>
      <c r="P104" s="230">
        <f>IF(All_Detail_v2[[#This Row],[Qty]]=0,1,(M104+N104+O104)/(All_Detail_v2[[#This Row],[Qty]]*3))</f>
        <v>0</v>
      </c>
      <c r="Q104" s="195"/>
      <c r="R104" s="414">
        <f>All_Detail_v2[[#This Row],[Scheduled Date]]</f>
        <v>46111</v>
      </c>
      <c r="S104" s="414">
        <f>All_Detail_v2[[#This Row],[Install Date]]</f>
        <v>0</v>
      </c>
    </row>
    <row r="105" spans="1:19">
      <c r="A105">
        <v>101</v>
      </c>
      <c r="B105" s="687" t="s">
        <v>362</v>
      </c>
      <c r="C105" s="689" t="s">
        <v>408</v>
      </c>
      <c r="D105" s="689" t="s">
        <v>433</v>
      </c>
      <c r="E105" s="689" t="s">
        <v>375</v>
      </c>
      <c r="F105" s="689">
        <v>1</v>
      </c>
      <c r="G105" s="689"/>
      <c r="H105" s="695"/>
      <c r="I105" s="695">
        <v>46111</v>
      </c>
      <c r="J105" s="689" t="s">
        <v>365</v>
      </c>
      <c r="K105" t="str">
        <f t="shared" si="5"/>
        <v>Switch</v>
      </c>
      <c r="M105" s="412">
        <f t="shared" si="4"/>
        <v>0</v>
      </c>
      <c r="N105" s="412">
        <f t="shared" si="6"/>
        <v>0</v>
      </c>
      <c r="O105" s="412">
        <f>All_Detail_v2[[#This Row],[Qty. Success]]</f>
        <v>0</v>
      </c>
      <c r="P105" s="230">
        <f>IF(All_Detail_v2[[#This Row],[Qty]]=0,1,(M105+N105+O105)/(All_Detail_v2[[#This Row],[Qty]]*3))</f>
        <v>0</v>
      </c>
      <c r="Q105" s="195"/>
      <c r="R105" s="414">
        <f>All_Detail_v2[[#This Row],[Scheduled Date]]</f>
        <v>46111</v>
      </c>
      <c r="S105" s="414">
        <f>All_Detail_v2[[#This Row],[Install Date]]</f>
        <v>0</v>
      </c>
    </row>
    <row r="106" spans="1:19">
      <c r="A106">
        <v>102</v>
      </c>
      <c r="B106" s="687" t="s">
        <v>362</v>
      </c>
      <c r="C106" s="689" t="s">
        <v>408</v>
      </c>
      <c r="D106" s="689" t="s">
        <v>434</v>
      </c>
      <c r="E106" s="689" t="s">
        <v>370</v>
      </c>
      <c r="F106" s="689">
        <v>1</v>
      </c>
      <c r="G106" s="689"/>
      <c r="H106" s="695"/>
      <c r="I106" s="695">
        <v>46111</v>
      </c>
      <c r="J106" s="689" t="s">
        <v>365</v>
      </c>
      <c r="K106" t="str">
        <f t="shared" si="5"/>
        <v>Switch</v>
      </c>
      <c r="M106" s="412">
        <f t="shared" si="4"/>
        <v>0</v>
      </c>
      <c r="N106" s="412">
        <f t="shared" si="6"/>
        <v>0</v>
      </c>
      <c r="O106" s="412">
        <f>All_Detail_v2[[#This Row],[Qty. Success]]</f>
        <v>0</v>
      </c>
      <c r="P106" s="230">
        <f>IF(All_Detail_v2[[#This Row],[Qty]]=0,1,(M106+N106+O106)/(All_Detail_v2[[#This Row],[Qty]]*3))</f>
        <v>0</v>
      </c>
      <c r="Q106" s="195"/>
      <c r="R106" s="414">
        <f>All_Detail_v2[[#This Row],[Scheduled Date]]</f>
        <v>46111</v>
      </c>
      <c r="S106" s="414">
        <f>All_Detail_v2[[#This Row],[Install Date]]</f>
        <v>0</v>
      </c>
    </row>
    <row r="107" spans="1:19">
      <c r="A107">
        <v>103</v>
      </c>
      <c r="B107" s="687" t="s">
        <v>362</v>
      </c>
      <c r="C107" s="689" t="s">
        <v>408</v>
      </c>
      <c r="D107" s="689" t="s">
        <v>434</v>
      </c>
      <c r="E107" s="689" t="s">
        <v>375</v>
      </c>
      <c r="F107" s="689">
        <v>1</v>
      </c>
      <c r="G107" s="689"/>
      <c r="H107" s="695"/>
      <c r="I107" s="695">
        <v>46111</v>
      </c>
      <c r="J107" s="689" t="s">
        <v>365</v>
      </c>
      <c r="K107" t="str">
        <f t="shared" si="5"/>
        <v>Switch</v>
      </c>
      <c r="M107" s="412">
        <f t="shared" si="4"/>
        <v>0</v>
      </c>
      <c r="N107" s="412">
        <f t="shared" si="6"/>
        <v>0</v>
      </c>
      <c r="O107" s="412">
        <f>All_Detail_v2[[#This Row],[Qty. Success]]</f>
        <v>0</v>
      </c>
      <c r="P107" s="230">
        <f>IF(All_Detail_v2[[#This Row],[Qty]]=0,1,(M107+N107+O107)/(All_Detail_v2[[#This Row],[Qty]]*3))</f>
        <v>0</v>
      </c>
      <c r="Q107" s="195"/>
      <c r="R107" s="414">
        <f>All_Detail_v2[[#This Row],[Scheduled Date]]</f>
        <v>46111</v>
      </c>
      <c r="S107" s="414">
        <f>All_Detail_v2[[#This Row],[Install Date]]</f>
        <v>0</v>
      </c>
    </row>
    <row r="108" spans="1:19">
      <c r="A108">
        <v>104</v>
      </c>
      <c r="B108" s="687" t="s">
        <v>362</v>
      </c>
      <c r="C108" s="689" t="s">
        <v>408</v>
      </c>
      <c r="D108" s="689" t="s">
        <v>435</v>
      </c>
      <c r="E108" s="689" t="s">
        <v>370</v>
      </c>
      <c r="F108" s="689">
        <v>1</v>
      </c>
      <c r="G108" s="689"/>
      <c r="H108" s="695"/>
      <c r="I108" s="695">
        <v>46111</v>
      </c>
      <c r="J108" s="689" t="s">
        <v>365</v>
      </c>
      <c r="K108" t="str">
        <f t="shared" si="5"/>
        <v>Switch</v>
      </c>
      <c r="M108" s="412">
        <f t="shared" si="4"/>
        <v>0</v>
      </c>
      <c r="N108" s="412">
        <f t="shared" si="6"/>
        <v>0</v>
      </c>
      <c r="O108" s="412">
        <f>All_Detail_v2[[#This Row],[Qty. Success]]</f>
        <v>0</v>
      </c>
      <c r="P108" s="230">
        <f>IF(All_Detail_v2[[#This Row],[Qty]]=0,1,(M108+N108+O108)/(All_Detail_v2[[#This Row],[Qty]]*3))</f>
        <v>0</v>
      </c>
      <c r="Q108" s="195"/>
      <c r="R108" s="414">
        <f>All_Detail_v2[[#This Row],[Scheduled Date]]</f>
        <v>46111</v>
      </c>
      <c r="S108" s="414">
        <f>All_Detail_v2[[#This Row],[Install Date]]</f>
        <v>0</v>
      </c>
    </row>
    <row r="109" spans="1:19">
      <c r="A109">
        <v>105</v>
      </c>
      <c r="B109" s="687" t="s">
        <v>362</v>
      </c>
      <c r="C109" s="689" t="s">
        <v>408</v>
      </c>
      <c r="D109" s="689" t="s">
        <v>435</v>
      </c>
      <c r="E109" s="689" t="s">
        <v>375</v>
      </c>
      <c r="F109" s="689">
        <v>1</v>
      </c>
      <c r="G109" s="689"/>
      <c r="H109" s="695"/>
      <c r="I109" s="695">
        <v>46111</v>
      </c>
      <c r="J109" s="689" t="s">
        <v>365</v>
      </c>
      <c r="K109" t="str">
        <f t="shared" si="5"/>
        <v>Switch</v>
      </c>
      <c r="M109" s="412">
        <f t="shared" si="4"/>
        <v>0</v>
      </c>
      <c r="N109" s="412">
        <f t="shared" si="6"/>
        <v>0</v>
      </c>
      <c r="O109" s="412">
        <f>All_Detail_v2[[#This Row],[Qty. Success]]</f>
        <v>0</v>
      </c>
      <c r="P109" s="230">
        <f>IF(All_Detail_v2[[#This Row],[Qty]]=0,1,(M109+N109+O109)/(All_Detail_v2[[#This Row],[Qty]]*3))</f>
        <v>0</v>
      </c>
      <c r="Q109" s="195"/>
      <c r="R109" s="414">
        <f>All_Detail_v2[[#This Row],[Scheduled Date]]</f>
        <v>46111</v>
      </c>
      <c r="S109" s="414">
        <f>All_Detail_v2[[#This Row],[Install Date]]</f>
        <v>0</v>
      </c>
    </row>
    <row r="110" spans="1:19">
      <c r="A110">
        <v>106</v>
      </c>
      <c r="B110" s="687" t="s">
        <v>362</v>
      </c>
      <c r="C110" s="689" t="s">
        <v>408</v>
      </c>
      <c r="D110" s="689" t="s">
        <v>436</v>
      </c>
      <c r="E110" s="689" t="s">
        <v>370</v>
      </c>
      <c r="F110" s="689">
        <v>2</v>
      </c>
      <c r="G110" s="689"/>
      <c r="H110" s="695"/>
      <c r="I110" s="695">
        <v>46111</v>
      </c>
      <c r="J110" s="689" t="s">
        <v>365</v>
      </c>
      <c r="K110" t="str">
        <f t="shared" si="5"/>
        <v>Switch</v>
      </c>
      <c r="M110" s="412">
        <f t="shared" si="4"/>
        <v>0</v>
      </c>
      <c r="N110" s="412">
        <f t="shared" si="6"/>
        <v>0</v>
      </c>
      <c r="O110" s="412">
        <f>All_Detail_v2[[#This Row],[Qty. Success]]</f>
        <v>0</v>
      </c>
      <c r="P110" s="230">
        <f>IF(All_Detail_v2[[#This Row],[Qty]]=0,1,(M110+N110+O110)/(All_Detail_v2[[#This Row],[Qty]]*3))</f>
        <v>0</v>
      </c>
      <c r="Q110" s="195"/>
      <c r="R110" s="414">
        <f>All_Detail_v2[[#This Row],[Scheduled Date]]</f>
        <v>46111</v>
      </c>
      <c r="S110" s="414">
        <f>All_Detail_v2[[#This Row],[Install Date]]</f>
        <v>0</v>
      </c>
    </row>
    <row r="111" spans="1:19">
      <c r="A111">
        <v>107</v>
      </c>
      <c r="B111" s="687" t="s">
        <v>362</v>
      </c>
      <c r="C111" s="689" t="s">
        <v>408</v>
      </c>
      <c r="D111" s="689" t="s">
        <v>436</v>
      </c>
      <c r="E111" s="689" t="s">
        <v>375</v>
      </c>
      <c r="F111" s="689">
        <v>1</v>
      </c>
      <c r="G111" s="689"/>
      <c r="H111" s="695"/>
      <c r="I111" s="695">
        <v>46111</v>
      </c>
      <c r="J111" s="689" t="s">
        <v>365</v>
      </c>
      <c r="K111" t="str">
        <f t="shared" si="5"/>
        <v>Switch</v>
      </c>
      <c r="M111" s="412">
        <f t="shared" si="4"/>
        <v>0</v>
      </c>
      <c r="N111" s="412">
        <f t="shared" si="6"/>
        <v>0</v>
      </c>
      <c r="O111" s="412">
        <f>All_Detail_v2[[#This Row],[Qty. Success]]</f>
        <v>0</v>
      </c>
      <c r="P111" s="230">
        <f>IF(All_Detail_v2[[#This Row],[Qty]]=0,1,(M111+N111+O111)/(All_Detail_v2[[#This Row],[Qty]]*3))</f>
        <v>0</v>
      </c>
      <c r="Q111" s="195"/>
      <c r="R111" s="414">
        <f>All_Detail_v2[[#This Row],[Scheduled Date]]</f>
        <v>46111</v>
      </c>
      <c r="S111" s="414">
        <f>All_Detail_v2[[#This Row],[Install Date]]</f>
        <v>0</v>
      </c>
    </row>
    <row r="112" spans="1:19">
      <c r="A112">
        <v>108</v>
      </c>
      <c r="B112" s="687" t="s">
        <v>362</v>
      </c>
      <c r="C112" s="689" t="s">
        <v>408</v>
      </c>
      <c r="D112" s="689" t="s">
        <v>437</v>
      </c>
      <c r="E112" s="689" t="s">
        <v>370</v>
      </c>
      <c r="F112" s="689">
        <v>2</v>
      </c>
      <c r="G112" s="689">
        <v>2</v>
      </c>
      <c r="H112" s="695">
        <v>46100</v>
      </c>
      <c r="I112" s="695">
        <v>46100</v>
      </c>
      <c r="J112" s="689" t="s">
        <v>368</v>
      </c>
      <c r="K112" t="str">
        <f t="shared" si="5"/>
        <v>Switch</v>
      </c>
      <c r="M112" s="412">
        <f t="shared" si="4"/>
        <v>2</v>
      </c>
      <c r="N112" s="412">
        <f t="shared" si="6"/>
        <v>2</v>
      </c>
      <c r="O112" s="412">
        <f>All_Detail_v2[[#This Row],[Qty. Success]]</f>
        <v>2</v>
      </c>
      <c r="P112" s="230">
        <f>IF(All_Detail_v2[[#This Row],[Qty]]=0,1,(M112+N112+O112)/(All_Detail_v2[[#This Row],[Qty]]*3))</f>
        <v>1</v>
      </c>
      <c r="Q112" s="195"/>
      <c r="R112" s="414">
        <f>All_Detail_v2[[#This Row],[Scheduled Date]]</f>
        <v>46100</v>
      </c>
      <c r="S112" s="414">
        <f>All_Detail_v2[[#This Row],[Install Date]]</f>
        <v>46100</v>
      </c>
    </row>
    <row r="113" spans="1:19">
      <c r="A113">
        <v>109</v>
      </c>
      <c r="B113" s="687" t="s">
        <v>362</v>
      </c>
      <c r="C113" s="689" t="s">
        <v>408</v>
      </c>
      <c r="D113" s="689" t="s">
        <v>437</v>
      </c>
      <c r="E113" s="689" t="s">
        <v>375</v>
      </c>
      <c r="F113" s="689">
        <v>1</v>
      </c>
      <c r="G113" s="689">
        <v>1</v>
      </c>
      <c r="H113" s="695">
        <v>46100</v>
      </c>
      <c r="I113" s="695">
        <v>46100</v>
      </c>
      <c r="J113" s="689" t="s">
        <v>368</v>
      </c>
      <c r="K113" t="str">
        <f t="shared" si="5"/>
        <v>Switch</v>
      </c>
      <c r="M113" s="412">
        <f t="shared" si="4"/>
        <v>1</v>
      </c>
      <c r="N113" s="412">
        <f t="shared" si="6"/>
        <v>1</v>
      </c>
      <c r="O113" s="412">
        <f>All_Detail_v2[[#This Row],[Qty. Success]]</f>
        <v>1</v>
      </c>
      <c r="P113" s="230">
        <f>IF(All_Detail_v2[[#This Row],[Qty]]=0,1,(M113+N113+O113)/(All_Detail_v2[[#This Row],[Qty]]*3))</f>
        <v>1</v>
      </c>
      <c r="Q113" s="195"/>
      <c r="R113" s="414">
        <f>All_Detail_v2[[#This Row],[Scheduled Date]]</f>
        <v>46100</v>
      </c>
      <c r="S113" s="414">
        <f>All_Detail_v2[[#This Row],[Install Date]]</f>
        <v>46100</v>
      </c>
    </row>
    <row r="114" spans="1:19">
      <c r="A114">
        <v>110</v>
      </c>
      <c r="B114" s="687" t="s">
        <v>362</v>
      </c>
      <c r="C114" s="689" t="s">
        <v>408</v>
      </c>
      <c r="D114" s="689" t="s">
        <v>437</v>
      </c>
      <c r="E114" s="689" t="s">
        <v>412</v>
      </c>
      <c r="F114" s="689">
        <v>1</v>
      </c>
      <c r="G114" s="689">
        <v>1</v>
      </c>
      <c r="H114" s="695">
        <v>46100</v>
      </c>
      <c r="I114" s="695">
        <v>46100</v>
      </c>
      <c r="J114" s="689" t="s">
        <v>368</v>
      </c>
      <c r="K114" t="str">
        <f t="shared" si="5"/>
        <v>Switch</v>
      </c>
      <c r="M114" s="412">
        <f t="shared" si="4"/>
        <v>1</v>
      </c>
      <c r="N114" s="412">
        <f t="shared" si="6"/>
        <v>1</v>
      </c>
      <c r="O114" s="412">
        <f>All_Detail_v2[[#This Row],[Qty. Success]]</f>
        <v>1</v>
      </c>
      <c r="P114" s="230">
        <f>IF(All_Detail_v2[[#This Row],[Qty]]=0,1,(M114+N114+O114)/(All_Detail_v2[[#This Row],[Qty]]*3))</f>
        <v>1</v>
      </c>
      <c r="Q114" s="195"/>
      <c r="R114" s="414">
        <f>All_Detail_v2[[#This Row],[Scheduled Date]]</f>
        <v>46100</v>
      </c>
      <c r="S114" s="414">
        <f>All_Detail_v2[[#This Row],[Install Date]]</f>
        <v>46100</v>
      </c>
    </row>
    <row r="115" spans="1:19">
      <c r="A115">
        <v>111</v>
      </c>
      <c r="B115" s="687" t="s">
        <v>362</v>
      </c>
      <c r="C115" s="689" t="s">
        <v>408</v>
      </c>
      <c r="D115" s="689" t="s">
        <v>438</v>
      </c>
      <c r="E115" s="689" t="s">
        <v>370</v>
      </c>
      <c r="F115" s="689">
        <v>2</v>
      </c>
      <c r="G115" s="689"/>
      <c r="H115" s="695"/>
      <c r="I115" s="695">
        <v>46111</v>
      </c>
      <c r="J115" s="689" t="s">
        <v>365</v>
      </c>
      <c r="K115" t="str">
        <f t="shared" si="5"/>
        <v>Switch</v>
      </c>
      <c r="M115" s="412">
        <f t="shared" si="4"/>
        <v>0</v>
      </c>
      <c r="N115" s="412">
        <f t="shared" si="6"/>
        <v>0</v>
      </c>
      <c r="O115" s="412">
        <f>All_Detail_v2[[#This Row],[Qty. Success]]</f>
        <v>0</v>
      </c>
      <c r="P115" s="230">
        <f>IF(All_Detail_v2[[#This Row],[Qty]]=0,1,(M115+N115+O115)/(All_Detail_v2[[#This Row],[Qty]]*3))</f>
        <v>0</v>
      </c>
      <c r="Q115" s="195"/>
      <c r="R115" s="414">
        <f>All_Detail_v2[[#This Row],[Scheduled Date]]</f>
        <v>46111</v>
      </c>
      <c r="S115" s="414">
        <f>All_Detail_v2[[#This Row],[Install Date]]</f>
        <v>0</v>
      </c>
    </row>
    <row r="116" spans="1:19">
      <c r="A116">
        <v>112</v>
      </c>
      <c r="B116" s="687" t="s">
        <v>362</v>
      </c>
      <c r="C116" s="689" t="s">
        <v>408</v>
      </c>
      <c r="D116" s="689" t="s">
        <v>438</v>
      </c>
      <c r="E116" s="689" t="s">
        <v>375</v>
      </c>
      <c r="F116" s="689">
        <v>2</v>
      </c>
      <c r="G116" s="689"/>
      <c r="H116" s="695"/>
      <c r="I116" s="695">
        <v>46111</v>
      </c>
      <c r="J116" s="689" t="s">
        <v>365</v>
      </c>
      <c r="K116" t="str">
        <f t="shared" si="5"/>
        <v>Switch</v>
      </c>
      <c r="M116" s="412">
        <f t="shared" si="4"/>
        <v>0</v>
      </c>
      <c r="N116" s="412">
        <f t="shared" si="6"/>
        <v>0</v>
      </c>
      <c r="O116" s="412">
        <f>All_Detail_v2[[#This Row],[Qty. Success]]</f>
        <v>0</v>
      </c>
      <c r="P116" s="230">
        <f>IF(All_Detail_v2[[#This Row],[Qty]]=0,1,(M116+N116+O116)/(All_Detail_v2[[#This Row],[Qty]]*3))</f>
        <v>0</v>
      </c>
      <c r="Q116" s="195"/>
      <c r="R116" s="414">
        <f>All_Detail_v2[[#This Row],[Scheduled Date]]</f>
        <v>46111</v>
      </c>
      <c r="S116" s="414">
        <f>All_Detail_v2[[#This Row],[Install Date]]</f>
        <v>0</v>
      </c>
    </row>
    <row r="117" spans="1:19">
      <c r="A117">
        <v>113</v>
      </c>
      <c r="B117" s="687" t="s">
        <v>362</v>
      </c>
      <c r="C117" s="689" t="s">
        <v>408</v>
      </c>
      <c r="D117" s="689" t="s">
        <v>438</v>
      </c>
      <c r="E117" s="689" t="s">
        <v>412</v>
      </c>
      <c r="F117" s="689">
        <v>1</v>
      </c>
      <c r="G117" s="689"/>
      <c r="H117" s="695"/>
      <c r="I117" s="695">
        <v>46111</v>
      </c>
      <c r="J117" s="689" t="s">
        <v>365</v>
      </c>
      <c r="K117" t="str">
        <f t="shared" si="5"/>
        <v>Switch</v>
      </c>
      <c r="M117" s="412">
        <f t="shared" si="4"/>
        <v>0</v>
      </c>
      <c r="N117" s="412">
        <f t="shared" si="6"/>
        <v>0</v>
      </c>
      <c r="O117" s="412">
        <f>All_Detail_v2[[#This Row],[Qty. Success]]</f>
        <v>0</v>
      </c>
      <c r="P117" s="230">
        <f>IF(All_Detail_v2[[#This Row],[Qty]]=0,1,(M117+N117+O117)/(All_Detail_v2[[#This Row],[Qty]]*3))</f>
        <v>0</v>
      </c>
      <c r="Q117" s="195"/>
      <c r="R117" s="414">
        <f>All_Detail_v2[[#This Row],[Scheduled Date]]</f>
        <v>46111</v>
      </c>
      <c r="S117" s="414">
        <f>All_Detail_v2[[#This Row],[Install Date]]</f>
        <v>0</v>
      </c>
    </row>
    <row r="118" spans="1:19">
      <c r="A118">
        <v>114</v>
      </c>
      <c r="B118" s="687" t="s">
        <v>362</v>
      </c>
      <c r="C118" s="689" t="s">
        <v>408</v>
      </c>
      <c r="D118" s="689" t="s">
        <v>439</v>
      </c>
      <c r="E118" s="689" t="s">
        <v>370</v>
      </c>
      <c r="F118" s="689">
        <v>1</v>
      </c>
      <c r="G118" s="689"/>
      <c r="H118" s="695"/>
      <c r="I118" s="695">
        <v>46112</v>
      </c>
      <c r="J118" s="689" t="s">
        <v>365</v>
      </c>
      <c r="K118" t="str">
        <f t="shared" si="5"/>
        <v>Switch</v>
      </c>
      <c r="M118" s="412">
        <f t="shared" si="4"/>
        <v>0</v>
      </c>
      <c r="N118" s="412">
        <f t="shared" si="6"/>
        <v>0</v>
      </c>
      <c r="O118" s="412">
        <f>All_Detail_v2[[#This Row],[Qty. Success]]</f>
        <v>0</v>
      </c>
      <c r="P118" s="230">
        <f>IF(All_Detail_v2[[#This Row],[Qty]]=0,1,(M118+N118+O118)/(All_Detail_v2[[#This Row],[Qty]]*3))</f>
        <v>0</v>
      </c>
      <c r="Q118" s="195"/>
      <c r="R118" s="414">
        <f>All_Detail_v2[[#This Row],[Scheduled Date]]</f>
        <v>46112</v>
      </c>
      <c r="S118" s="414">
        <f>All_Detail_v2[[#This Row],[Install Date]]</f>
        <v>0</v>
      </c>
    </row>
    <row r="119" spans="1:19">
      <c r="A119">
        <v>115</v>
      </c>
      <c r="B119" s="687" t="s">
        <v>362</v>
      </c>
      <c r="C119" s="689" t="s">
        <v>408</v>
      </c>
      <c r="D119" s="689" t="s">
        <v>439</v>
      </c>
      <c r="E119" s="689" t="s">
        <v>375</v>
      </c>
      <c r="F119" s="689">
        <v>1</v>
      </c>
      <c r="G119" s="689"/>
      <c r="H119" s="695"/>
      <c r="I119" s="695">
        <v>46112</v>
      </c>
      <c r="J119" s="689" t="s">
        <v>365</v>
      </c>
      <c r="K119" t="str">
        <f t="shared" si="5"/>
        <v>Switch</v>
      </c>
      <c r="M119" s="412">
        <f t="shared" si="4"/>
        <v>0</v>
      </c>
      <c r="N119" s="412">
        <f t="shared" si="6"/>
        <v>0</v>
      </c>
      <c r="O119" s="412">
        <f>All_Detail_v2[[#This Row],[Qty. Success]]</f>
        <v>0</v>
      </c>
      <c r="P119" s="230">
        <f>IF(All_Detail_v2[[#This Row],[Qty]]=0,1,(M119+N119+O119)/(All_Detail_v2[[#This Row],[Qty]]*3))</f>
        <v>0</v>
      </c>
      <c r="Q119" s="195"/>
      <c r="R119" s="414">
        <f>All_Detail_v2[[#This Row],[Scheduled Date]]</f>
        <v>46112</v>
      </c>
      <c r="S119" s="414">
        <f>All_Detail_v2[[#This Row],[Install Date]]</f>
        <v>0</v>
      </c>
    </row>
    <row r="120" spans="1:19">
      <c r="A120">
        <v>116</v>
      </c>
      <c r="B120" s="687" t="s">
        <v>362</v>
      </c>
      <c r="C120" s="689" t="s">
        <v>408</v>
      </c>
      <c r="D120" s="689" t="s">
        <v>440</v>
      </c>
      <c r="E120" s="689" t="s">
        <v>370</v>
      </c>
      <c r="F120" s="689">
        <v>1</v>
      </c>
      <c r="G120" s="689"/>
      <c r="H120" s="695"/>
      <c r="I120" s="695">
        <v>46112</v>
      </c>
      <c r="J120" s="689" t="s">
        <v>365</v>
      </c>
      <c r="K120" t="str">
        <f t="shared" si="5"/>
        <v>Switch</v>
      </c>
      <c r="M120" s="412">
        <f t="shared" si="4"/>
        <v>0</v>
      </c>
      <c r="N120" s="412">
        <f t="shared" si="6"/>
        <v>0</v>
      </c>
      <c r="O120" s="412">
        <f>All_Detail_v2[[#This Row],[Qty. Success]]</f>
        <v>0</v>
      </c>
      <c r="P120" s="230">
        <f>IF(All_Detail_v2[[#This Row],[Qty]]=0,1,(M120+N120+O120)/(All_Detail_v2[[#This Row],[Qty]]*3))</f>
        <v>0</v>
      </c>
      <c r="Q120" s="195"/>
      <c r="R120" s="414">
        <f>All_Detail_v2[[#This Row],[Scheduled Date]]</f>
        <v>46112</v>
      </c>
      <c r="S120" s="414">
        <f>All_Detail_v2[[#This Row],[Install Date]]</f>
        <v>0</v>
      </c>
    </row>
    <row r="121" spans="1:19">
      <c r="A121">
        <v>117</v>
      </c>
      <c r="B121" s="687" t="s">
        <v>362</v>
      </c>
      <c r="C121" s="689" t="s">
        <v>408</v>
      </c>
      <c r="D121" s="689" t="s">
        <v>440</v>
      </c>
      <c r="E121" s="689" t="s">
        <v>375</v>
      </c>
      <c r="F121" s="689">
        <v>1</v>
      </c>
      <c r="G121" s="689"/>
      <c r="H121" s="695"/>
      <c r="I121" s="695">
        <v>46112</v>
      </c>
      <c r="J121" s="689" t="s">
        <v>365</v>
      </c>
      <c r="K121" t="str">
        <f t="shared" si="5"/>
        <v>Switch</v>
      </c>
      <c r="M121" s="412">
        <f t="shared" si="4"/>
        <v>0</v>
      </c>
      <c r="N121" s="412">
        <f t="shared" si="6"/>
        <v>0</v>
      </c>
      <c r="O121" s="412">
        <f>All_Detail_v2[[#This Row],[Qty. Success]]</f>
        <v>0</v>
      </c>
      <c r="P121" s="230">
        <f>IF(All_Detail_v2[[#This Row],[Qty]]=0,1,(M121+N121+O121)/(All_Detail_v2[[#This Row],[Qty]]*3))</f>
        <v>0</v>
      </c>
      <c r="Q121" s="195"/>
      <c r="R121" s="414">
        <f>All_Detail_v2[[#This Row],[Scheduled Date]]</f>
        <v>46112</v>
      </c>
      <c r="S121" s="414">
        <f>All_Detail_v2[[#This Row],[Install Date]]</f>
        <v>0</v>
      </c>
    </row>
    <row r="122" spans="1:19">
      <c r="A122">
        <v>118</v>
      </c>
      <c r="B122" s="687" t="s">
        <v>362</v>
      </c>
      <c r="C122" s="689" t="s">
        <v>408</v>
      </c>
      <c r="D122" s="689" t="s">
        <v>441</v>
      </c>
      <c r="E122" s="689" t="s">
        <v>370</v>
      </c>
      <c r="F122" s="689">
        <v>1</v>
      </c>
      <c r="G122" s="689"/>
      <c r="H122" s="695"/>
      <c r="I122" s="695">
        <v>46112</v>
      </c>
      <c r="J122" s="689" t="s">
        <v>365</v>
      </c>
      <c r="K122" t="str">
        <f t="shared" si="5"/>
        <v>Switch</v>
      </c>
      <c r="M122" s="412">
        <f t="shared" si="4"/>
        <v>0</v>
      </c>
      <c r="N122" s="412">
        <f t="shared" si="6"/>
        <v>0</v>
      </c>
      <c r="O122" s="412">
        <f>All_Detail_v2[[#This Row],[Qty. Success]]</f>
        <v>0</v>
      </c>
      <c r="P122" s="230">
        <f>IF(All_Detail_v2[[#This Row],[Qty]]=0,1,(M122+N122+O122)/(All_Detail_v2[[#This Row],[Qty]]*3))</f>
        <v>0</v>
      </c>
      <c r="Q122" s="195"/>
      <c r="R122" s="414">
        <f>All_Detail_v2[[#This Row],[Scheduled Date]]</f>
        <v>46112</v>
      </c>
      <c r="S122" s="414">
        <f>All_Detail_v2[[#This Row],[Install Date]]</f>
        <v>0</v>
      </c>
    </row>
    <row r="123" spans="1:19">
      <c r="A123">
        <v>119</v>
      </c>
      <c r="B123" s="687" t="s">
        <v>362</v>
      </c>
      <c r="C123" s="689" t="s">
        <v>408</v>
      </c>
      <c r="D123" s="689" t="s">
        <v>442</v>
      </c>
      <c r="E123" s="689" t="s">
        <v>370</v>
      </c>
      <c r="F123" s="689">
        <v>1</v>
      </c>
      <c r="G123" s="689"/>
      <c r="H123" s="695"/>
      <c r="I123" s="695">
        <v>46112</v>
      </c>
      <c r="J123" s="689" t="s">
        <v>365</v>
      </c>
      <c r="K123" t="str">
        <f t="shared" si="5"/>
        <v>Switch</v>
      </c>
      <c r="M123" s="412">
        <f t="shared" si="4"/>
        <v>0</v>
      </c>
      <c r="N123" s="412">
        <f t="shared" si="6"/>
        <v>0</v>
      </c>
      <c r="O123" s="412">
        <f>All_Detail_v2[[#This Row],[Qty. Success]]</f>
        <v>0</v>
      </c>
      <c r="P123" s="230">
        <f>IF(All_Detail_v2[[#This Row],[Qty]]=0,1,(M123+N123+O123)/(All_Detail_v2[[#This Row],[Qty]]*3))</f>
        <v>0</v>
      </c>
      <c r="Q123" s="195"/>
      <c r="R123" s="414">
        <f>All_Detail_v2[[#This Row],[Scheduled Date]]</f>
        <v>46112</v>
      </c>
      <c r="S123" s="414">
        <f>All_Detail_v2[[#This Row],[Install Date]]</f>
        <v>0</v>
      </c>
    </row>
    <row r="124" spans="1:19">
      <c r="A124">
        <v>120</v>
      </c>
      <c r="B124" s="687" t="s">
        <v>362</v>
      </c>
      <c r="C124" s="689" t="s">
        <v>408</v>
      </c>
      <c r="D124" s="689" t="s">
        <v>443</v>
      </c>
      <c r="E124" s="689" t="s">
        <v>370</v>
      </c>
      <c r="F124" s="689">
        <v>1</v>
      </c>
      <c r="G124" s="689"/>
      <c r="H124" s="695"/>
      <c r="I124" s="695">
        <v>46112</v>
      </c>
      <c r="J124" s="689" t="s">
        <v>365</v>
      </c>
      <c r="K124" t="str">
        <f t="shared" si="5"/>
        <v>Switch</v>
      </c>
      <c r="M124" s="412">
        <f t="shared" si="4"/>
        <v>0</v>
      </c>
      <c r="N124" s="412">
        <f t="shared" si="6"/>
        <v>0</v>
      </c>
      <c r="O124" s="412">
        <f>All_Detail_v2[[#This Row],[Qty. Success]]</f>
        <v>0</v>
      </c>
      <c r="P124" s="230">
        <f>IF(All_Detail_v2[[#This Row],[Qty]]=0,1,(M124+N124+O124)/(All_Detail_v2[[#This Row],[Qty]]*3))</f>
        <v>0</v>
      </c>
      <c r="Q124" s="195"/>
      <c r="R124" s="414">
        <f>All_Detail_v2[[#This Row],[Scheduled Date]]</f>
        <v>46112</v>
      </c>
      <c r="S124" s="414">
        <f>All_Detail_v2[[#This Row],[Install Date]]</f>
        <v>0</v>
      </c>
    </row>
    <row r="125" spans="1:19">
      <c r="A125">
        <v>121</v>
      </c>
      <c r="B125" s="687" t="s">
        <v>362</v>
      </c>
      <c r="C125" s="689" t="s">
        <v>408</v>
      </c>
      <c r="D125" s="689" t="s">
        <v>444</v>
      </c>
      <c r="E125" s="689" t="s">
        <v>370</v>
      </c>
      <c r="F125" s="689">
        <v>1</v>
      </c>
      <c r="G125" s="689"/>
      <c r="H125" s="695"/>
      <c r="I125" s="695">
        <v>46112</v>
      </c>
      <c r="J125" s="689" t="s">
        <v>365</v>
      </c>
      <c r="K125" t="str">
        <f t="shared" si="5"/>
        <v>Switch</v>
      </c>
      <c r="M125" s="412">
        <f t="shared" si="4"/>
        <v>0</v>
      </c>
      <c r="N125" s="412">
        <f t="shared" si="6"/>
        <v>0</v>
      </c>
      <c r="O125" s="412">
        <f>All_Detail_v2[[#This Row],[Qty. Success]]</f>
        <v>0</v>
      </c>
      <c r="P125" s="230">
        <f>IF(All_Detail_v2[[#This Row],[Qty]]=0,1,(M125+N125+O125)/(All_Detail_v2[[#This Row],[Qty]]*3))</f>
        <v>0</v>
      </c>
      <c r="Q125" s="195"/>
      <c r="R125" s="414">
        <f>All_Detail_v2[[#This Row],[Scheduled Date]]</f>
        <v>46112</v>
      </c>
      <c r="S125" s="414">
        <f>All_Detail_v2[[#This Row],[Install Date]]</f>
        <v>0</v>
      </c>
    </row>
    <row r="126" spans="1:19">
      <c r="A126">
        <v>122</v>
      </c>
      <c r="B126" s="687" t="s">
        <v>362</v>
      </c>
      <c r="C126" s="689" t="s">
        <v>408</v>
      </c>
      <c r="D126" s="689" t="s">
        <v>445</v>
      </c>
      <c r="E126" s="689" t="s">
        <v>370</v>
      </c>
      <c r="F126" s="689">
        <v>1</v>
      </c>
      <c r="G126" s="689"/>
      <c r="H126" s="695"/>
      <c r="I126" s="695">
        <v>46112</v>
      </c>
      <c r="J126" s="689" t="s">
        <v>365</v>
      </c>
      <c r="K126" t="str">
        <f t="shared" si="5"/>
        <v>Switch</v>
      </c>
      <c r="M126" s="412">
        <f t="shared" si="4"/>
        <v>0</v>
      </c>
      <c r="N126" s="412">
        <f t="shared" si="6"/>
        <v>0</v>
      </c>
      <c r="O126" s="412">
        <f>All_Detail_v2[[#This Row],[Qty. Success]]</f>
        <v>0</v>
      </c>
      <c r="P126" s="230">
        <f>IF(All_Detail_v2[[#This Row],[Qty]]=0,1,(M126+N126+O126)/(All_Detail_v2[[#This Row],[Qty]]*3))</f>
        <v>0</v>
      </c>
      <c r="Q126" s="195"/>
      <c r="R126" s="414">
        <f>All_Detail_v2[[#This Row],[Scheduled Date]]</f>
        <v>46112</v>
      </c>
      <c r="S126" s="414">
        <f>All_Detail_v2[[#This Row],[Install Date]]</f>
        <v>0</v>
      </c>
    </row>
    <row r="127" spans="1:19">
      <c r="A127">
        <v>123</v>
      </c>
      <c r="B127" s="687" t="s">
        <v>362</v>
      </c>
      <c r="C127" s="689" t="s">
        <v>446</v>
      </c>
      <c r="D127" s="689" t="s">
        <v>447</v>
      </c>
      <c r="E127" s="689" t="s">
        <v>370</v>
      </c>
      <c r="F127" s="689">
        <v>2</v>
      </c>
      <c r="G127" s="689">
        <v>2</v>
      </c>
      <c r="H127" s="695">
        <v>46097</v>
      </c>
      <c r="I127" s="695">
        <v>46097</v>
      </c>
      <c r="J127" s="689" t="s">
        <v>368</v>
      </c>
      <c r="K127" t="str">
        <f t="shared" si="5"/>
        <v>Switch</v>
      </c>
      <c r="M127" s="412">
        <f t="shared" si="4"/>
        <v>2</v>
      </c>
      <c r="N127" s="412">
        <f t="shared" si="6"/>
        <v>2</v>
      </c>
      <c r="O127" s="412">
        <f>All_Detail_v2[[#This Row],[Qty. Success]]</f>
        <v>2</v>
      </c>
      <c r="P127" s="230">
        <f>IF(All_Detail_v2[[#This Row],[Qty]]=0,1,(M127+N127+O127)/(All_Detail_v2[[#This Row],[Qty]]*3))</f>
        <v>1</v>
      </c>
      <c r="Q127" s="195"/>
      <c r="R127" s="414">
        <f>All_Detail_v2[[#This Row],[Scheduled Date]]</f>
        <v>46097</v>
      </c>
      <c r="S127" s="414">
        <f>All_Detail_v2[[#This Row],[Install Date]]</f>
        <v>46097</v>
      </c>
    </row>
    <row r="128" spans="1:19">
      <c r="A128">
        <v>124</v>
      </c>
      <c r="B128" s="687" t="s">
        <v>362</v>
      </c>
      <c r="C128" s="689" t="s">
        <v>446</v>
      </c>
      <c r="D128" s="689" t="s">
        <v>447</v>
      </c>
      <c r="E128" s="689" t="s">
        <v>375</v>
      </c>
      <c r="F128" s="689">
        <v>1</v>
      </c>
      <c r="G128" s="689">
        <v>1</v>
      </c>
      <c r="H128" s="695">
        <v>46097</v>
      </c>
      <c r="I128" s="695">
        <v>46097</v>
      </c>
      <c r="J128" s="689" t="s">
        <v>368</v>
      </c>
      <c r="K128" t="str">
        <f t="shared" si="5"/>
        <v>Switch</v>
      </c>
      <c r="M128" s="412">
        <f t="shared" si="4"/>
        <v>1</v>
      </c>
      <c r="N128" s="412">
        <f t="shared" si="6"/>
        <v>1</v>
      </c>
      <c r="O128" s="412">
        <f>All_Detail_v2[[#This Row],[Qty. Success]]</f>
        <v>1</v>
      </c>
      <c r="P128" s="230">
        <f>IF(All_Detail_v2[[#This Row],[Qty]]=0,1,(M128+N128+O128)/(All_Detail_v2[[#This Row],[Qty]]*3))</f>
        <v>1</v>
      </c>
      <c r="Q128" s="195"/>
      <c r="R128" s="414">
        <f>All_Detail_v2[[#This Row],[Scheduled Date]]</f>
        <v>46097</v>
      </c>
      <c r="S128" s="414">
        <f>All_Detail_v2[[#This Row],[Install Date]]</f>
        <v>46097</v>
      </c>
    </row>
    <row r="129" spans="1:19">
      <c r="A129">
        <v>125</v>
      </c>
      <c r="B129" s="687" t="s">
        <v>362</v>
      </c>
      <c r="C129" s="689" t="s">
        <v>446</v>
      </c>
      <c r="D129" s="689" t="s">
        <v>447</v>
      </c>
      <c r="E129" s="689" t="s">
        <v>412</v>
      </c>
      <c r="F129" s="689">
        <v>1</v>
      </c>
      <c r="G129" s="689">
        <v>1</v>
      </c>
      <c r="H129" s="695">
        <v>46087</v>
      </c>
      <c r="I129" s="695">
        <v>46087</v>
      </c>
      <c r="J129" s="689" t="s">
        <v>368</v>
      </c>
      <c r="K129" t="str">
        <f t="shared" si="5"/>
        <v>Switch</v>
      </c>
      <c r="M129" s="412">
        <f t="shared" si="4"/>
        <v>1</v>
      </c>
      <c r="N129" s="412">
        <f t="shared" si="6"/>
        <v>1</v>
      </c>
      <c r="O129" s="412">
        <f>All_Detail_v2[[#This Row],[Qty. Success]]</f>
        <v>1</v>
      </c>
      <c r="P129" s="230">
        <f>IF(All_Detail_v2[[#This Row],[Qty]]=0,1,(M129+N129+O129)/(All_Detail_v2[[#This Row],[Qty]]*3))</f>
        <v>1</v>
      </c>
      <c r="Q129" s="195"/>
      <c r="R129" s="414">
        <f>All_Detail_v2[[#This Row],[Scheduled Date]]</f>
        <v>46087</v>
      </c>
      <c r="S129" s="414">
        <f>All_Detail_v2[[#This Row],[Install Date]]</f>
        <v>46087</v>
      </c>
    </row>
    <row r="130" spans="1:19">
      <c r="A130">
        <v>126</v>
      </c>
      <c r="B130" s="687" t="s">
        <v>362</v>
      </c>
      <c r="C130" s="689" t="s">
        <v>446</v>
      </c>
      <c r="D130" s="689" t="s">
        <v>448</v>
      </c>
      <c r="E130" s="689" t="s">
        <v>370</v>
      </c>
      <c r="F130" s="689">
        <v>1</v>
      </c>
      <c r="G130" s="689">
        <v>2</v>
      </c>
      <c r="H130" s="695">
        <v>46097</v>
      </c>
      <c r="I130" s="695">
        <v>46097</v>
      </c>
      <c r="J130" s="689" t="s">
        <v>368</v>
      </c>
      <c r="K130" t="str">
        <f t="shared" si="5"/>
        <v>Switch</v>
      </c>
      <c r="M130" s="412">
        <f t="shared" ref="M130:M193" si="7">O130</f>
        <v>2</v>
      </c>
      <c r="N130" s="412">
        <f t="shared" si="6"/>
        <v>2</v>
      </c>
      <c r="O130" s="412">
        <f>All_Detail_v2[[#This Row],[Qty. Success]]</f>
        <v>2</v>
      </c>
      <c r="P130" s="230">
        <f>IF(All_Detail_v2[[#This Row],[Qty]]=0,1,(M130+N130+O130)/(All_Detail_v2[[#This Row],[Qty]]*3))</f>
        <v>2</v>
      </c>
      <c r="Q130" s="195"/>
      <c r="R130" s="414">
        <f>All_Detail_v2[[#This Row],[Scheduled Date]]</f>
        <v>46097</v>
      </c>
      <c r="S130" s="414">
        <f>All_Detail_v2[[#This Row],[Install Date]]</f>
        <v>46097</v>
      </c>
    </row>
    <row r="131" spans="1:19">
      <c r="A131">
        <v>127</v>
      </c>
      <c r="B131" s="687" t="s">
        <v>362</v>
      </c>
      <c r="C131" s="689" t="s">
        <v>446</v>
      </c>
      <c r="D131" s="689" t="s">
        <v>448</v>
      </c>
      <c r="E131" s="689" t="s">
        <v>375</v>
      </c>
      <c r="F131" s="689">
        <v>1</v>
      </c>
      <c r="G131" s="689">
        <v>2</v>
      </c>
      <c r="H131" s="695">
        <v>46097</v>
      </c>
      <c r="I131" s="695">
        <v>46097</v>
      </c>
      <c r="J131" s="689" t="s">
        <v>368</v>
      </c>
      <c r="K131" t="str">
        <f t="shared" ref="K131:K194" si="8">IF(ISNUMBER(SEARCH("Access Point",E131)),"AP",IF(OR(ISNUMBER(SEARCH("Switch",E131)),ISNUMBER(SEARCH("Control Type",E131))),"Switch","Infra"))</f>
        <v>Switch</v>
      </c>
      <c r="M131" s="412">
        <f t="shared" si="7"/>
        <v>2</v>
      </c>
      <c r="N131" s="412">
        <f t="shared" si="6"/>
        <v>2</v>
      </c>
      <c r="O131" s="412">
        <f>All_Detail_v2[[#This Row],[Qty. Success]]</f>
        <v>2</v>
      </c>
      <c r="P131" s="230">
        <f>IF(All_Detail_v2[[#This Row],[Qty]]=0,1,(M131+N131+O131)/(All_Detail_v2[[#This Row],[Qty]]*3))</f>
        <v>2</v>
      </c>
      <c r="Q131" s="195"/>
      <c r="R131" s="414">
        <f>All_Detail_v2[[#This Row],[Scheduled Date]]</f>
        <v>46097</v>
      </c>
      <c r="S131" s="414">
        <f>All_Detail_v2[[#This Row],[Install Date]]</f>
        <v>46097</v>
      </c>
    </row>
    <row r="132" spans="1:19">
      <c r="A132">
        <v>128</v>
      </c>
      <c r="B132" s="687" t="s">
        <v>362</v>
      </c>
      <c r="C132" s="689" t="s">
        <v>446</v>
      </c>
      <c r="D132" s="689" t="s">
        <v>448</v>
      </c>
      <c r="E132" s="689" t="s">
        <v>412</v>
      </c>
      <c r="F132" s="689">
        <v>1</v>
      </c>
      <c r="G132" s="689">
        <v>1</v>
      </c>
      <c r="H132" s="695">
        <v>46087</v>
      </c>
      <c r="I132" s="695">
        <v>46087</v>
      </c>
      <c r="J132" s="689" t="s">
        <v>368</v>
      </c>
      <c r="K132" t="str">
        <f t="shared" si="8"/>
        <v>Switch</v>
      </c>
      <c r="M132" s="412">
        <f t="shared" si="7"/>
        <v>1</v>
      </c>
      <c r="N132" s="412">
        <f t="shared" si="6"/>
        <v>1</v>
      </c>
      <c r="O132" s="412">
        <f>All_Detail_v2[[#This Row],[Qty. Success]]</f>
        <v>1</v>
      </c>
      <c r="P132" s="230">
        <f>IF(All_Detail_v2[[#This Row],[Qty]]=0,1,(M132+N132+O132)/(All_Detail_v2[[#This Row],[Qty]]*3))</f>
        <v>1</v>
      </c>
      <c r="Q132" s="195"/>
      <c r="R132" s="414">
        <f>All_Detail_v2[[#This Row],[Scheduled Date]]</f>
        <v>46087</v>
      </c>
      <c r="S132" s="414">
        <f>All_Detail_v2[[#This Row],[Install Date]]</f>
        <v>46087</v>
      </c>
    </row>
    <row r="133" spans="1:19">
      <c r="A133">
        <v>129</v>
      </c>
      <c r="B133" s="687" t="s">
        <v>362</v>
      </c>
      <c r="C133" s="689" t="s">
        <v>446</v>
      </c>
      <c r="D133" s="689" t="s">
        <v>449</v>
      </c>
      <c r="E133" s="689" t="s">
        <v>370</v>
      </c>
      <c r="F133" s="689">
        <v>1</v>
      </c>
      <c r="G133" s="689">
        <v>1</v>
      </c>
      <c r="H133" s="695">
        <v>46091</v>
      </c>
      <c r="I133" s="695">
        <v>46091</v>
      </c>
      <c r="J133" s="689" t="s">
        <v>368</v>
      </c>
      <c r="K133" t="str">
        <f t="shared" si="8"/>
        <v>Switch</v>
      </c>
      <c r="M133" s="412">
        <f t="shared" si="7"/>
        <v>1</v>
      </c>
      <c r="N133" s="412">
        <f t="shared" si="6"/>
        <v>1</v>
      </c>
      <c r="O133" s="412">
        <f>All_Detail_v2[[#This Row],[Qty. Success]]</f>
        <v>1</v>
      </c>
      <c r="P133" s="230">
        <f>IF(All_Detail_v2[[#This Row],[Qty]]=0,1,(M133+N133+O133)/(All_Detail_v2[[#This Row],[Qty]]*3))</f>
        <v>1</v>
      </c>
      <c r="Q133" s="195"/>
      <c r="R133" s="414">
        <f>All_Detail_v2[[#This Row],[Scheduled Date]]</f>
        <v>46091</v>
      </c>
      <c r="S133" s="414">
        <f>All_Detail_v2[[#This Row],[Install Date]]</f>
        <v>46091</v>
      </c>
    </row>
    <row r="134" spans="1:19">
      <c r="A134">
        <v>130</v>
      </c>
      <c r="B134" s="687" t="s">
        <v>362</v>
      </c>
      <c r="C134" s="689" t="s">
        <v>446</v>
      </c>
      <c r="D134" s="689" t="s">
        <v>450</v>
      </c>
      <c r="E134" s="689" t="s">
        <v>370</v>
      </c>
      <c r="F134" s="689">
        <v>1</v>
      </c>
      <c r="G134" s="689">
        <v>1</v>
      </c>
      <c r="H134" s="695">
        <v>46091</v>
      </c>
      <c r="I134" s="695">
        <v>46091</v>
      </c>
      <c r="J134" s="689" t="s">
        <v>368</v>
      </c>
      <c r="K134" t="str">
        <f t="shared" si="8"/>
        <v>Switch</v>
      </c>
      <c r="M134" s="412">
        <f t="shared" si="7"/>
        <v>1</v>
      </c>
      <c r="N134" s="412">
        <f t="shared" ref="N134:N197" si="9">O134</f>
        <v>1</v>
      </c>
      <c r="O134" s="412">
        <f>All_Detail_v2[[#This Row],[Qty. Success]]</f>
        <v>1</v>
      </c>
      <c r="P134" s="230">
        <f>IF(All_Detail_v2[[#This Row],[Qty]]=0,1,(M134+N134+O134)/(All_Detail_v2[[#This Row],[Qty]]*3))</f>
        <v>1</v>
      </c>
      <c r="Q134" s="195"/>
      <c r="R134" s="414">
        <f>All_Detail_v2[[#This Row],[Scheduled Date]]</f>
        <v>46091</v>
      </c>
      <c r="S134" s="414">
        <f>All_Detail_v2[[#This Row],[Install Date]]</f>
        <v>46091</v>
      </c>
    </row>
    <row r="135" spans="1:19">
      <c r="A135">
        <v>131</v>
      </c>
      <c r="B135" s="687" t="s">
        <v>362</v>
      </c>
      <c r="C135" s="689" t="s">
        <v>446</v>
      </c>
      <c r="D135" s="689" t="s">
        <v>450</v>
      </c>
      <c r="E135" s="689" t="s">
        <v>375</v>
      </c>
      <c r="F135" s="689">
        <v>1</v>
      </c>
      <c r="G135" s="689">
        <v>1</v>
      </c>
      <c r="H135" s="695">
        <v>46091</v>
      </c>
      <c r="I135" s="695">
        <v>46091</v>
      </c>
      <c r="J135" s="689" t="s">
        <v>368</v>
      </c>
      <c r="K135" t="str">
        <f t="shared" si="8"/>
        <v>Switch</v>
      </c>
      <c r="M135" s="412">
        <f t="shared" si="7"/>
        <v>1</v>
      </c>
      <c r="N135" s="412">
        <f t="shared" si="9"/>
        <v>1</v>
      </c>
      <c r="O135" s="412">
        <f>All_Detail_v2[[#This Row],[Qty. Success]]</f>
        <v>1</v>
      </c>
      <c r="P135" s="230">
        <f>IF(All_Detail_v2[[#This Row],[Qty]]=0,1,(M135+N135+O135)/(All_Detail_v2[[#This Row],[Qty]]*3))</f>
        <v>1</v>
      </c>
      <c r="Q135" s="195"/>
      <c r="R135" s="414">
        <f>All_Detail_v2[[#This Row],[Scheduled Date]]</f>
        <v>46091</v>
      </c>
      <c r="S135" s="414">
        <f>All_Detail_v2[[#This Row],[Install Date]]</f>
        <v>46091</v>
      </c>
    </row>
    <row r="136" spans="1:19">
      <c r="A136">
        <v>132</v>
      </c>
      <c r="B136" s="687" t="s">
        <v>362</v>
      </c>
      <c r="C136" s="689" t="s">
        <v>446</v>
      </c>
      <c r="D136" s="689" t="s">
        <v>451</v>
      </c>
      <c r="E136" s="689" t="s">
        <v>370</v>
      </c>
      <c r="F136" s="689">
        <v>1</v>
      </c>
      <c r="G136" s="689">
        <v>1</v>
      </c>
      <c r="H136" s="695">
        <v>46093</v>
      </c>
      <c r="I136" s="695">
        <v>46093</v>
      </c>
      <c r="J136" s="689" t="s">
        <v>368</v>
      </c>
      <c r="K136" t="str">
        <f t="shared" si="8"/>
        <v>Switch</v>
      </c>
      <c r="M136" s="412">
        <f t="shared" si="7"/>
        <v>1</v>
      </c>
      <c r="N136" s="412">
        <f t="shared" si="9"/>
        <v>1</v>
      </c>
      <c r="O136" s="412">
        <f>All_Detail_v2[[#This Row],[Qty. Success]]</f>
        <v>1</v>
      </c>
      <c r="P136" s="230">
        <f>IF(All_Detail_v2[[#This Row],[Qty]]=0,1,(M136+N136+O136)/(All_Detail_v2[[#This Row],[Qty]]*3))</f>
        <v>1</v>
      </c>
      <c r="Q136" s="195"/>
      <c r="R136" s="414">
        <f>All_Detail_v2[[#This Row],[Scheduled Date]]</f>
        <v>46093</v>
      </c>
      <c r="S136" s="414">
        <f>All_Detail_v2[[#This Row],[Install Date]]</f>
        <v>46093</v>
      </c>
    </row>
    <row r="137" spans="1:19">
      <c r="A137">
        <v>133</v>
      </c>
      <c r="B137" s="687" t="s">
        <v>362</v>
      </c>
      <c r="C137" s="689" t="s">
        <v>446</v>
      </c>
      <c r="D137" s="689" t="s">
        <v>451</v>
      </c>
      <c r="E137" s="689" t="s">
        <v>375</v>
      </c>
      <c r="F137" s="689">
        <v>1</v>
      </c>
      <c r="G137" s="689">
        <v>1</v>
      </c>
      <c r="H137" s="695">
        <v>46093</v>
      </c>
      <c r="I137" s="695">
        <v>46093</v>
      </c>
      <c r="J137" s="689" t="s">
        <v>368</v>
      </c>
      <c r="K137" t="str">
        <f t="shared" si="8"/>
        <v>Switch</v>
      </c>
      <c r="M137" s="412">
        <f t="shared" si="7"/>
        <v>1</v>
      </c>
      <c r="N137" s="412">
        <f t="shared" si="9"/>
        <v>1</v>
      </c>
      <c r="O137" s="412">
        <f>All_Detail_v2[[#This Row],[Qty. Success]]</f>
        <v>1</v>
      </c>
      <c r="P137" s="230">
        <f>IF(All_Detail_v2[[#This Row],[Qty]]=0,1,(M137+N137+O137)/(All_Detail_v2[[#This Row],[Qty]]*3))</f>
        <v>1</v>
      </c>
      <c r="Q137" s="195"/>
      <c r="R137" s="414">
        <f>All_Detail_v2[[#This Row],[Scheduled Date]]</f>
        <v>46093</v>
      </c>
      <c r="S137" s="414">
        <f>All_Detail_v2[[#This Row],[Install Date]]</f>
        <v>46093</v>
      </c>
    </row>
    <row r="138" spans="1:19">
      <c r="A138">
        <v>134</v>
      </c>
      <c r="B138" s="687" t="s">
        <v>362</v>
      </c>
      <c r="C138" s="689" t="s">
        <v>446</v>
      </c>
      <c r="D138" s="689" t="s">
        <v>451</v>
      </c>
      <c r="E138" s="689" t="s">
        <v>410</v>
      </c>
      <c r="F138" s="689">
        <v>1</v>
      </c>
      <c r="G138" s="689">
        <v>1</v>
      </c>
      <c r="H138" s="695">
        <v>46087</v>
      </c>
      <c r="I138" s="695">
        <v>46087</v>
      </c>
      <c r="J138" s="689" t="s">
        <v>368</v>
      </c>
      <c r="K138" t="str">
        <f t="shared" si="8"/>
        <v>Switch</v>
      </c>
      <c r="M138" s="412">
        <f t="shared" si="7"/>
        <v>1</v>
      </c>
      <c r="N138" s="412">
        <f t="shared" si="9"/>
        <v>1</v>
      </c>
      <c r="O138" s="412">
        <f>All_Detail_v2[[#This Row],[Qty. Success]]</f>
        <v>1</v>
      </c>
      <c r="P138" s="230">
        <f>IF(All_Detail_v2[[#This Row],[Qty]]=0,1,(M138+N138+O138)/(All_Detail_v2[[#This Row],[Qty]]*3))</f>
        <v>1</v>
      </c>
      <c r="Q138" s="195"/>
      <c r="R138" s="414">
        <f>All_Detail_v2[[#This Row],[Scheduled Date]]</f>
        <v>46087</v>
      </c>
      <c r="S138" s="414">
        <f>All_Detail_v2[[#This Row],[Install Date]]</f>
        <v>46087</v>
      </c>
    </row>
    <row r="139" spans="1:19">
      <c r="A139">
        <v>135</v>
      </c>
      <c r="B139" s="687" t="s">
        <v>362</v>
      </c>
      <c r="C139" s="689" t="s">
        <v>446</v>
      </c>
      <c r="D139" s="689" t="s">
        <v>452</v>
      </c>
      <c r="E139" s="689" t="s">
        <v>370</v>
      </c>
      <c r="F139" s="689">
        <v>1</v>
      </c>
      <c r="G139" s="689">
        <v>1</v>
      </c>
      <c r="H139" s="695">
        <v>46093</v>
      </c>
      <c r="I139" s="695">
        <v>46093</v>
      </c>
      <c r="J139" s="689" t="s">
        <v>368</v>
      </c>
      <c r="K139" t="str">
        <f t="shared" si="8"/>
        <v>Switch</v>
      </c>
      <c r="M139" s="412">
        <f t="shared" si="7"/>
        <v>1</v>
      </c>
      <c r="N139" s="412">
        <f t="shared" si="9"/>
        <v>1</v>
      </c>
      <c r="O139" s="412">
        <f>All_Detail_v2[[#This Row],[Qty. Success]]</f>
        <v>1</v>
      </c>
      <c r="P139" s="230">
        <f>IF(All_Detail_v2[[#This Row],[Qty]]=0,1,(M139+N139+O139)/(All_Detail_v2[[#This Row],[Qty]]*3))</f>
        <v>1</v>
      </c>
      <c r="Q139" s="195"/>
      <c r="R139" s="414">
        <f>All_Detail_v2[[#This Row],[Scheduled Date]]</f>
        <v>46093</v>
      </c>
      <c r="S139" s="414">
        <f>All_Detail_v2[[#This Row],[Install Date]]</f>
        <v>46093</v>
      </c>
    </row>
    <row r="140" spans="1:19">
      <c r="A140">
        <v>136</v>
      </c>
      <c r="B140" s="687" t="s">
        <v>362</v>
      </c>
      <c r="C140" s="689" t="s">
        <v>446</v>
      </c>
      <c r="D140" s="689" t="s">
        <v>452</v>
      </c>
      <c r="E140" s="689" t="s">
        <v>375</v>
      </c>
      <c r="F140" s="689">
        <v>1</v>
      </c>
      <c r="G140" s="689">
        <v>1</v>
      </c>
      <c r="H140" s="695">
        <v>46093</v>
      </c>
      <c r="I140" s="695">
        <v>46093</v>
      </c>
      <c r="J140" s="689" t="s">
        <v>368</v>
      </c>
      <c r="K140" t="str">
        <f t="shared" si="8"/>
        <v>Switch</v>
      </c>
      <c r="M140" s="412">
        <f t="shared" si="7"/>
        <v>1</v>
      </c>
      <c r="N140" s="412">
        <f t="shared" si="9"/>
        <v>1</v>
      </c>
      <c r="O140" s="412">
        <f>All_Detail_v2[[#This Row],[Qty. Success]]</f>
        <v>1</v>
      </c>
      <c r="P140" s="230">
        <f>IF(All_Detail_v2[[#This Row],[Qty]]=0,1,(M140+N140+O140)/(All_Detail_v2[[#This Row],[Qty]]*3))</f>
        <v>1</v>
      </c>
      <c r="Q140" s="195"/>
      <c r="R140" s="414">
        <f>All_Detail_v2[[#This Row],[Scheduled Date]]</f>
        <v>46093</v>
      </c>
      <c r="S140" s="414">
        <f>All_Detail_v2[[#This Row],[Install Date]]</f>
        <v>46093</v>
      </c>
    </row>
    <row r="141" spans="1:19">
      <c r="A141">
        <v>137</v>
      </c>
      <c r="B141" s="687" t="s">
        <v>362</v>
      </c>
      <c r="C141" s="689" t="s">
        <v>446</v>
      </c>
      <c r="D141" s="689" t="s">
        <v>452</v>
      </c>
      <c r="E141" s="689" t="s">
        <v>412</v>
      </c>
      <c r="F141" s="689">
        <v>1</v>
      </c>
      <c r="G141" s="689">
        <v>1</v>
      </c>
      <c r="H141" s="695">
        <v>46087</v>
      </c>
      <c r="I141" s="695">
        <v>46087</v>
      </c>
      <c r="J141" s="689" t="s">
        <v>368</v>
      </c>
      <c r="K141" t="str">
        <f t="shared" si="8"/>
        <v>Switch</v>
      </c>
      <c r="M141" s="412">
        <f t="shared" si="7"/>
        <v>1</v>
      </c>
      <c r="N141" s="412">
        <f t="shared" si="9"/>
        <v>1</v>
      </c>
      <c r="O141" s="412">
        <f>All_Detail_v2[[#This Row],[Qty. Success]]</f>
        <v>1</v>
      </c>
      <c r="P141" s="230">
        <f>IF(All_Detail_v2[[#This Row],[Qty]]=0,1,(M141+N141+O141)/(All_Detail_v2[[#This Row],[Qty]]*3))</f>
        <v>1</v>
      </c>
      <c r="Q141" s="195"/>
      <c r="R141" s="414">
        <f>All_Detail_v2[[#This Row],[Scheduled Date]]</f>
        <v>46087</v>
      </c>
      <c r="S141" s="414">
        <f>All_Detail_v2[[#This Row],[Install Date]]</f>
        <v>46087</v>
      </c>
    </row>
    <row r="142" spans="1:19">
      <c r="A142">
        <v>138</v>
      </c>
      <c r="B142" s="687" t="s">
        <v>362</v>
      </c>
      <c r="C142" s="689" t="s">
        <v>446</v>
      </c>
      <c r="D142" s="689" t="s">
        <v>453</v>
      </c>
      <c r="E142" s="689" t="s">
        <v>370</v>
      </c>
      <c r="F142" s="689">
        <v>1</v>
      </c>
      <c r="G142" s="689">
        <v>1</v>
      </c>
      <c r="H142" s="695">
        <v>46092</v>
      </c>
      <c r="I142" s="695">
        <v>46092</v>
      </c>
      <c r="J142" s="689" t="s">
        <v>368</v>
      </c>
      <c r="K142" t="str">
        <f t="shared" si="8"/>
        <v>Switch</v>
      </c>
      <c r="M142" s="412">
        <f t="shared" si="7"/>
        <v>1</v>
      </c>
      <c r="N142" s="412">
        <f t="shared" si="9"/>
        <v>1</v>
      </c>
      <c r="O142" s="412">
        <f>All_Detail_v2[[#This Row],[Qty. Success]]</f>
        <v>1</v>
      </c>
      <c r="P142" s="230">
        <f>IF(All_Detail_v2[[#This Row],[Qty]]=0,1,(M142+N142+O142)/(All_Detail_v2[[#This Row],[Qty]]*3))</f>
        <v>1</v>
      </c>
      <c r="Q142" s="195"/>
      <c r="R142" s="414">
        <f>All_Detail_v2[[#This Row],[Scheduled Date]]</f>
        <v>46092</v>
      </c>
      <c r="S142" s="414">
        <f>All_Detail_v2[[#This Row],[Install Date]]</f>
        <v>46092</v>
      </c>
    </row>
    <row r="143" spans="1:19">
      <c r="A143">
        <v>139</v>
      </c>
      <c r="B143" s="687" t="s">
        <v>362</v>
      </c>
      <c r="C143" s="689" t="s">
        <v>446</v>
      </c>
      <c r="D143" s="689" t="s">
        <v>454</v>
      </c>
      <c r="E143" s="689" t="s">
        <v>370</v>
      </c>
      <c r="F143" s="689">
        <v>1</v>
      </c>
      <c r="G143" s="689">
        <v>1</v>
      </c>
      <c r="H143" s="695">
        <v>46092</v>
      </c>
      <c r="I143" s="695">
        <v>46092</v>
      </c>
      <c r="J143" s="689" t="s">
        <v>368</v>
      </c>
      <c r="K143" t="str">
        <f t="shared" si="8"/>
        <v>Switch</v>
      </c>
      <c r="M143" s="412">
        <f t="shared" si="7"/>
        <v>1</v>
      </c>
      <c r="N143" s="412">
        <f t="shared" si="9"/>
        <v>1</v>
      </c>
      <c r="O143" s="412">
        <f>All_Detail_v2[[#This Row],[Qty. Success]]</f>
        <v>1</v>
      </c>
      <c r="P143" s="230">
        <f>IF(All_Detail_v2[[#This Row],[Qty]]=0,1,(M143+N143+O143)/(All_Detail_v2[[#This Row],[Qty]]*3))</f>
        <v>1</v>
      </c>
      <c r="Q143" s="195"/>
      <c r="R143" s="414">
        <f>All_Detail_v2[[#This Row],[Scheduled Date]]</f>
        <v>46092</v>
      </c>
      <c r="S143" s="414">
        <f>All_Detail_v2[[#This Row],[Install Date]]</f>
        <v>46092</v>
      </c>
    </row>
    <row r="144" spans="1:19">
      <c r="A144">
        <v>140</v>
      </c>
      <c r="B144" s="687" t="s">
        <v>362</v>
      </c>
      <c r="C144" s="689" t="s">
        <v>446</v>
      </c>
      <c r="D144" s="689" t="s">
        <v>455</v>
      </c>
      <c r="E144" s="689" t="s">
        <v>370</v>
      </c>
      <c r="F144" s="689">
        <v>1</v>
      </c>
      <c r="G144" s="689">
        <v>1</v>
      </c>
      <c r="H144" s="695">
        <v>46093</v>
      </c>
      <c r="I144" s="695">
        <v>46093</v>
      </c>
      <c r="J144" s="689" t="s">
        <v>368</v>
      </c>
      <c r="K144" t="str">
        <f t="shared" si="8"/>
        <v>Switch</v>
      </c>
      <c r="M144" s="412">
        <f t="shared" si="7"/>
        <v>1</v>
      </c>
      <c r="N144" s="412">
        <f t="shared" si="9"/>
        <v>1</v>
      </c>
      <c r="O144" s="412">
        <f>All_Detail_v2[[#This Row],[Qty. Success]]</f>
        <v>1</v>
      </c>
      <c r="P144" s="230">
        <f>IF(All_Detail_v2[[#This Row],[Qty]]=0,1,(M144+N144+O144)/(All_Detail_v2[[#This Row],[Qty]]*3))</f>
        <v>1</v>
      </c>
      <c r="Q144" s="195"/>
      <c r="R144" s="414">
        <f>All_Detail_v2[[#This Row],[Scheduled Date]]</f>
        <v>46093</v>
      </c>
      <c r="S144" s="414">
        <f>All_Detail_v2[[#This Row],[Install Date]]</f>
        <v>46093</v>
      </c>
    </row>
    <row r="145" spans="1:19">
      <c r="A145">
        <v>141</v>
      </c>
      <c r="B145" s="687" t="s">
        <v>362</v>
      </c>
      <c r="C145" s="689" t="s">
        <v>446</v>
      </c>
      <c r="D145" s="689" t="s">
        <v>455</v>
      </c>
      <c r="E145" s="689" t="s">
        <v>375</v>
      </c>
      <c r="F145" s="689">
        <v>1</v>
      </c>
      <c r="G145" s="689">
        <v>1</v>
      </c>
      <c r="H145" s="695">
        <v>46093</v>
      </c>
      <c r="I145" s="695">
        <v>46093</v>
      </c>
      <c r="J145" s="689" t="s">
        <v>368</v>
      </c>
      <c r="K145" t="str">
        <f t="shared" si="8"/>
        <v>Switch</v>
      </c>
      <c r="M145" s="412">
        <f t="shared" si="7"/>
        <v>1</v>
      </c>
      <c r="N145" s="412">
        <f t="shared" si="9"/>
        <v>1</v>
      </c>
      <c r="O145" s="412">
        <f>All_Detail_v2[[#This Row],[Qty. Success]]</f>
        <v>1</v>
      </c>
      <c r="P145" s="230">
        <f>IF(All_Detail_v2[[#This Row],[Qty]]=0,1,(M145+N145+O145)/(All_Detail_v2[[#This Row],[Qty]]*3))</f>
        <v>1</v>
      </c>
      <c r="Q145" s="195"/>
      <c r="R145" s="414">
        <f>All_Detail_v2[[#This Row],[Scheduled Date]]</f>
        <v>46093</v>
      </c>
      <c r="S145" s="414">
        <f>All_Detail_v2[[#This Row],[Install Date]]</f>
        <v>46093</v>
      </c>
    </row>
    <row r="146" spans="1:19">
      <c r="A146">
        <v>142</v>
      </c>
      <c r="B146" s="687" t="s">
        <v>362</v>
      </c>
      <c r="C146" s="689" t="s">
        <v>446</v>
      </c>
      <c r="D146" s="689" t="s">
        <v>455</v>
      </c>
      <c r="E146" s="689" t="s">
        <v>412</v>
      </c>
      <c r="F146" s="689">
        <v>1</v>
      </c>
      <c r="G146" s="689">
        <v>1</v>
      </c>
      <c r="H146" s="695">
        <v>46087</v>
      </c>
      <c r="I146" s="695">
        <v>46087</v>
      </c>
      <c r="J146" s="689" t="s">
        <v>368</v>
      </c>
      <c r="K146" t="str">
        <f t="shared" si="8"/>
        <v>Switch</v>
      </c>
      <c r="M146" s="412">
        <f t="shared" si="7"/>
        <v>1</v>
      </c>
      <c r="N146" s="412">
        <f t="shared" si="9"/>
        <v>1</v>
      </c>
      <c r="O146" s="412">
        <f>All_Detail_v2[[#This Row],[Qty. Success]]</f>
        <v>1</v>
      </c>
      <c r="P146" s="230">
        <f>IF(All_Detail_v2[[#This Row],[Qty]]=0,1,(M146+N146+O146)/(All_Detail_v2[[#This Row],[Qty]]*3))</f>
        <v>1</v>
      </c>
      <c r="Q146" s="195"/>
      <c r="R146" s="414">
        <f>All_Detail_v2[[#This Row],[Scheduled Date]]</f>
        <v>46087</v>
      </c>
      <c r="S146" s="414">
        <f>All_Detail_v2[[#This Row],[Install Date]]</f>
        <v>46087</v>
      </c>
    </row>
    <row r="147" spans="1:19">
      <c r="A147">
        <v>143</v>
      </c>
      <c r="B147" s="687" t="s">
        <v>362</v>
      </c>
      <c r="C147" s="689" t="s">
        <v>446</v>
      </c>
      <c r="D147" s="689" t="s">
        <v>456</v>
      </c>
      <c r="E147" s="689" t="s">
        <v>370</v>
      </c>
      <c r="F147" s="689">
        <v>1</v>
      </c>
      <c r="G147" s="689">
        <v>1</v>
      </c>
      <c r="H147" s="695">
        <v>46093</v>
      </c>
      <c r="I147" s="695">
        <v>46093</v>
      </c>
      <c r="J147" s="689" t="s">
        <v>368</v>
      </c>
      <c r="K147" t="str">
        <f t="shared" si="8"/>
        <v>Switch</v>
      </c>
      <c r="M147" s="412">
        <f t="shared" si="7"/>
        <v>1</v>
      </c>
      <c r="N147" s="412">
        <f t="shared" si="9"/>
        <v>1</v>
      </c>
      <c r="O147" s="412">
        <f>All_Detail_v2[[#This Row],[Qty. Success]]</f>
        <v>1</v>
      </c>
      <c r="P147" s="230">
        <f>IF(All_Detail_v2[[#This Row],[Qty]]=0,1,(M147+N147+O147)/(All_Detail_v2[[#This Row],[Qty]]*3))</f>
        <v>1</v>
      </c>
      <c r="Q147" s="195"/>
      <c r="R147" s="414">
        <f>All_Detail_v2[[#This Row],[Scheduled Date]]</f>
        <v>46093</v>
      </c>
      <c r="S147" s="414">
        <f>All_Detail_v2[[#This Row],[Install Date]]</f>
        <v>46093</v>
      </c>
    </row>
    <row r="148" spans="1:19">
      <c r="A148">
        <v>144</v>
      </c>
      <c r="B148" s="687" t="s">
        <v>362</v>
      </c>
      <c r="C148" s="689" t="s">
        <v>446</v>
      </c>
      <c r="D148" s="689" t="s">
        <v>456</v>
      </c>
      <c r="E148" s="689" t="s">
        <v>375</v>
      </c>
      <c r="F148" s="689">
        <v>1</v>
      </c>
      <c r="G148" s="689">
        <v>1</v>
      </c>
      <c r="H148" s="695">
        <v>46093</v>
      </c>
      <c r="I148" s="695">
        <v>46093</v>
      </c>
      <c r="J148" s="689" t="s">
        <v>368</v>
      </c>
      <c r="K148" t="str">
        <f t="shared" si="8"/>
        <v>Switch</v>
      </c>
      <c r="M148" s="412">
        <f t="shared" si="7"/>
        <v>1</v>
      </c>
      <c r="N148" s="412">
        <f t="shared" si="9"/>
        <v>1</v>
      </c>
      <c r="O148" s="412">
        <f>All_Detail_v2[[#This Row],[Qty. Success]]</f>
        <v>1</v>
      </c>
      <c r="P148" s="230">
        <f>IF(All_Detail_v2[[#This Row],[Qty]]=0,1,(M148+N148+O148)/(All_Detail_v2[[#This Row],[Qty]]*3))</f>
        <v>1</v>
      </c>
      <c r="Q148" s="195"/>
      <c r="R148" s="414">
        <f>All_Detail_v2[[#This Row],[Scheduled Date]]</f>
        <v>46093</v>
      </c>
      <c r="S148" s="414">
        <f>All_Detail_v2[[#This Row],[Install Date]]</f>
        <v>46093</v>
      </c>
    </row>
    <row r="149" spans="1:19">
      <c r="A149">
        <v>145</v>
      </c>
      <c r="B149" s="687" t="s">
        <v>362</v>
      </c>
      <c r="C149" s="689" t="s">
        <v>446</v>
      </c>
      <c r="D149" s="689" t="s">
        <v>457</v>
      </c>
      <c r="E149" s="689" t="s">
        <v>370</v>
      </c>
      <c r="F149" s="689">
        <v>2</v>
      </c>
      <c r="G149" s="689"/>
      <c r="H149" s="695"/>
      <c r="I149" s="695">
        <v>46129</v>
      </c>
      <c r="J149" s="689" t="s">
        <v>365</v>
      </c>
      <c r="K149" t="str">
        <f t="shared" si="8"/>
        <v>Switch</v>
      </c>
      <c r="L149" t="s">
        <v>458</v>
      </c>
      <c r="M149" s="412">
        <f t="shared" si="7"/>
        <v>0</v>
      </c>
      <c r="N149" s="412">
        <f t="shared" si="9"/>
        <v>0</v>
      </c>
      <c r="O149" s="412">
        <f>All_Detail_v2[[#This Row],[Qty. Success]]</f>
        <v>0</v>
      </c>
      <c r="P149" s="230">
        <f>IF(All_Detail_v2[[#This Row],[Qty]]=0,1,(M149+N149+O149)/(All_Detail_v2[[#This Row],[Qty]]*3))</f>
        <v>0</v>
      </c>
      <c r="Q149" s="195"/>
      <c r="R149" s="414">
        <f>All_Detail_v2[[#This Row],[Scheduled Date]]</f>
        <v>46129</v>
      </c>
      <c r="S149" s="414">
        <f>All_Detail_v2[[#This Row],[Install Date]]</f>
        <v>0</v>
      </c>
    </row>
    <row r="150" spans="1:19">
      <c r="A150">
        <v>146</v>
      </c>
      <c r="B150" s="687" t="s">
        <v>362</v>
      </c>
      <c r="C150" s="689" t="s">
        <v>446</v>
      </c>
      <c r="D150" s="689" t="s">
        <v>457</v>
      </c>
      <c r="E150" s="689" t="s">
        <v>375</v>
      </c>
      <c r="F150" s="689">
        <v>1</v>
      </c>
      <c r="G150" s="689"/>
      <c r="H150" s="695"/>
      <c r="I150" s="695">
        <v>46129</v>
      </c>
      <c r="J150" s="689" t="s">
        <v>365</v>
      </c>
      <c r="K150" t="str">
        <f t="shared" si="8"/>
        <v>Switch</v>
      </c>
      <c r="M150" s="412">
        <f t="shared" si="7"/>
        <v>0</v>
      </c>
      <c r="N150" s="412">
        <f t="shared" si="9"/>
        <v>0</v>
      </c>
      <c r="O150" s="412">
        <f>All_Detail_v2[[#This Row],[Qty. Success]]</f>
        <v>0</v>
      </c>
      <c r="P150" s="230">
        <f>IF(All_Detail_v2[[#This Row],[Qty]]=0,1,(M150+N150+O150)/(All_Detail_v2[[#This Row],[Qty]]*3))</f>
        <v>0</v>
      </c>
      <c r="Q150" s="195"/>
      <c r="R150" s="414">
        <f>All_Detail_v2[[#This Row],[Scheduled Date]]</f>
        <v>46129</v>
      </c>
      <c r="S150" s="414">
        <f>All_Detail_v2[[#This Row],[Install Date]]</f>
        <v>0</v>
      </c>
    </row>
    <row r="151" spans="1:19">
      <c r="A151">
        <v>147</v>
      </c>
      <c r="B151" s="687" t="s">
        <v>362</v>
      </c>
      <c r="C151" s="689" t="s">
        <v>446</v>
      </c>
      <c r="D151" s="689" t="s">
        <v>459</v>
      </c>
      <c r="E151" s="689" t="s">
        <v>370</v>
      </c>
      <c r="F151" s="689">
        <v>1</v>
      </c>
      <c r="G151" s="689">
        <v>1</v>
      </c>
      <c r="H151" s="695">
        <v>46092</v>
      </c>
      <c r="I151" s="695">
        <v>46092</v>
      </c>
      <c r="J151" s="689" t="s">
        <v>368</v>
      </c>
      <c r="K151" t="str">
        <f t="shared" si="8"/>
        <v>Switch</v>
      </c>
      <c r="M151" s="412">
        <f t="shared" si="7"/>
        <v>1</v>
      </c>
      <c r="N151" s="412">
        <f t="shared" si="9"/>
        <v>1</v>
      </c>
      <c r="O151" s="412">
        <f>All_Detail_v2[[#This Row],[Qty. Success]]</f>
        <v>1</v>
      </c>
      <c r="P151" s="230">
        <f>IF(All_Detail_v2[[#This Row],[Qty]]=0,1,(M151+N151+O151)/(All_Detail_v2[[#This Row],[Qty]]*3))</f>
        <v>1</v>
      </c>
      <c r="Q151" s="195"/>
      <c r="R151" s="414">
        <f>All_Detail_v2[[#This Row],[Scheduled Date]]</f>
        <v>46092</v>
      </c>
      <c r="S151" s="414">
        <f>All_Detail_v2[[#This Row],[Install Date]]</f>
        <v>46092</v>
      </c>
    </row>
    <row r="152" spans="1:19">
      <c r="A152">
        <v>148</v>
      </c>
      <c r="B152" s="687" t="s">
        <v>362</v>
      </c>
      <c r="C152" s="689" t="s">
        <v>446</v>
      </c>
      <c r="D152" s="689" t="s">
        <v>459</v>
      </c>
      <c r="E152" s="689" t="s">
        <v>375</v>
      </c>
      <c r="F152" s="689">
        <v>1</v>
      </c>
      <c r="G152" s="689">
        <v>1</v>
      </c>
      <c r="H152" s="695">
        <v>46092</v>
      </c>
      <c r="I152" s="695">
        <v>46092</v>
      </c>
      <c r="J152" s="689" t="s">
        <v>368</v>
      </c>
      <c r="K152" t="str">
        <f t="shared" si="8"/>
        <v>Switch</v>
      </c>
      <c r="M152" s="412">
        <f t="shared" si="7"/>
        <v>1</v>
      </c>
      <c r="N152" s="412">
        <f t="shared" si="9"/>
        <v>1</v>
      </c>
      <c r="O152" s="412">
        <f>All_Detail_v2[[#This Row],[Qty. Success]]</f>
        <v>1</v>
      </c>
      <c r="P152" s="230">
        <f>IF(All_Detail_v2[[#This Row],[Qty]]=0,1,(M152+N152+O152)/(All_Detail_v2[[#This Row],[Qty]]*3))</f>
        <v>1</v>
      </c>
      <c r="Q152" s="195"/>
      <c r="R152" s="414">
        <f>All_Detail_v2[[#This Row],[Scheduled Date]]</f>
        <v>46092</v>
      </c>
      <c r="S152" s="414">
        <f>All_Detail_v2[[#This Row],[Install Date]]</f>
        <v>46092</v>
      </c>
    </row>
    <row r="153" spans="1:19">
      <c r="A153">
        <v>149</v>
      </c>
      <c r="B153" s="687" t="s">
        <v>362</v>
      </c>
      <c r="C153" s="689" t="s">
        <v>446</v>
      </c>
      <c r="D153" s="689" t="s">
        <v>460</v>
      </c>
      <c r="E153" s="689" t="s">
        <v>370</v>
      </c>
      <c r="F153" s="689">
        <v>1</v>
      </c>
      <c r="G153" s="689">
        <v>1</v>
      </c>
      <c r="H153" s="695">
        <v>46092</v>
      </c>
      <c r="I153" s="695">
        <v>46092</v>
      </c>
      <c r="J153" s="689" t="s">
        <v>368</v>
      </c>
      <c r="K153" t="str">
        <f t="shared" si="8"/>
        <v>Switch</v>
      </c>
      <c r="M153" s="412">
        <f t="shared" si="7"/>
        <v>1</v>
      </c>
      <c r="N153" s="412">
        <f t="shared" si="9"/>
        <v>1</v>
      </c>
      <c r="O153" s="412">
        <f>All_Detail_v2[[#This Row],[Qty. Success]]</f>
        <v>1</v>
      </c>
      <c r="P153" s="230">
        <f>IF(All_Detail_v2[[#This Row],[Qty]]=0,1,(M153+N153+O153)/(All_Detail_v2[[#This Row],[Qty]]*3))</f>
        <v>1</v>
      </c>
      <c r="Q153" s="195"/>
      <c r="R153" s="414">
        <f>All_Detail_v2[[#This Row],[Scheduled Date]]</f>
        <v>46092</v>
      </c>
      <c r="S153" s="414">
        <f>All_Detail_v2[[#This Row],[Install Date]]</f>
        <v>46092</v>
      </c>
    </row>
    <row r="154" spans="1:19">
      <c r="A154">
        <v>150</v>
      </c>
      <c r="B154" s="687" t="s">
        <v>362</v>
      </c>
      <c r="C154" s="689" t="s">
        <v>446</v>
      </c>
      <c r="D154" s="689" t="s">
        <v>460</v>
      </c>
      <c r="E154" s="689" t="s">
        <v>375</v>
      </c>
      <c r="F154" s="689">
        <v>1</v>
      </c>
      <c r="G154" s="689">
        <v>1</v>
      </c>
      <c r="H154" s="695">
        <v>46092</v>
      </c>
      <c r="I154" s="695">
        <v>46092</v>
      </c>
      <c r="J154" s="689" t="s">
        <v>368</v>
      </c>
      <c r="K154" t="str">
        <f t="shared" si="8"/>
        <v>Switch</v>
      </c>
      <c r="M154" s="412">
        <f t="shared" si="7"/>
        <v>1</v>
      </c>
      <c r="N154" s="412">
        <f t="shared" si="9"/>
        <v>1</v>
      </c>
      <c r="O154" s="412">
        <f>All_Detail_v2[[#This Row],[Qty. Success]]</f>
        <v>1</v>
      </c>
      <c r="P154" s="230">
        <f>IF(All_Detail_v2[[#This Row],[Qty]]=0,1,(M154+N154+O154)/(All_Detail_v2[[#This Row],[Qty]]*3))</f>
        <v>1</v>
      </c>
      <c r="Q154" s="195"/>
      <c r="R154" s="414">
        <f>All_Detail_v2[[#This Row],[Scheduled Date]]</f>
        <v>46092</v>
      </c>
      <c r="S154" s="414">
        <f>All_Detail_v2[[#This Row],[Install Date]]</f>
        <v>46092</v>
      </c>
    </row>
    <row r="155" spans="1:19">
      <c r="A155">
        <v>151</v>
      </c>
      <c r="B155" s="687" t="s">
        <v>362</v>
      </c>
      <c r="C155" s="689" t="s">
        <v>446</v>
      </c>
      <c r="D155" s="689" t="s">
        <v>461</v>
      </c>
      <c r="E155" s="689" t="s">
        <v>370</v>
      </c>
      <c r="F155" s="689">
        <v>1</v>
      </c>
      <c r="G155" s="689">
        <v>1</v>
      </c>
      <c r="H155" s="695">
        <v>46092</v>
      </c>
      <c r="I155" s="695">
        <v>46092</v>
      </c>
      <c r="J155" s="689" t="s">
        <v>368</v>
      </c>
      <c r="K155" t="str">
        <f t="shared" si="8"/>
        <v>Switch</v>
      </c>
      <c r="M155" s="412">
        <f t="shared" si="7"/>
        <v>1</v>
      </c>
      <c r="N155" s="412">
        <f t="shared" si="9"/>
        <v>1</v>
      </c>
      <c r="O155" s="412">
        <f>All_Detail_v2[[#This Row],[Qty. Success]]</f>
        <v>1</v>
      </c>
      <c r="P155" s="230">
        <f>IF(All_Detail_v2[[#This Row],[Qty]]=0,1,(M155+N155+O155)/(All_Detail_v2[[#This Row],[Qty]]*3))</f>
        <v>1</v>
      </c>
      <c r="Q155" s="195"/>
      <c r="R155" s="414">
        <f>All_Detail_v2[[#This Row],[Scheduled Date]]</f>
        <v>46092</v>
      </c>
      <c r="S155" s="414">
        <f>All_Detail_v2[[#This Row],[Install Date]]</f>
        <v>46092</v>
      </c>
    </row>
    <row r="156" spans="1:19">
      <c r="A156">
        <v>152</v>
      </c>
      <c r="B156" s="687" t="s">
        <v>362</v>
      </c>
      <c r="C156" s="689" t="s">
        <v>446</v>
      </c>
      <c r="D156" s="689" t="s">
        <v>461</v>
      </c>
      <c r="E156" s="689" t="s">
        <v>375</v>
      </c>
      <c r="F156" s="689">
        <v>1</v>
      </c>
      <c r="G156" s="689">
        <v>1</v>
      </c>
      <c r="H156" s="695">
        <v>46092</v>
      </c>
      <c r="I156" s="695">
        <v>46092</v>
      </c>
      <c r="J156" s="689" t="s">
        <v>368</v>
      </c>
      <c r="K156" t="str">
        <f t="shared" si="8"/>
        <v>Switch</v>
      </c>
      <c r="M156" s="412">
        <f t="shared" si="7"/>
        <v>1</v>
      </c>
      <c r="N156" s="412">
        <f t="shared" si="9"/>
        <v>1</v>
      </c>
      <c r="O156" s="412">
        <f>All_Detail_v2[[#This Row],[Qty. Success]]</f>
        <v>1</v>
      </c>
      <c r="P156" s="230">
        <f>IF(All_Detail_v2[[#This Row],[Qty]]=0,1,(M156+N156+O156)/(All_Detail_v2[[#This Row],[Qty]]*3))</f>
        <v>1</v>
      </c>
      <c r="Q156" s="195"/>
      <c r="R156" s="414">
        <f>All_Detail_v2[[#This Row],[Scheduled Date]]</f>
        <v>46092</v>
      </c>
      <c r="S156" s="414">
        <f>All_Detail_v2[[#This Row],[Install Date]]</f>
        <v>46092</v>
      </c>
    </row>
    <row r="157" spans="1:19">
      <c r="A157">
        <v>153</v>
      </c>
      <c r="B157" s="687" t="s">
        <v>362</v>
      </c>
      <c r="C157" s="689" t="s">
        <v>446</v>
      </c>
      <c r="D157" s="689" t="s">
        <v>462</v>
      </c>
      <c r="E157" s="689" t="s">
        <v>370</v>
      </c>
      <c r="F157" s="689">
        <v>1</v>
      </c>
      <c r="G157" s="689">
        <v>1</v>
      </c>
      <c r="H157" s="695">
        <v>46092</v>
      </c>
      <c r="I157" s="695">
        <v>46092</v>
      </c>
      <c r="J157" s="689" t="s">
        <v>368</v>
      </c>
      <c r="K157" t="str">
        <f t="shared" si="8"/>
        <v>Switch</v>
      </c>
      <c r="M157" s="412">
        <f t="shared" si="7"/>
        <v>1</v>
      </c>
      <c r="N157" s="412">
        <f t="shared" si="9"/>
        <v>1</v>
      </c>
      <c r="O157" s="412">
        <f>All_Detail_v2[[#This Row],[Qty. Success]]</f>
        <v>1</v>
      </c>
      <c r="P157" s="230">
        <f>IF(All_Detail_v2[[#This Row],[Qty]]=0,1,(M157+N157+O157)/(All_Detail_v2[[#This Row],[Qty]]*3))</f>
        <v>1</v>
      </c>
      <c r="Q157" s="195"/>
      <c r="R157" s="414">
        <f>All_Detail_v2[[#This Row],[Scheduled Date]]</f>
        <v>46092</v>
      </c>
      <c r="S157" s="414">
        <f>All_Detail_v2[[#This Row],[Install Date]]</f>
        <v>46092</v>
      </c>
    </row>
    <row r="158" spans="1:19">
      <c r="A158">
        <v>154</v>
      </c>
      <c r="B158" s="687" t="s">
        <v>362</v>
      </c>
      <c r="C158" s="689" t="s">
        <v>446</v>
      </c>
      <c r="D158" s="689" t="s">
        <v>462</v>
      </c>
      <c r="E158" s="689" t="s">
        <v>375</v>
      </c>
      <c r="F158" s="689">
        <v>1</v>
      </c>
      <c r="G158" s="689">
        <v>1</v>
      </c>
      <c r="H158" s="695">
        <v>46092</v>
      </c>
      <c r="I158" s="695">
        <v>46092</v>
      </c>
      <c r="J158" s="689" t="s">
        <v>368</v>
      </c>
      <c r="K158" t="str">
        <f t="shared" si="8"/>
        <v>Switch</v>
      </c>
      <c r="M158" s="412">
        <f t="shared" si="7"/>
        <v>1</v>
      </c>
      <c r="N158" s="412">
        <f t="shared" si="9"/>
        <v>1</v>
      </c>
      <c r="O158" s="412">
        <f>All_Detail_v2[[#This Row],[Qty. Success]]</f>
        <v>1</v>
      </c>
      <c r="P158" s="230">
        <f>IF(All_Detail_v2[[#This Row],[Qty]]=0,1,(M158+N158+O158)/(All_Detail_v2[[#This Row],[Qty]]*3))</f>
        <v>1</v>
      </c>
      <c r="Q158" s="195"/>
      <c r="R158" s="414">
        <f>All_Detail_v2[[#This Row],[Scheduled Date]]</f>
        <v>46092</v>
      </c>
      <c r="S158" s="414">
        <f>All_Detail_v2[[#This Row],[Install Date]]</f>
        <v>46092</v>
      </c>
    </row>
    <row r="159" spans="1:19">
      <c r="A159">
        <v>155</v>
      </c>
      <c r="B159" s="687" t="s">
        <v>362</v>
      </c>
      <c r="C159" s="689" t="s">
        <v>446</v>
      </c>
      <c r="D159" s="689" t="s">
        <v>463</v>
      </c>
      <c r="E159" s="689" t="s">
        <v>370</v>
      </c>
      <c r="F159" s="689">
        <v>1</v>
      </c>
      <c r="G159" s="689">
        <v>1</v>
      </c>
      <c r="H159" s="695">
        <v>46092</v>
      </c>
      <c r="I159" s="695">
        <v>46092</v>
      </c>
      <c r="J159" s="689" t="s">
        <v>368</v>
      </c>
      <c r="K159" t="str">
        <f t="shared" si="8"/>
        <v>Switch</v>
      </c>
      <c r="M159" s="412">
        <f t="shared" si="7"/>
        <v>1</v>
      </c>
      <c r="N159" s="412">
        <f t="shared" si="9"/>
        <v>1</v>
      </c>
      <c r="O159" s="412">
        <f>All_Detail_v2[[#This Row],[Qty. Success]]</f>
        <v>1</v>
      </c>
      <c r="P159" s="230">
        <f>IF(All_Detail_v2[[#This Row],[Qty]]=0,1,(M159+N159+O159)/(All_Detail_v2[[#This Row],[Qty]]*3))</f>
        <v>1</v>
      </c>
      <c r="Q159" s="195"/>
      <c r="R159" s="414">
        <f>All_Detail_v2[[#This Row],[Scheduled Date]]</f>
        <v>46092</v>
      </c>
      <c r="S159" s="414">
        <f>All_Detail_v2[[#This Row],[Install Date]]</f>
        <v>46092</v>
      </c>
    </row>
    <row r="160" spans="1:19">
      <c r="A160">
        <v>156</v>
      </c>
      <c r="B160" s="687" t="s">
        <v>362</v>
      </c>
      <c r="C160" s="689" t="s">
        <v>446</v>
      </c>
      <c r="D160" s="689" t="s">
        <v>463</v>
      </c>
      <c r="E160" s="689" t="s">
        <v>375</v>
      </c>
      <c r="F160" s="689">
        <v>1</v>
      </c>
      <c r="G160" s="689">
        <v>1</v>
      </c>
      <c r="H160" s="695">
        <v>46092</v>
      </c>
      <c r="I160" s="695">
        <v>46092</v>
      </c>
      <c r="J160" s="689" t="s">
        <v>368</v>
      </c>
      <c r="K160" t="str">
        <f t="shared" si="8"/>
        <v>Switch</v>
      </c>
      <c r="M160" s="412">
        <f t="shared" si="7"/>
        <v>1</v>
      </c>
      <c r="N160" s="412">
        <f t="shared" si="9"/>
        <v>1</v>
      </c>
      <c r="O160" s="412">
        <f>All_Detail_v2[[#This Row],[Qty. Success]]</f>
        <v>1</v>
      </c>
      <c r="P160" s="230">
        <f>IF(All_Detail_v2[[#This Row],[Qty]]=0,1,(M160+N160+O160)/(All_Detail_v2[[#This Row],[Qty]]*3))</f>
        <v>1</v>
      </c>
      <c r="Q160" s="195"/>
      <c r="R160" s="414">
        <f>All_Detail_v2[[#This Row],[Scheduled Date]]</f>
        <v>46092</v>
      </c>
      <c r="S160" s="414">
        <f>All_Detail_v2[[#This Row],[Install Date]]</f>
        <v>46092</v>
      </c>
    </row>
    <row r="161" spans="1:19">
      <c r="A161">
        <v>157</v>
      </c>
      <c r="B161" s="687" t="s">
        <v>362</v>
      </c>
      <c r="C161" s="689" t="s">
        <v>446</v>
      </c>
      <c r="D161" s="689" t="s">
        <v>464</v>
      </c>
      <c r="E161" s="689" t="s">
        <v>370</v>
      </c>
      <c r="F161" s="689">
        <v>1</v>
      </c>
      <c r="G161" s="689">
        <v>1</v>
      </c>
      <c r="H161" s="695">
        <v>46092</v>
      </c>
      <c r="I161" s="695">
        <v>46092</v>
      </c>
      <c r="J161" s="689" t="s">
        <v>368</v>
      </c>
      <c r="K161" t="str">
        <f t="shared" si="8"/>
        <v>Switch</v>
      </c>
      <c r="M161" s="412">
        <f t="shared" si="7"/>
        <v>1</v>
      </c>
      <c r="N161" s="412">
        <f t="shared" si="9"/>
        <v>1</v>
      </c>
      <c r="O161" s="412">
        <f>All_Detail_v2[[#This Row],[Qty. Success]]</f>
        <v>1</v>
      </c>
      <c r="P161" s="230">
        <f>IF(All_Detail_v2[[#This Row],[Qty]]=0,1,(M161+N161+O161)/(All_Detail_v2[[#This Row],[Qty]]*3))</f>
        <v>1</v>
      </c>
      <c r="Q161" s="195"/>
      <c r="R161" s="414">
        <f>All_Detail_v2[[#This Row],[Scheduled Date]]</f>
        <v>46092</v>
      </c>
      <c r="S161" s="414">
        <f>All_Detail_v2[[#This Row],[Install Date]]</f>
        <v>46092</v>
      </c>
    </row>
    <row r="162" spans="1:19">
      <c r="A162">
        <v>158</v>
      </c>
      <c r="B162" s="687" t="s">
        <v>362</v>
      </c>
      <c r="C162" s="689" t="s">
        <v>446</v>
      </c>
      <c r="D162" s="689" t="s">
        <v>464</v>
      </c>
      <c r="E162" s="689" t="s">
        <v>375</v>
      </c>
      <c r="F162" s="689">
        <v>1</v>
      </c>
      <c r="G162" s="689">
        <v>1</v>
      </c>
      <c r="H162" s="695">
        <v>46092</v>
      </c>
      <c r="I162" s="695">
        <v>46092</v>
      </c>
      <c r="J162" s="689" t="s">
        <v>368</v>
      </c>
      <c r="K162" t="str">
        <f t="shared" si="8"/>
        <v>Switch</v>
      </c>
      <c r="M162" s="412">
        <f t="shared" si="7"/>
        <v>1</v>
      </c>
      <c r="N162" s="412">
        <f t="shared" si="9"/>
        <v>1</v>
      </c>
      <c r="O162" s="412">
        <f>All_Detail_v2[[#This Row],[Qty. Success]]</f>
        <v>1</v>
      </c>
      <c r="P162" s="230">
        <f>IF(All_Detail_v2[[#This Row],[Qty]]=0,1,(M162+N162+O162)/(All_Detail_v2[[#This Row],[Qty]]*3))</f>
        <v>1</v>
      </c>
      <c r="Q162" s="195"/>
      <c r="R162" s="414">
        <f>All_Detail_v2[[#This Row],[Scheduled Date]]</f>
        <v>46092</v>
      </c>
      <c r="S162" s="414">
        <f>All_Detail_v2[[#This Row],[Install Date]]</f>
        <v>46092</v>
      </c>
    </row>
    <row r="163" spans="1:19">
      <c r="A163">
        <v>159</v>
      </c>
      <c r="B163" s="687" t="s">
        <v>362</v>
      </c>
      <c r="C163" s="689" t="s">
        <v>446</v>
      </c>
      <c r="D163" s="689" t="s">
        <v>465</v>
      </c>
      <c r="E163" s="689" t="s">
        <v>370</v>
      </c>
      <c r="F163" s="689">
        <v>1</v>
      </c>
      <c r="G163" s="689"/>
      <c r="H163" s="695"/>
      <c r="I163" s="695">
        <v>46129</v>
      </c>
      <c r="J163" s="689" t="s">
        <v>365</v>
      </c>
      <c r="K163" t="str">
        <f t="shared" si="8"/>
        <v>Switch</v>
      </c>
      <c r="M163" s="412">
        <f t="shared" si="7"/>
        <v>0</v>
      </c>
      <c r="N163" s="412">
        <f t="shared" si="9"/>
        <v>0</v>
      </c>
      <c r="O163" s="412">
        <f>All_Detail_v2[[#This Row],[Qty. Success]]</f>
        <v>0</v>
      </c>
      <c r="P163" s="230">
        <f>IF(All_Detail_v2[[#This Row],[Qty]]=0,1,(M163+N163+O163)/(All_Detail_v2[[#This Row],[Qty]]*3))</f>
        <v>0</v>
      </c>
      <c r="Q163" s="195"/>
      <c r="R163" s="414">
        <f>All_Detail_v2[[#This Row],[Scheduled Date]]</f>
        <v>46129</v>
      </c>
      <c r="S163" s="414">
        <f>All_Detail_v2[[#This Row],[Install Date]]</f>
        <v>0</v>
      </c>
    </row>
    <row r="164" spans="1:19">
      <c r="A164">
        <v>160</v>
      </c>
      <c r="B164" s="687" t="s">
        <v>362</v>
      </c>
      <c r="C164" s="689" t="s">
        <v>446</v>
      </c>
      <c r="D164" s="689" t="s">
        <v>466</v>
      </c>
      <c r="E164" s="689" t="s">
        <v>370</v>
      </c>
      <c r="F164" s="689">
        <v>1</v>
      </c>
      <c r="G164" s="689">
        <v>1</v>
      </c>
      <c r="H164" s="695">
        <v>46097</v>
      </c>
      <c r="I164" s="695">
        <v>46097</v>
      </c>
      <c r="J164" s="689" t="s">
        <v>368</v>
      </c>
      <c r="K164" t="str">
        <f t="shared" si="8"/>
        <v>Switch</v>
      </c>
      <c r="M164" s="412">
        <f t="shared" si="7"/>
        <v>1</v>
      </c>
      <c r="N164" s="412">
        <f t="shared" si="9"/>
        <v>1</v>
      </c>
      <c r="O164" s="412">
        <f>All_Detail_v2[[#This Row],[Qty. Success]]</f>
        <v>1</v>
      </c>
      <c r="P164" s="230">
        <f>IF(All_Detail_v2[[#This Row],[Qty]]=0,1,(M164+N164+O164)/(All_Detail_v2[[#This Row],[Qty]]*3))</f>
        <v>1</v>
      </c>
      <c r="Q164" s="195"/>
      <c r="R164" s="414">
        <f>All_Detail_v2[[#This Row],[Scheduled Date]]</f>
        <v>46097</v>
      </c>
      <c r="S164" s="414">
        <f>All_Detail_v2[[#This Row],[Install Date]]</f>
        <v>46097</v>
      </c>
    </row>
    <row r="165" spans="1:19">
      <c r="A165">
        <v>161</v>
      </c>
      <c r="B165" s="687" t="s">
        <v>362</v>
      </c>
      <c r="C165" s="689" t="s">
        <v>446</v>
      </c>
      <c r="D165" s="689" t="s">
        <v>466</v>
      </c>
      <c r="E165" s="689" t="s">
        <v>375</v>
      </c>
      <c r="F165" s="689">
        <v>1</v>
      </c>
      <c r="G165" s="689">
        <v>1</v>
      </c>
      <c r="H165" s="695">
        <v>46097</v>
      </c>
      <c r="I165" s="695">
        <v>46097</v>
      </c>
      <c r="J165" s="689" t="s">
        <v>368</v>
      </c>
      <c r="K165" t="str">
        <f t="shared" si="8"/>
        <v>Switch</v>
      </c>
      <c r="M165" s="412">
        <f t="shared" si="7"/>
        <v>1</v>
      </c>
      <c r="N165" s="412">
        <f t="shared" si="9"/>
        <v>1</v>
      </c>
      <c r="O165" s="412">
        <f>All_Detail_v2[[#This Row],[Qty. Success]]</f>
        <v>1</v>
      </c>
      <c r="P165" s="230">
        <f>IF(All_Detail_v2[[#This Row],[Qty]]=0,1,(M165+N165+O165)/(All_Detail_v2[[#This Row],[Qty]]*3))</f>
        <v>1</v>
      </c>
      <c r="Q165" s="195"/>
      <c r="R165" s="414">
        <f>All_Detail_v2[[#This Row],[Scheduled Date]]</f>
        <v>46097</v>
      </c>
      <c r="S165" s="414">
        <f>All_Detail_v2[[#This Row],[Install Date]]</f>
        <v>46097</v>
      </c>
    </row>
    <row r="166" spans="1:19">
      <c r="A166">
        <v>162</v>
      </c>
      <c r="B166" s="687" t="s">
        <v>362</v>
      </c>
      <c r="C166" s="689" t="s">
        <v>446</v>
      </c>
      <c r="D166" s="689" t="s">
        <v>467</v>
      </c>
      <c r="E166" s="689" t="s">
        <v>370</v>
      </c>
      <c r="F166" s="689">
        <v>2</v>
      </c>
      <c r="G166" s="689">
        <v>2</v>
      </c>
      <c r="H166" s="695">
        <v>46097</v>
      </c>
      <c r="I166" s="695">
        <v>46097</v>
      </c>
      <c r="J166" s="689" t="s">
        <v>368</v>
      </c>
      <c r="K166" t="str">
        <f t="shared" si="8"/>
        <v>Switch</v>
      </c>
      <c r="M166" s="412">
        <f t="shared" si="7"/>
        <v>2</v>
      </c>
      <c r="N166" s="412">
        <f t="shared" si="9"/>
        <v>2</v>
      </c>
      <c r="O166" s="412">
        <f>All_Detail_v2[[#This Row],[Qty. Success]]</f>
        <v>2</v>
      </c>
      <c r="P166" s="230">
        <f>IF(All_Detail_v2[[#This Row],[Qty]]=0,1,(M166+N166+O166)/(All_Detail_v2[[#This Row],[Qty]]*3))</f>
        <v>1</v>
      </c>
      <c r="Q166" s="195"/>
      <c r="R166" s="414">
        <f>All_Detail_v2[[#This Row],[Scheduled Date]]</f>
        <v>46097</v>
      </c>
      <c r="S166" s="414">
        <f>All_Detail_v2[[#This Row],[Install Date]]</f>
        <v>46097</v>
      </c>
    </row>
    <row r="167" spans="1:19">
      <c r="A167">
        <v>163</v>
      </c>
      <c r="B167" s="687" t="s">
        <v>362</v>
      </c>
      <c r="C167" s="689" t="s">
        <v>446</v>
      </c>
      <c r="D167" s="689" t="s">
        <v>467</v>
      </c>
      <c r="E167" s="689" t="s">
        <v>375</v>
      </c>
      <c r="F167" s="689">
        <v>2</v>
      </c>
      <c r="G167" s="689">
        <v>2</v>
      </c>
      <c r="H167" s="695">
        <v>46097</v>
      </c>
      <c r="I167" s="695">
        <v>46097</v>
      </c>
      <c r="J167" s="689" t="s">
        <v>368</v>
      </c>
      <c r="K167" t="str">
        <f t="shared" si="8"/>
        <v>Switch</v>
      </c>
      <c r="M167" s="412">
        <f t="shared" si="7"/>
        <v>2</v>
      </c>
      <c r="N167" s="412">
        <f t="shared" si="9"/>
        <v>2</v>
      </c>
      <c r="O167" s="412">
        <f>All_Detail_v2[[#This Row],[Qty. Success]]</f>
        <v>2</v>
      </c>
      <c r="P167" s="230">
        <f>IF(All_Detail_v2[[#This Row],[Qty]]=0,1,(M167+N167+O167)/(All_Detail_v2[[#This Row],[Qty]]*3))</f>
        <v>1</v>
      </c>
      <c r="Q167" s="195"/>
      <c r="R167" s="414">
        <f>All_Detail_v2[[#This Row],[Scheduled Date]]</f>
        <v>46097</v>
      </c>
      <c r="S167" s="414">
        <f>All_Detail_v2[[#This Row],[Install Date]]</f>
        <v>46097</v>
      </c>
    </row>
    <row r="168" spans="1:19">
      <c r="A168">
        <v>164</v>
      </c>
      <c r="B168" s="687" t="s">
        <v>362</v>
      </c>
      <c r="C168" s="689" t="s">
        <v>446</v>
      </c>
      <c r="D168" s="689" t="s">
        <v>468</v>
      </c>
      <c r="E168" s="689" t="s">
        <v>370</v>
      </c>
      <c r="F168" s="689">
        <v>1</v>
      </c>
      <c r="G168" s="689">
        <v>1</v>
      </c>
      <c r="H168" s="695">
        <v>46100</v>
      </c>
      <c r="I168" s="695">
        <v>46100</v>
      </c>
      <c r="J168" s="689" t="s">
        <v>368</v>
      </c>
      <c r="K168" t="str">
        <f t="shared" si="8"/>
        <v>Switch</v>
      </c>
      <c r="M168" s="412">
        <f t="shared" si="7"/>
        <v>1</v>
      </c>
      <c r="N168" s="412">
        <f t="shared" si="9"/>
        <v>1</v>
      </c>
      <c r="O168" s="412">
        <f>All_Detail_v2[[#This Row],[Qty. Success]]</f>
        <v>1</v>
      </c>
      <c r="P168" s="230">
        <f>IF(All_Detail_v2[[#This Row],[Qty]]=0,1,(M168+N168+O168)/(All_Detail_v2[[#This Row],[Qty]]*3))</f>
        <v>1</v>
      </c>
      <c r="Q168" s="195"/>
      <c r="R168" s="414">
        <f>All_Detail_v2[[#This Row],[Scheduled Date]]</f>
        <v>46100</v>
      </c>
      <c r="S168" s="414">
        <f>All_Detail_v2[[#This Row],[Install Date]]</f>
        <v>46100</v>
      </c>
    </row>
    <row r="169" spans="1:19">
      <c r="A169">
        <v>165</v>
      </c>
      <c r="B169" s="687" t="s">
        <v>362</v>
      </c>
      <c r="C169" s="689" t="s">
        <v>446</v>
      </c>
      <c r="D169" s="689" t="s">
        <v>468</v>
      </c>
      <c r="E169" s="689" t="s">
        <v>375</v>
      </c>
      <c r="F169" s="689">
        <v>1</v>
      </c>
      <c r="G169" s="689">
        <v>1</v>
      </c>
      <c r="H169" s="695">
        <v>46100</v>
      </c>
      <c r="I169" s="695">
        <v>46100</v>
      </c>
      <c r="J169" s="689" t="s">
        <v>368</v>
      </c>
      <c r="K169" t="str">
        <f t="shared" si="8"/>
        <v>Switch</v>
      </c>
      <c r="M169" s="412">
        <f t="shared" si="7"/>
        <v>1</v>
      </c>
      <c r="N169" s="412">
        <f t="shared" si="9"/>
        <v>1</v>
      </c>
      <c r="O169" s="412">
        <f>All_Detail_v2[[#This Row],[Qty. Success]]</f>
        <v>1</v>
      </c>
      <c r="P169" s="230">
        <f>IF(All_Detail_v2[[#This Row],[Qty]]=0,1,(M169+N169+O169)/(All_Detail_v2[[#This Row],[Qty]]*3))</f>
        <v>1</v>
      </c>
      <c r="Q169" s="195"/>
      <c r="R169" s="414">
        <f>All_Detail_v2[[#This Row],[Scheduled Date]]</f>
        <v>46100</v>
      </c>
      <c r="S169" s="414">
        <f>All_Detail_v2[[#This Row],[Install Date]]</f>
        <v>46100</v>
      </c>
    </row>
    <row r="170" spans="1:19">
      <c r="A170">
        <v>166</v>
      </c>
      <c r="B170" s="687" t="s">
        <v>362</v>
      </c>
      <c r="C170" s="689" t="s">
        <v>446</v>
      </c>
      <c r="D170" s="689" t="s">
        <v>468</v>
      </c>
      <c r="E170" s="689" t="s">
        <v>412</v>
      </c>
      <c r="F170" s="689">
        <v>1</v>
      </c>
      <c r="G170" s="689">
        <v>1</v>
      </c>
      <c r="H170" s="695">
        <v>46094</v>
      </c>
      <c r="I170" s="695">
        <v>46094</v>
      </c>
      <c r="J170" s="689" t="s">
        <v>368</v>
      </c>
      <c r="K170" t="str">
        <f t="shared" si="8"/>
        <v>Switch</v>
      </c>
      <c r="M170" s="412">
        <f t="shared" si="7"/>
        <v>1</v>
      </c>
      <c r="N170" s="412">
        <f t="shared" si="9"/>
        <v>1</v>
      </c>
      <c r="O170" s="412">
        <f>All_Detail_v2[[#This Row],[Qty. Success]]</f>
        <v>1</v>
      </c>
      <c r="P170" s="230">
        <f>IF(All_Detail_v2[[#This Row],[Qty]]=0,1,(M170+N170+O170)/(All_Detail_v2[[#This Row],[Qty]]*3))</f>
        <v>1</v>
      </c>
      <c r="Q170" s="195"/>
      <c r="R170" s="414">
        <f>All_Detail_v2[[#This Row],[Scheduled Date]]</f>
        <v>46094</v>
      </c>
      <c r="S170" s="414">
        <f>All_Detail_v2[[#This Row],[Install Date]]</f>
        <v>46094</v>
      </c>
    </row>
    <row r="171" spans="1:19">
      <c r="A171">
        <v>167</v>
      </c>
      <c r="B171" s="687" t="s">
        <v>362</v>
      </c>
      <c r="C171" s="689" t="s">
        <v>446</v>
      </c>
      <c r="D171" s="689" t="s">
        <v>469</v>
      </c>
      <c r="E171" s="689" t="s">
        <v>370</v>
      </c>
      <c r="F171" s="689">
        <v>1</v>
      </c>
      <c r="G171" s="689">
        <v>1</v>
      </c>
      <c r="H171" s="695">
        <v>46097</v>
      </c>
      <c r="I171" s="695">
        <v>46097</v>
      </c>
      <c r="J171" s="689" t="s">
        <v>368</v>
      </c>
      <c r="K171" t="str">
        <f t="shared" si="8"/>
        <v>Switch</v>
      </c>
      <c r="M171" s="412">
        <f t="shared" si="7"/>
        <v>1</v>
      </c>
      <c r="N171" s="412">
        <f t="shared" si="9"/>
        <v>1</v>
      </c>
      <c r="O171" s="412">
        <f>All_Detail_v2[[#This Row],[Qty. Success]]</f>
        <v>1</v>
      </c>
      <c r="P171" s="230">
        <f>IF(All_Detail_v2[[#This Row],[Qty]]=0,1,(M171+N171+O171)/(All_Detail_v2[[#This Row],[Qty]]*3))</f>
        <v>1</v>
      </c>
      <c r="Q171" s="195"/>
      <c r="R171" s="414">
        <f>All_Detail_v2[[#This Row],[Scheduled Date]]</f>
        <v>46097</v>
      </c>
      <c r="S171" s="414">
        <f>All_Detail_v2[[#This Row],[Install Date]]</f>
        <v>46097</v>
      </c>
    </row>
    <row r="172" spans="1:19">
      <c r="A172">
        <v>168</v>
      </c>
      <c r="B172" s="687" t="s">
        <v>362</v>
      </c>
      <c r="C172" s="689" t="s">
        <v>446</v>
      </c>
      <c r="D172" s="689" t="s">
        <v>469</v>
      </c>
      <c r="E172" s="689" t="s">
        <v>412</v>
      </c>
      <c r="F172" s="689">
        <v>1</v>
      </c>
      <c r="G172" s="689">
        <v>1</v>
      </c>
      <c r="H172" s="695">
        <v>46094</v>
      </c>
      <c r="I172" s="695">
        <v>46094</v>
      </c>
      <c r="J172" s="689" t="s">
        <v>368</v>
      </c>
      <c r="K172" t="str">
        <f t="shared" si="8"/>
        <v>Switch</v>
      </c>
      <c r="M172" s="412">
        <f t="shared" si="7"/>
        <v>1</v>
      </c>
      <c r="N172" s="412">
        <f t="shared" si="9"/>
        <v>1</v>
      </c>
      <c r="O172" s="412">
        <f>All_Detail_v2[[#This Row],[Qty. Success]]</f>
        <v>1</v>
      </c>
      <c r="P172" s="230">
        <f>IF(All_Detail_v2[[#This Row],[Qty]]=0,1,(M172+N172+O172)/(All_Detail_v2[[#This Row],[Qty]]*3))</f>
        <v>1</v>
      </c>
      <c r="Q172" s="195"/>
      <c r="R172" s="414">
        <f>All_Detail_v2[[#This Row],[Scheduled Date]]</f>
        <v>46094</v>
      </c>
      <c r="S172" s="414">
        <f>All_Detail_v2[[#This Row],[Install Date]]</f>
        <v>46094</v>
      </c>
    </row>
    <row r="173" spans="1:19">
      <c r="A173">
        <v>169</v>
      </c>
      <c r="B173" s="687" t="s">
        <v>362</v>
      </c>
      <c r="C173" s="689" t="s">
        <v>446</v>
      </c>
      <c r="D173" s="689" t="s">
        <v>470</v>
      </c>
      <c r="E173" s="689" t="s">
        <v>370</v>
      </c>
      <c r="F173" s="689">
        <v>1</v>
      </c>
      <c r="G173" s="689">
        <v>1</v>
      </c>
      <c r="H173" s="695">
        <v>46097</v>
      </c>
      <c r="I173" s="695">
        <v>46097</v>
      </c>
      <c r="J173" s="689" t="s">
        <v>368</v>
      </c>
      <c r="K173" t="str">
        <f t="shared" si="8"/>
        <v>Switch</v>
      </c>
      <c r="M173" s="412">
        <f t="shared" si="7"/>
        <v>1</v>
      </c>
      <c r="N173" s="412">
        <f t="shared" si="9"/>
        <v>1</v>
      </c>
      <c r="O173" s="412">
        <f>All_Detail_v2[[#This Row],[Qty. Success]]</f>
        <v>1</v>
      </c>
      <c r="P173" s="230">
        <f>IF(All_Detail_v2[[#This Row],[Qty]]=0,1,(M173+N173+O173)/(All_Detail_v2[[#This Row],[Qty]]*3))</f>
        <v>1</v>
      </c>
      <c r="Q173" s="195"/>
      <c r="R173" s="414">
        <f>All_Detail_v2[[#This Row],[Scheduled Date]]</f>
        <v>46097</v>
      </c>
      <c r="S173" s="414">
        <f>All_Detail_v2[[#This Row],[Install Date]]</f>
        <v>46097</v>
      </c>
    </row>
    <row r="174" spans="1:19">
      <c r="A174">
        <v>170</v>
      </c>
      <c r="B174" s="687" t="s">
        <v>362</v>
      </c>
      <c r="C174" s="689" t="s">
        <v>446</v>
      </c>
      <c r="D174" s="689" t="s">
        <v>470</v>
      </c>
      <c r="E174" s="689" t="s">
        <v>412</v>
      </c>
      <c r="F174" s="689">
        <v>1</v>
      </c>
      <c r="G174" s="689">
        <v>1</v>
      </c>
      <c r="H174" s="695">
        <v>46094</v>
      </c>
      <c r="I174" s="695">
        <v>46094</v>
      </c>
      <c r="J174" s="689" t="s">
        <v>368</v>
      </c>
      <c r="K174" t="str">
        <f t="shared" si="8"/>
        <v>Switch</v>
      </c>
      <c r="M174" s="412">
        <f t="shared" si="7"/>
        <v>1</v>
      </c>
      <c r="N174" s="412">
        <f t="shared" si="9"/>
        <v>1</v>
      </c>
      <c r="O174" s="412">
        <f>All_Detail_v2[[#This Row],[Qty. Success]]</f>
        <v>1</v>
      </c>
      <c r="P174" s="230">
        <f>IF(All_Detail_v2[[#This Row],[Qty]]=0,1,(M174+N174+O174)/(All_Detail_v2[[#This Row],[Qty]]*3))</f>
        <v>1</v>
      </c>
      <c r="Q174" s="195"/>
      <c r="R174" s="414">
        <f>All_Detail_v2[[#This Row],[Scheduled Date]]</f>
        <v>46094</v>
      </c>
      <c r="S174" s="414">
        <f>All_Detail_v2[[#This Row],[Install Date]]</f>
        <v>46094</v>
      </c>
    </row>
    <row r="175" spans="1:19">
      <c r="A175">
        <v>171</v>
      </c>
      <c r="B175" s="687" t="s">
        <v>362</v>
      </c>
      <c r="C175" s="689" t="s">
        <v>446</v>
      </c>
      <c r="D175" s="689" t="s">
        <v>471</v>
      </c>
      <c r="E175" s="689" t="s">
        <v>370</v>
      </c>
      <c r="F175" s="689">
        <v>2</v>
      </c>
      <c r="G175" s="689"/>
      <c r="H175" s="695"/>
      <c r="I175" s="695">
        <v>46129</v>
      </c>
      <c r="J175" s="689" t="s">
        <v>365</v>
      </c>
      <c r="K175" t="str">
        <f t="shared" si="8"/>
        <v>Switch</v>
      </c>
      <c r="M175" s="412">
        <f t="shared" si="7"/>
        <v>0</v>
      </c>
      <c r="N175" s="412">
        <f t="shared" si="9"/>
        <v>0</v>
      </c>
      <c r="O175" s="412">
        <f>All_Detail_v2[[#This Row],[Qty. Success]]</f>
        <v>0</v>
      </c>
      <c r="P175" s="230">
        <f>IF(All_Detail_v2[[#This Row],[Qty]]=0,1,(M175+N175+O175)/(All_Detail_v2[[#This Row],[Qty]]*3))</f>
        <v>0</v>
      </c>
      <c r="Q175" s="195"/>
      <c r="R175" s="414">
        <f>All_Detail_v2[[#This Row],[Scheduled Date]]</f>
        <v>46129</v>
      </c>
      <c r="S175" s="414">
        <f>All_Detail_v2[[#This Row],[Install Date]]</f>
        <v>0</v>
      </c>
    </row>
    <row r="176" spans="1:19">
      <c r="A176">
        <v>172</v>
      </c>
      <c r="B176" s="687" t="s">
        <v>362</v>
      </c>
      <c r="C176" s="689" t="s">
        <v>446</v>
      </c>
      <c r="D176" s="689" t="s">
        <v>471</v>
      </c>
      <c r="E176" s="689" t="s">
        <v>375</v>
      </c>
      <c r="F176" s="689">
        <v>1</v>
      </c>
      <c r="G176" s="689"/>
      <c r="H176" s="695"/>
      <c r="I176" s="695">
        <v>46129</v>
      </c>
      <c r="J176" s="689" t="s">
        <v>365</v>
      </c>
      <c r="K176" t="str">
        <f t="shared" si="8"/>
        <v>Switch</v>
      </c>
      <c r="M176" s="412">
        <f t="shared" si="7"/>
        <v>0</v>
      </c>
      <c r="N176" s="412">
        <f t="shared" si="9"/>
        <v>0</v>
      </c>
      <c r="O176" s="412">
        <f>All_Detail_v2[[#This Row],[Qty. Success]]</f>
        <v>0</v>
      </c>
      <c r="P176" s="230">
        <f>IF(All_Detail_v2[[#This Row],[Qty]]=0,1,(M176+N176+O176)/(All_Detail_v2[[#This Row],[Qty]]*3))</f>
        <v>0</v>
      </c>
      <c r="Q176" s="195"/>
      <c r="R176" s="414">
        <f>All_Detail_v2[[#This Row],[Scheduled Date]]</f>
        <v>46129</v>
      </c>
      <c r="S176" s="414">
        <f>All_Detail_v2[[#This Row],[Install Date]]</f>
        <v>0</v>
      </c>
    </row>
    <row r="177" spans="1:19">
      <c r="A177">
        <v>173</v>
      </c>
      <c r="B177" s="687" t="s">
        <v>362</v>
      </c>
      <c r="C177" s="689" t="s">
        <v>446</v>
      </c>
      <c r="D177" s="689" t="s">
        <v>472</v>
      </c>
      <c r="E177" s="689" t="s">
        <v>370</v>
      </c>
      <c r="F177" s="689">
        <v>1</v>
      </c>
      <c r="G177" s="689"/>
      <c r="H177" s="695"/>
      <c r="I177" s="695">
        <v>46129</v>
      </c>
      <c r="J177" s="689" t="s">
        <v>365</v>
      </c>
      <c r="K177" t="str">
        <f t="shared" si="8"/>
        <v>Switch</v>
      </c>
      <c r="M177" s="412">
        <f t="shared" si="7"/>
        <v>0</v>
      </c>
      <c r="N177" s="412">
        <f t="shared" si="9"/>
        <v>0</v>
      </c>
      <c r="O177" s="412">
        <f>All_Detail_v2[[#This Row],[Qty. Success]]</f>
        <v>0</v>
      </c>
      <c r="P177" s="230">
        <f>IF(All_Detail_v2[[#This Row],[Qty]]=0,1,(M177+N177+O177)/(All_Detail_v2[[#This Row],[Qty]]*3))</f>
        <v>0</v>
      </c>
      <c r="Q177" s="195"/>
      <c r="R177" s="414">
        <f>All_Detail_v2[[#This Row],[Scheduled Date]]</f>
        <v>46129</v>
      </c>
      <c r="S177" s="414">
        <f>All_Detail_v2[[#This Row],[Install Date]]</f>
        <v>0</v>
      </c>
    </row>
    <row r="178" spans="1:19">
      <c r="A178">
        <v>174</v>
      </c>
      <c r="B178" s="687" t="s">
        <v>362</v>
      </c>
      <c r="C178" s="689" t="s">
        <v>446</v>
      </c>
      <c r="D178" s="689" t="s">
        <v>472</v>
      </c>
      <c r="E178" s="689" t="s">
        <v>375</v>
      </c>
      <c r="F178" s="689">
        <v>1</v>
      </c>
      <c r="G178" s="689"/>
      <c r="H178" s="695"/>
      <c r="I178" s="695">
        <v>46129</v>
      </c>
      <c r="J178" s="689" t="s">
        <v>365</v>
      </c>
      <c r="K178" t="str">
        <f t="shared" si="8"/>
        <v>Switch</v>
      </c>
      <c r="M178" s="412">
        <f t="shared" si="7"/>
        <v>0</v>
      </c>
      <c r="N178" s="412">
        <f t="shared" si="9"/>
        <v>0</v>
      </c>
      <c r="O178" s="412">
        <f>All_Detail_v2[[#This Row],[Qty. Success]]</f>
        <v>0</v>
      </c>
      <c r="P178" s="230">
        <f>IF(All_Detail_v2[[#This Row],[Qty]]=0,1,(M178+N178+O178)/(All_Detail_v2[[#This Row],[Qty]]*3))</f>
        <v>0</v>
      </c>
      <c r="Q178" s="195"/>
      <c r="R178" s="414">
        <f>All_Detail_v2[[#This Row],[Scheduled Date]]</f>
        <v>46129</v>
      </c>
      <c r="S178" s="414">
        <f>All_Detail_v2[[#This Row],[Install Date]]</f>
        <v>0</v>
      </c>
    </row>
    <row r="179" spans="1:19">
      <c r="A179">
        <v>175</v>
      </c>
      <c r="B179" s="687" t="s">
        <v>362</v>
      </c>
      <c r="C179" s="689" t="s">
        <v>446</v>
      </c>
      <c r="D179" s="689" t="s">
        <v>473</v>
      </c>
      <c r="E179" s="689" t="s">
        <v>370</v>
      </c>
      <c r="F179" s="689">
        <v>1</v>
      </c>
      <c r="G179" s="689"/>
      <c r="H179" s="695"/>
      <c r="I179" s="695">
        <v>46129</v>
      </c>
      <c r="J179" s="689" t="s">
        <v>365</v>
      </c>
      <c r="K179" t="str">
        <f t="shared" si="8"/>
        <v>Switch</v>
      </c>
      <c r="M179" s="412">
        <f t="shared" si="7"/>
        <v>0</v>
      </c>
      <c r="N179" s="412">
        <f t="shared" si="9"/>
        <v>0</v>
      </c>
      <c r="O179" s="412">
        <f>All_Detail_v2[[#This Row],[Qty. Success]]</f>
        <v>0</v>
      </c>
      <c r="P179" s="230">
        <f>IF(All_Detail_v2[[#This Row],[Qty]]=0,1,(M179+N179+O179)/(All_Detail_v2[[#This Row],[Qty]]*3))</f>
        <v>0</v>
      </c>
      <c r="Q179" s="195"/>
      <c r="R179" s="414">
        <f>All_Detail_v2[[#This Row],[Scheduled Date]]</f>
        <v>46129</v>
      </c>
      <c r="S179" s="414">
        <f>All_Detail_v2[[#This Row],[Install Date]]</f>
        <v>0</v>
      </c>
    </row>
    <row r="180" spans="1:19">
      <c r="A180">
        <v>176</v>
      </c>
      <c r="B180" s="687" t="s">
        <v>362</v>
      </c>
      <c r="C180" s="689" t="s">
        <v>446</v>
      </c>
      <c r="D180" s="689" t="s">
        <v>473</v>
      </c>
      <c r="E180" s="689" t="s">
        <v>375</v>
      </c>
      <c r="F180" s="689">
        <v>1</v>
      </c>
      <c r="G180" s="689"/>
      <c r="H180" s="695"/>
      <c r="I180" s="695">
        <v>46129</v>
      </c>
      <c r="J180" s="689" t="s">
        <v>365</v>
      </c>
      <c r="K180" t="str">
        <f t="shared" si="8"/>
        <v>Switch</v>
      </c>
      <c r="M180" s="412">
        <f t="shared" si="7"/>
        <v>0</v>
      </c>
      <c r="N180" s="412">
        <f t="shared" si="9"/>
        <v>0</v>
      </c>
      <c r="O180" s="412">
        <f>All_Detail_v2[[#This Row],[Qty. Success]]</f>
        <v>0</v>
      </c>
      <c r="P180" s="230">
        <f>IF(All_Detail_v2[[#This Row],[Qty]]=0,1,(M180+N180+O180)/(All_Detail_v2[[#This Row],[Qty]]*3))</f>
        <v>0</v>
      </c>
      <c r="Q180" s="195"/>
      <c r="R180" s="414">
        <f>All_Detail_v2[[#This Row],[Scheduled Date]]</f>
        <v>46129</v>
      </c>
      <c r="S180" s="414">
        <f>All_Detail_v2[[#This Row],[Install Date]]</f>
        <v>0</v>
      </c>
    </row>
    <row r="181" spans="1:19">
      <c r="A181">
        <v>177</v>
      </c>
      <c r="B181" s="687" t="s">
        <v>362</v>
      </c>
      <c r="C181" s="689" t="s">
        <v>446</v>
      </c>
      <c r="D181" s="689" t="s">
        <v>473</v>
      </c>
      <c r="E181" s="689" t="s">
        <v>412</v>
      </c>
      <c r="F181" s="689">
        <v>1</v>
      </c>
      <c r="G181" s="689">
        <v>1</v>
      </c>
      <c r="H181" s="695">
        <v>46094</v>
      </c>
      <c r="I181" s="695">
        <v>46094</v>
      </c>
      <c r="J181" s="689" t="s">
        <v>368</v>
      </c>
      <c r="K181" t="str">
        <f t="shared" si="8"/>
        <v>Switch</v>
      </c>
      <c r="M181" s="412">
        <f t="shared" si="7"/>
        <v>1</v>
      </c>
      <c r="N181" s="412">
        <f t="shared" si="9"/>
        <v>1</v>
      </c>
      <c r="O181" s="412">
        <f>All_Detail_v2[[#This Row],[Qty. Success]]</f>
        <v>1</v>
      </c>
      <c r="P181" s="230">
        <f>IF(All_Detail_v2[[#This Row],[Qty]]=0,1,(M181+N181+O181)/(All_Detail_v2[[#This Row],[Qty]]*3))</f>
        <v>1</v>
      </c>
      <c r="Q181" s="195"/>
      <c r="R181" s="414">
        <f>All_Detail_v2[[#This Row],[Scheduled Date]]</f>
        <v>46094</v>
      </c>
      <c r="S181" s="414">
        <f>All_Detail_v2[[#This Row],[Install Date]]</f>
        <v>46094</v>
      </c>
    </row>
    <row r="182" spans="1:19">
      <c r="A182">
        <v>178</v>
      </c>
      <c r="B182" s="687" t="s">
        <v>362</v>
      </c>
      <c r="C182" s="689" t="s">
        <v>446</v>
      </c>
      <c r="D182" s="689" t="s">
        <v>474</v>
      </c>
      <c r="E182" s="689" t="s">
        <v>370</v>
      </c>
      <c r="F182" s="689">
        <v>1</v>
      </c>
      <c r="G182" s="689"/>
      <c r="H182" s="695"/>
      <c r="I182" s="695">
        <v>46129</v>
      </c>
      <c r="J182" s="689" t="s">
        <v>365</v>
      </c>
      <c r="K182" t="str">
        <f t="shared" si="8"/>
        <v>Switch</v>
      </c>
      <c r="M182" s="412">
        <f t="shared" si="7"/>
        <v>0</v>
      </c>
      <c r="N182" s="412">
        <f t="shared" si="9"/>
        <v>0</v>
      </c>
      <c r="O182" s="412">
        <f>All_Detail_v2[[#This Row],[Qty. Success]]</f>
        <v>0</v>
      </c>
      <c r="P182" s="230">
        <f>IF(All_Detail_v2[[#This Row],[Qty]]=0,1,(M182+N182+O182)/(All_Detail_v2[[#This Row],[Qty]]*3))</f>
        <v>0</v>
      </c>
      <c r="Q182" s="195"/>
      <c r="R182" s="414">
        <f>All_Detail_v2[[#This Row],[Scheduled Date]]</f>
        <v>46129</v>
      </c>
      <c r="S182" s="414">
        <f>All_Detail_v2[[#This Row],[Install Date]]</f>
        <v>0</v>
      </c>
    </row>
    <row r="183" spans="1:19">
      <c r="A183">
        <v>179</v>
      </c>
      <c r="B183" s="687" t="s">
        <v>362</v>
      </c>
      <c r="C183" s="689" t="s">
        <v>446</v>
      </c>
      <c r="D183" s="689" t="s">
        <v>474</v>
      </c>
      <c r="E183" s="689" t="s">
        <v>375</v>
      </c>
      <c r="F183" s="689">
        <v>1</v>
      </c>
      <c r="G183" s="689"/>
      <c r="H183" s="695"/>
      <c r="I183" s="695">
        <v>46129</v>
      </c>
      <c r="J183" s="689" t="s">
        <v>365</v>
      </c>
      <c r="K183" t="str">
        <f t="shared" si="8"/>
        <v>Switch</v>
      </c>
      <c r="M183" s="412">
        <f t="shared" si="7"/>
        <v>0</v>
      </c>
      <c r="N183" s="412">
        <f t="shared" si="9"/>
        <v>0</v>
      </c>
      <c r="O183" s="412">
        <f>All_Detail_v2[[#This Row],[Qty. Success]]</f>
        <v>0</v>
      </c>
      <c r="P183" s="230">
        <f>IF(All_Detail_v2[[#This Row],[Qty]]=0,1,(M183+N183+O183)/(All_Detail_v2[[#This Row],[Qty]]*3))</f>
        <v>0</v>
      </c>
      <c r="Q183" s="195"/>
      <c r="R183" s="414">
        <f>All_Detail_v2[[#This Row],[Scheduled Date]]</f>
        <v>46129</v>
      </c>
      <c r="S183" s="414">
        <f>All_Detail_v2[[#This Row],[Install Date]]</f>
        <v>0</v>
      </c>
    </row>
    <row r="184" spans="1:19">
      <c r="A184">
        <v>180</v>
      </c>
      <c r="B184" s="687" t="s">
        <v>362</v>
      </c>
      <c r="C184" s="689" t="s">
        <v>446</v>
      </c>
      <c r="D184" s="689" t="s">
        <v>474</v>
      </c>
      <c r="E184" s="689" t="s">
        <v>412</v>
      </c>
      <c r="F184" s="689">
        <v>1</v>
      </c>
      <c r="G184" s="689">
        <v>1</v>
      </c>
      <c r="H184" s="695">
        <v>46094</v>
      </c>
      <c r="I184" s="695">
        <v>46094</v>
      </c>
      <c r="J184" s="689" t="s">
        <v>368</v>
      </c>
      <c r="K184" t="str">
        <f t="shared" si="8"/>
        <v>Switch</v>
      </c>
      <c r="M184" s="412">
        <f t="shared" si="7"/>
        <v>1</v>
      </c>
      <c r="N184" s="412">
        <f t="shared" si="9"/>
        <v>1</v>
      </c>
      <c r="O184" s="412">
        <f>All_Detail_v2[[#This Row],[Qty. Success]]</f>
        <v>1</v>
      </c>
      <c r="P184" s="230">
        <f>IF(All_Detail_v2[[#This Row],[Qty]]=0,1,(M184+N184+O184)/(All_Detail_v2[[#This Row],[Qty]]*3))</f>
        <v>1</v>
      </c>
      <c r="Q184" s="195"/>
      <c r="R184" s="414">
        <f>All_Detail_v2[[#This Row],[Scheduled Date]]</f>
        <v>46094</v>
      </c>
      <c r="S184" s="414">
        <f>All_Detail_v2[[#This Row],[Install Date]]</f>
        <v>46094</v>
      </c>
    </row>
    <row r="185" spans="1:19">
      <c r="A185">
        <v>181</v>
      </c>
      <c r="B185" s="687" t="s">
        <v>362</v>
      </c>
      <c r="C185" s="689" t="s">
        <v>446</v>
      </c>
      <c r="D185" s="689" t="s">
        <v>475</v>
      </c>
      <c r="E185" s="689" t="s">
        <v>375</v>
      </c>
      <c r="F185" s="689">
        <v>1</v>
      </c>
      <c r="G185" s="689">
        <v>1</v>
      </c>
      <c r="H185" s="695">
        <v>46100</v>
      </c>
      <c r="I185" s="695">
        <v>46100</v>
      </c>
      <c r="J185" s="689" t="s">
        <v>368</v>
      </c>
      <c r="K185" t="str">
        <f t="shared" si="8"/>
        <v>Switch</v>
      </c>
      <c r="M185" s="412">
        <f t="shared" si="7"/>
        <v>1</v>
      </c>
      <c r="N185" s="412">
        <f t="shared" si="9"/>
        <v>1</v>
      </c>
      <c r="O185" s="412">
        <f>All_Detail_v2[[#This Row],[Qty. Success]]</f>
        <v>1</v>
      </c>
      <c r="P185" s="230">
        <f>IF(All_Detail_v2[[#This Row],[Qty]]=0,1,(M185+N185+O185)/(All_Detail_v2[[#This Row],[Qty]]*3))</f>
        <v>1</v>
      </c>
      <c r="Q185" s="195"/>
      <c r="R185" s="414">
        <f>All_Detail_v2[[#This Row],[Scheduled Date]]</f>
        <v>46100</v>
      </c>
      <c r="S185" s="414">
        <f>All_Detail_v2[[#This Row],[Install Date]]</f>
        <v>46100</v>
      </c>
    </row>
    <row r="186" spans="1:19">
      <c r="A186">
        <v>182</v>
      </c>
      <c r="B186" s="687" t="s">
        <v>362</v>
      </c>
      <c r="C186" s="689" t="s">
        <v>446</v>
      </c>
      <c r="D186" s="689" t="s">
        <v>476</v>
      </c>
      <c r="E186" s="689" t="s">
        <v>370</v>
      </c>
      <c r="F186" s="689">
        <v>1</v>
      </c>
      <c r="G186" s="689">
        <v>1</v>
      </c>
      <c r="H186" s="695">
        <v>46100</v>
      </c>
      <c r="I186" s="695">
        <v>46100</v>
      </c>
      <c r="J186" s="689" t="s">
        <v>368</v>
      </c>
      <c r="K186" t="str">
        <f t="shared" si="8"/>
        <v>Switch</v>
      </c>
      <c r="M186" s="412">
        <f t="shared" si="7"/>
        <v>1</v>
      </c>
      <c r="N186" s="412">
        <f t="shared" si="9"/>
        <v>1</v>
      </c>
      <c r="O186" s="412">
        <f>All_Detail_v2[[#This Row],[Qty. Success]]</f>
        <v>1</v>
      </c>
      <c r="P186" s="230">
        <f>IF(All_Detail_v2[[#This Row],[Qty]]=0,1,(M186+N186+O186)/(All_Detail_v2[[#This Row],[Qty]]*3))</f>
        <v>1</v>
      </c>
      <c r="Q186" s="195"/>
      <c r="R186" s="414">
        <f>All_Detail_v2[[#This Row],[Scheduled Date]]</f>
        <v>46100</v>
      </c>
      <c r="S186" s="414">
        <f>All_Detail_v2[[#This Row],[Install Date]]</f>
        <v>46100</v>
      </c>
    </row>
    <row r="187" spans="1:19">
      <c r="A187">
        <v>183</v>
      </c>
      <c r="B187" s="687" t="s">
        <v>362</v>
      </c>
      <c r="C187" s="689" t="s">
        <v>446</v>
      </c>
      <c r="D187" s="689" t="s">
        <v>476</v>
      </c>
      <c r="E187" s="689" t="s">
        <v>375</v>
      </c>
      <c r="F187" s="689">
        <v>1</v>
      </c>
      <c r="G187" s="689">
        <v>1</v>
      </c>
      <c r="H187" s="695">
        <v>46100</v>
      </c>
      <c r="I187" s="695">
        <v>46100</v>
      </c>
      <c r="J187" s="689" t="s">
        <v>368</v>
      </c>
      <c r="K187" t="str">
        <f t="shared" si="8"/>
        <v>Switch</v>
      </c>
      <c r="M187" s="412">
        <f t="shared" si="7"/>
        <v>1</v>
      </c>
      <c r="N187" s="412">
        <f t="shared" si="9"/>
        <v>1</v>
      </c>
      <c r="O187" s="412">
        <f>All_Detail_v2[[#This Row],[Qty. Success]]</f>
        <v>1</v>
      </c>
      <c r="P187" s="230">
        <f>IF(All_Detail_v2[[#This Row],[Qty]]=0,1,(M187+N187+O187)/(All_Detail_v2[[#This Row],[Qty]]*3))</f>
        <v>1</v>
      </c>
      <c r="Q187" s="195"/>
      <c r="R187" s="414">
        <f>All_Detail_v2[[#This Row],[Scheduled Date]]</f>
        <v>46100</v>
      </c>
      <c r="S187" s="414">
        <f>All_Detail_v2[[#This Row],[Install Date]]</f>
        <v>46100</v>
      </c>
    </row>
    <row r="188" spans="1:19">
      <c r="A188">
        <v>184</v>
      </c>
      <c r="B188" s="687" t="s">
        <v>362</v>
      </c>
      <c r="C188" s="689" t="s">
        <v>446</v>
      </c>
      <c r="D188" s="689" t="s">
        <v>477</v>
      </c>
      <c r="E188" s="689" t="s">
        <v>370</v>
      </c>
      <c r="F188" s="689">
        <v>1</v>
      </c>
      <c r="G188" s="689">
        <v>1</v>
      </c>
      <c r="H188" s="695">
        <v>46100</v>
      </c>
      <c r="I188" s="695">
        <v>46100</v>
      </c>
      <c r="J188" s="689" t="s">
        <v>368</v>
      </c>
      <c r="K188" t="str">
        <f t="shared" si="8"/>
        <v>Switch</v>
      </c>
      <c r="M188" s="412">
        <f t="shared" si="7"/>
        <v>1</v>
      </c>
      <c r="N188" s="412">
        <f t="shared" si="9"/>
        <v>1</v>
      </c>
      <c r="O188" s="412">
        <f>All_Detail_v2[[#This Row],[Qty. Success]]</f>
        <v>1</v>
      </c>
      <c r="P188" s="230">
        <f>IF(All_Detail_v2[[#This Row],[Qty]]=0,1,(M188+N188+O188)/(All_Detail_v2[[#This Row],[Qty]]*3))</f>
        <v>1</v>
      </c>
      <c r="Q188" s="195"/>
      <c r="R188" s="414">
        <f>All_Detail_v2[[#This Row],[Scheduled Date]]</f>
        <v>46100</v>
      </c>
      <c r="S188" s="414">
        <f>All_Detail_v2[[#This Row],[Install Date]]</f>
        <v>46100</v>
      </c>
    </row>
    <row r="189" spans="1:19">
      <c r="A189">
        <v>185</v>
      </c>
      <c r="B189" s="687" t="s">
        <v>362</v>
      </c>
      <c r="C189" s="689" t="s">
        <v>446</v>
      </c>
      <c r="D189" s="689" t="s">
        <v>478</v>
      </c>
      <c r="E189" s="689" t="s">
        <v>370</v>
      </c>
      <c r="F189" s="689">
        <v>1</v>
      </c>
      <c r="G189" s="689">
        <v>1</v>
      </c>
      <c r="H189" s="695">
        <v>46100</v>
      </c>
      <c r="I189" s="695">
        <v>46100</v>
      </c>
      <c r="J189" s="689" t="s">
        <v>368</v>
      </c>
      <c r="K189" t="str">
        <f t="shared" si="8"/>
        <v>Switch</v>
      </c>
      <c r="M189" s="412">
        <f t="shared" si="7"/>
        <v>1</v>
      </c>
      <c r="N189" s="412">
        <f t="shared" si="9"/>
        <v>1</v>
      </c>
      <c r="O189" s="412">
        <f>All_Detail_v2[[#This Row],[Qty. Success]]</f>
        <v>1</v>
      </c>
      <c r="P189" s="230">
        <f>IF(All_Detail_v2[[#This Row],[Qty]]=0,1,(M189+N189+O189)/(All_Detail_v2[[#This Row],[Qty]]*3))</f>
        <v>1</v>
      </c>
      <c r="Q189" s="195"/>
      <c r="R189" s="414">
        <f>All_Detail_v2[[#This Row],[Scheduled Date]]</f>
        <v>46100</v>
      </c>
      <c r="S189" s="414">
        <f>All_Detail_v2[[#This Row],[Install Date]]</f>
        <v>46100</v>
      </c>
    </row>
    <row r="190" spans="1:19">
      <c r="A190">
        <v>186</v>
      </c>
      <c r="B190" s="687" t="s">
        <v>362</v>
      </c>
      <c r="C190" s="689" t="s">
        <v>446</v>
      </c>
      <c r="D190" s="689" t="s">
        <v>479</v>
      </c>
      <c r="E190" s="689" t="s">
        <v>370</v>
      </c>
      <c r="F190" s="689">
        <v>1</v>
      </c>
      <c r="G190" s="689">
        <v>1</v>
      </c>
      <c r="H190" s="695">
        <v>46100</v>
      </c>
      <c r="I190" s="695">
        <v>46100</v>
      </c>
      <c r="J190" s="689" t="s">
        <v>368</v>
      </c>
      <c r="K190" t="str">
        <f t="shared" si="8"/>
        <v>Switch</v>
      </c>
      <c r="M190" s="412">
        <f t="shared" si="7"/>
        <v>1</v>
      </c>
      <c r="N190" s="412">
        <f t="shared" si="9"/>
        <v>1</v>
      </c>
      <c r="O190" s="412">
        <f>All_Detail_v2[[#This Row],[Qty. Success]]</f>
        <v>1</v>
      </c>
      <c r="P190" s="230">
        <f>IF(All_Detail_v2[[#This Row],[Qty]]=0,1,(M190+N190+O190)/(All_Detail_v2[[#This Row],[Qty]]*3))</f>
        <v>1</v>
      </c>
      <c r="Q190" s="195"/>
      <c r="R190" s="414">
        <f>All_Detail_v2[[#This Row],[Scheduled Date]]</f>
        <v>46100</v>
      </c>
      <c r="S190" s="414">
        <f>All_Detail_v2[[#This Row],[Install Date]]</f>
        <v>46100</v>
      </c>
    </row>
    <row r="191" spans="1:19">
      <c r="A191">
        <v>187</v>
      </c>
      <c r="B191" s="687" t="s">
        <v>362</v>
      </c>
      <c r="C191" s="689" t="s">
        <v>446</v>
      </c>
      <c r="D191" s="689" t="s">
        <v>479</v>
      </c>
      <c r="E191" s="689" t="s">
        <v>375</v>
      </c>
      <c r="F191" s="689">
        <v>1</v>
      </c>
      <c r="G191" s="689">
        <v>1</v>
      </c>
      <c r="H191" s="695">
        <v>46100</v>
      </c>
      <c r="I191" s="695">
        <v>46100</v>
      </c>
      <c r="J191" s="689" t="s">
        <v>368</v>
      </c>
      <c r="K191" t="str">
        <f t="shared" si="8"/>
        <v>Switch</v>
      </c>
      <c r="M191" s="412">
        <f t="shared" si="7"/>
        <v>1</v>
      </c>
      <c r="N191" s="412">
        <f t="shared" si="9"/>
        <v>1</v>
      </c>
      <c r="O191" s="412">
        <f>All_Detail_v2[[#This Row],[Qty. Success]]</f>
        <v>1</v>
      </c>
      <c r="P191" s="230">
        <f>IF(All_Detail_v2[[#This Row],[Qty]]=0,1,(M191+N191+O191)/(All_Detail_v2[[#This Row],[Qty]]*3))</f>
        <v>1</v>
      </c>
      <c r="Q191" s="195"/>
      <c r="R191" s="414">
        <f>All_Detail_v2[[#This Row],[Scheduled Date]]</f>
        <v>46100</v>
      </c>
      <c r="S191" s="414">
        <f>All_Detail_v2[[#This Row],[Install Date]]</f>
        <v>46100</v>
      </c>
    </row>
    <row r="192" spans="1:19">
      <c r="A192">
        <v>188</v>
      </c>
      <c r="B192" s="687" t="s">
        <v>362</v>
      </c>
      <c r="C192" s="689" t="s">
        <v>446</v>
      </c>
      <c r="D192" s="689" t="s">
        <v>480</v>
      </c>
      <c r="E192" s="689" t="s">
        <v>370</v>
      </c>
      <c r="F192" s="689">
        <v>1</v>
      </c>
      <c r="G192" s="689">
        <v>1</v>
      </c>
      <c r="H192" s="695">
        <v>46100</v>
      </c>
      <c r="I192" s="695">
        <v>46100</v>
      </c>
      <c r="J192" s="689" t="s">
        <v>368</v>
      </c>
      <c r="K192" t="str">
        <f t="shared" si="8"/>
        <v>Switch</v>
      </c>
      <c r="M192" s="412">
        <f t="shared" si="7"/>
        <v>1</v>
      </c>
      <c r="N192" s="412">
        <f t="shared" si="9"/>
        <v>1</v>
      </c>
      <c r="O192" s="412">
        <f>All_Detail_v2[[#This Row],[Qty. Success]]</f>
        <v>1</v>
      </c>
      <c r="P192" s="230">
        <f>IF(All_Detail_v2[[#This Row],[Qty]]=0,1,(M192+N192+O192)/(All_Detail_v2[[#This Row],[Qty]]*3))</f>
        <v>1</v>
      </c>
      <c r="Q192" s="195"/>
      <c r="R192" s="414">
        <f>All_Detail_v2[[#This Row],[Scheduled Date]]</f>
        <v>46100</v>
      </c>
      <c r="S192" s="414">
        <f>All_Detail_v2[[#This Row],[Install Date]]</f>
        <v>46100</v>
      </c>
    </row>
    <row r="193" spans="1:19">
      <c r="A193">
        <v>189</v>
      </c>
      <c r="B193" s="687" t="s">
        <v>362</v>
      </c>
      <c r="C193" s="689" t="s">
        <v>481</v>
      </c>
      <c r="D193" s="689" t="s">
        <v>41</v>
      </c>
      <c r="E193" s="689" t="s">
        <v>364</v>
      </c>
      <c r="F193" s="689">
        <v>19</v>
      </c>
      <c r="G193" s="689"/>
      <c r="H193" s="695"/>
      <c r="I193" s="695">
        <v>46113</v>
      </c>
      <c r="J193" s="689" t="s">
        <v>365</v>
      </c>
      <c r="K193" t="str">
        <f t="shared" si="8"/>
        <v>AP</v>
      </c>
      <c r="M193" s="412">
        <f t="shared" si="7"/>
        <v>0</v>
      </c>
      <c r="N193" s="412">
        <f t="shared" si="9"/>
        <v>0</v>
      </c>
      <c r="O193" s="412">
        <f>All_Detail_v2[[#This Row],[Qty. Success]]</f>
        <v>0</v>
      </c>
      <c r="P193" s="230">
        <f>IF(All_Detail_v2[[#This Row],[Qty]]=0,1,(M193+N193+O193)/(All_Detail_v2[[#This Row],[Qty]]*3))</f>
        <v>0</v>
      </c>
      <c r="Q193" s="195"/>
      <c r="R193" s="414">
        <f>All_Detail_v2[[#This Row],[Scheduled Date]]</f>
        <v>46113</v>
      </c>
      <c r="S193" s="414">
        <f>All_Detail_v2[[#This Row],[Install Date]]</f>
        <v>0</v>
      </c>
    </row>
    <row r="194" spans="1:19">
      <c r="A194">
        <v>190</v>
      </c>
      <c r="B194" s="687" t="s">
        <v>362</v>
      </c>
      <c r="C194" s="689" t="s">
        <v>481</v>
      </c>
      <c r="D194" s="689" t="s">
        <v>482</v>
      </c>
      <c r="E194" s="689" t="s">
        <v>370</v>
      </c>
      <c r="F194" s="689">
        <v>2</v>
      </c>
      <c r="G194" s="689">
        <v>1</v>
      </c>
      <c r="H194" s="695">
        <v>46063</v>
      </c>
      <c r="I194" s="695">
        <v>46114</v>
      </c>
      <c r="J194" s="689" t="s">
        <v>365</v>
      </c>
      <c r="K194" t="str">
        <f t="shared" si="8"/>
        <v>Switch</v>
      </c>
      <c r="M194" s="412">
        <f t="shared" ref="M194:M257" si="10">O194</f>
        <v>1</v>
      </c>
      <c r="N194" s="412">
        <f t="shared" si="9"/>
        <v>1</v>
      </c>
      <c r="O194" s="412">
        <f>All_Detail_v2[[#This Row],[Qty. Success]]</f>
        <v>1</v>
      </c>
      <c r="P194" s="230">
        <f>IF(All_Detail_v2[[#This Row],[Qty]]=0,1,(M194+N194+O194)/(All_Detail_v2[[#This Row],[Qty]]*3))</f>
        <v>0.5</v>
      </c>
      <c r="Q194" s="195"/>
      <c r="R194" s="414">
        <f>All_Detail_v2[[#This Row],[Scheduled Date]]</f>
        <v>46114</v>
      </c>
      <c r="S194" s="414">
        <f>All_Detail_v2[[#This Row],[Install Date]]</f>
        <v>46063</v>
      </c>
    </row>
    <row r="195" spans="1:19">
      <c r="A195">
        <v>191</v>
      </c>
      <c r="B195" s="687" t="s">
        <v>362</v>
      </c>
      <c r="C195" s="689" t="s">
        <v>481</v>
      </c>
      <c r="D195" s="689" t="s">
        <v>482</v>
      </c>
      <c r="E195" s="689" t="s">
        <v>375</v>
      </c>
      <c r="F195" s="689">
        <v>1</v>
      </c>
      <c r="G195" s="689"/>
      <c r="H195" s="695"/>
      <c r="I195" s="695">
        <v>46114</v>
      </c>
      <c r="J195" s="689" t="s">
        <v>365</v>
      </c>
      <c r="K195" t="str">
        <f t="shared" ref="K195:K258" si="11">IF(ISNUMBER(SEARCH("Access Point",E195)),"AP",IF(OR(ISNUMBER(SEARCH("Switch",E195)),ISNUMBER(SEARCH("Control Type",E195))),"Switch","Infra"))</f>
        <v>Switch</v>
      </c>
      <c r="M195" s="412">
        <f t="shared" si="10"/>
        <v>0</v>
      </c>
      <c r="N195" s="412">
        <f t="shared" si="9"/>
        <v>0</v>
      </c>
      <c r="O195" s="412">
        <f>All_Detail_v2[[#This Row],[Qty. Success]]</f>
        <v>0</v>
      </c>
      <c r="P195" s="230">
        <f>IF(All_Detail_v2[[#This Row],[Qty]]=0,1,(M195+N195+O195)/(All_Detail_v2[[#This Row],[Qty]]*3))</f>
        <v>0</v>
      </c>
      <c r="Q195" s="195"/>
      <c r="R195" s="414">
        <f>All_Detail_v2[[#This Row],[Scheduled Date]]</f>
        <v>46114</v>
      </c>
      <c r="S195" s="414">
        <f>All_Detail_v2[[#This Row],[Install Date]]</f>
        <v>0</v>
      </c>
    </row>
    <row r="196" spans="1:19">
      <c r="A196">
        <v>192</v>
      </c>
      <c r="B196" s="687" t="s">
        <v>362</v>
      </c>
      <c r="C196" s="689" t="s">
        <v>481</v>
      </c>
      <c r="D196" s="689" t="s">
        <v>483</v>
      </c>
      <c r="E196" s="689" t="s">
        <v>370</v>
      </c>
      <c r="F196" s="689">
        <v>2</v>
      </c>
      <c r="G196" s="689"/>
      <c r="H196" s="695"/>
      <c r="I196" s="695">
        <v>46114</v>
      </c>
      <c r="J196" s="689" t="s">
        <v>365</v>
      </c>
      <c r="K196" t="str">
        <f t="shared" si="11"/>
        <v>Switch</v>
      </c>
      <c r="M196" s="412">
        <f t="shared" si="10"/>
        <v>0</v>
      </c>
      <c r="N196" s="412">
        <f t="shared" si="9"/>
        <v>0</v>
      </c>
      <c r="O196" s="412">
        <f>All_Detail_v2[[#This Row],[Qty. Success]]</f>
        <v>0</v>
      </c>
      <c r="P196" s="230">
        <f>IF(All_Detail_v2[[#This Row],[Qty]]=0,1,(M196+N196+O196)/(All_Detail_v2[[#This Row],[Qty]]*3))</f>
        <v>0</v>
      </c>
      <c r="Q196" s="195"/>
      <c r="R196" s="414">
        <f>All_Detail_v2[[#This Row],[Scheduled Date]]</f>
        <v>46114</v>
      </c>
      <c r="S196" s="414">
        <f>All_Detail_v2[[#This Row],[Install Date]]</f>
        <v>0</v>
      </c>
    </row>
    <row r="197" spans="1:19">
      <c r="A197">
        <v>193</v>
      </c>
      <c r="B197" s="687" t="s">
        <v>362</v>
      </c>
      <c r="C197" s="689" t="s">
        <v>481</v>
      </c>
      <c r="D197" s="689" t="s">
        <v>484</v>
      </c>
      <c r="E197" s="689" t="s">
        <v>370</v>
      </c>
      <c r="F197" s="689">
        <v>1</v>
      </c>
      <c r="G197" s="689"/>
      <c r="H197" s="695"/>
      <c r="I197" s="695">
        <v>46114</v>
      </c>
      <c r="J197" s="689" t="s">
        <v>365</v>
      </c>
      <c r="K197" t="str">
        <f t="shared" si="11"/>
        <v>Switch</v>
      </c>
      <c r="M197" s="412">
        <f t="shared" si="10"/>
        <v>0</v>
      </c>
      <c r="N197" s="412">
        <f t="shared" si="9"/>
        <v>0</v>
      </c>
      <c r="O197" s="412">
        <f>All_Detail_v2[[#This Row],[Qty. Success]]</f>
        <v>0</v>
      </c>
      <c r="P197" s="230">
        <f>IF(All_Detail_v2[[#This Row],[Qty]]=0,1,(M197+N197+O197)/(All_Detail_v2[[#This Row],[Qty]]*3))</f>
        <v>0</v>
      </c>
      <c r="Q197" s="195"/>
      <c r="R197" s="414">
        <f>All_Detail_v2[[#This Row],[Scheduled Date]]</f>
        <v>46114</v>
      </c>
      <c r="S197" s="414">
        <f>All_Detail_v2[[#This Row],[Install Date]]</f>
        <v>0</v>
      </c>
    </row>
    <row r="198" spans="1:19">
      <c r="A198">
        <v>194</v>
      </c>
      <c r="B198" s="687" t="s">
        <v>362</v>
      </c>
      <c r="C198" s="689" t="s">
        <v>481</v>
      </c>
      <c r="D198" s="689" t="s">
        <v>484</v>
      </c>
      <c r="E198" s="689" t="s">
        <v>375</v>
      </c>
      <c r="F198" s="689">
        <v>1</v>
      </c>
      <c r="G198" s="689"/>
      <c r="H198" s="695"/>
      <c r="I198" s="695">
        <v>46114</v>
      </c>
      <c r="J198" s="689" t="s">
        <v>365</v>
      </c>
      <c r="K198" t="str">
        <f t="shared" si="11"/>
        <v>Switch</v>
      </c>
      <c r="M198" s="412">
        <f t="shared" si="10"/>
        <v>0</v>
      </c>
      <c r="N198" s="412">
        <f t="shared" ref="N198:N261" si="12">O198</f>
        <v>0</v>
      </c>
      <c r="O198" s="412">
        <f>All_Detail_v2[[#This Row],[Qty. Success]]</f>
        <v>0</v>
      </c>
      <c r="P198" s="230">
        <f>IF(All_Detail_v2[[#This Row],[Qty]]=0,1,(M198+N198+O198)/(All_Detail_v2[[#This Row],[Qty]]*3))</f>
        <v>0</v>
      </c>
      <c r="Q198" s="195"/>
      <c r="R198" s="414">
        <f>All_Detail_v2[[#This Row],[Scheduled Date]]</f>
        <v>46114</v>
      </c>
      <c r="S198" s="414">
        <f>All_Detail_v2[[#This Row],[Install Date]]</f>
        <v>0</v>
      </c>
    </row>
    <row r="199" spans="1:19">
      <c r="A199">
        <v>195</v>
      </c>
      <c r="B199" s="687" t="s">
        <v>362</v>
      </c>
      <c r="C199" s="689" t="s">
        <v>481</v>
      </c>
      <c r="D199" s="689" t="s">
        <v>485</v>
      </c>
      <c r="E199" s="689" t="s">
        <v>486</v>
      </c>
      <c r="F199" s="689">
        <v>4</v>
      </c>
      <c r="G199" s="689">
        <v>4</v>
      </c>
      <c r="H199" s="695">
        <v>46063</v>
      </c>
      <c r="I199" s="695">
        <v>46063</v>
      </c>
      <c r="J199" s="689" t="s">
        <v>368</v>
      </c>
      <c r="K199" t="str">
        <f t="shared" si="11"/>
        <v>Switch</v>
      </c>
      <c r="M199" s="412">
        <f t="shared" si="10"/>
        <v>4</v>
      </c>
      <c r="N199" s="412">
        <f t="shared" si="12"/>
        <v>4</v>
      </c>
      <c r="O199" s="412">
        <f>All_Detail_v2[[#This Row],[Qty. Success]]</f>
        <v>4</v>
      </c>
      <c r="P199" s="230">
        <f>IF(All_Detail_v2[[#This Row],[Qty]]=0,1,(M199+N199+O199)/(All_Detail_v2[[#This Row],[Qty]]*3))</f>
        <v>1</v>
      </c>
      <c r="Q199" s="195"/>
      <c r="R199" s="414">
        <f>All_Detail_v2[[#This Row],[Scheduled Date]]</f>
        <v>46063</v>
      </c>
      <c r="S199" s="414">
        <f>All_Detail_v2[[#This Row],[Install Date]]</f>
        <v>46063</v>
      </c>
    </row>
    <row r="200" spans="1:19">
      <c r="A200">
        <v>196</v>
      </c>
      <c r="B200" s="687" t="s">
        <v>362</v>
      </c>
      <c r="C200" s="689" t="s">
        <v>481</v>
      </c>
      <c r="D200" s="689" t="s">
        <v>485</v>
      </c>
      <c r="E200" s="689" t="s">
        <v>370</v>
      </c>
      <c r="F200" s="689">
        <v>10</v>
      </c>
      <c r="G200" s="689"/>
      <c r="H200" s="695"/>
      <c r="I200" s="695">
        <v>46119</v>
      </c>
      <c r="J200" s="689" t="s">
        <v>365</v>
      </c>
      <c r="K200" t="str">
        <f t="shared" si="11"/>
        <v>Switch</v>
      </c>
      <c r="M200" s="412">
        <f t="shared" si="10"/>
        <v>0</v>
      </c>
      <c r="N200" s="412">
        <f t="shared" si="12"/>
        <v>0</v>
      </c>
      <c r="O200" s="412">
        <f>All_Detail_v2[[#This Row],[Qty. Success]]</f>
        <v>0</v>
      </c>
      <c r="P200" s="230">
        <f>IF(All_Detail_v2[[#This Row],[Qty]]=0,1,(M200+N200+O200)/(All_Detail_v2[[#This Row],[Qty]]*3))</f>
        <v>0</v>
      </c>
      <c r="Q200" s="195"/>
      <c r="R200" s="414">
        <f>All_Detail_v2[[#This Row],[Scheduled Date]]</f>
        <v>46119</v>
      </c>
      <c r="S200" s="414">
        <f>All_Detail_v2[[#This Row],[Install Date]]</f>
        <v>0</v>
      </c>
    </row>
    <row r="201" spans="1:19">
      <c r="A201">
        <v>197</v>
      </c>
      <c r="B201" s="687" t="s">
        <v>362</v>
      </c>
      <c r="C201" s="689" t="s">
        <v>481</v>
      </c>
      <c r="D201" s="689" t="s">
        <v>485</v>
      </c>
      <c r="E201" s="689" t="s">
        <v>375</v>
      </c>
      <c r="F201" s="689">
        <v>2</v>
      </c>
      <c r="G201" s="689"/>
      <c r="H201" s="695"/>
      <c r="I201" s="695">
        <v>46119</v>
      </c>
      <c r="J201" s="689" t="s">
        <v>365</v>
      </c>
      <c r="K201" t="str">
        <f t="shared" si="11"/>
        <v>Switch</v>
      </c>
      <c r="M201" s="412">
        <f t="shared" si="10"/>
        <v>0</v>
      </c>
      <c r="N201" s="412">
        <f t="shared" si="12"/>
        <v>0</v>
      </c>
      <c r="O201" s="412">
        <f>All_Detail_v2[[#This Row],[Qty. Success]]</f>
        <v>0</v>
      </c>
      <c r="P201" s="230">
        <f>IF(All_Detail_v2[[#This Row],[Qty]]=0,1,(M201+N201+O201)/(All_Detail_v2[[#This Row],[Qty]]*3))</f>
        <v>0</v>
      </c>
      <c r="Q201" s="195"/>
      <c r="R201" s="414">
        <f>All_Detail_v2[[#This Row],[Scheduled Date]]</f>
        <v>46119</v>
      </c>
      <c r="S201" s="414">
        <f>All_Detail_v2[[#This Row],[Install Date]]</f>
        <v>0</v>
      </c>
    </row>
    <row r="202" spans="1:19">
      <c r="A202">
        <v>198</v>
      </c>
      <c r="B202" s="687" t="s">
        <v>362</v>
      </c>
      <c r="C202" s="689" t="s">
        <v>481</v>
      </c>
      <c r="D202" s="689" t="s">
        <v>485</v>
      </c>
      <c r="E202" s="689" t="s">
        <v>412</v>
      </c>
      <c r="F202" s="689">
        <v>2</v>
      </c>
      <c r="G202" s="689"/>
      <c r="H202" s="695"/>
      <c r="I202" s="695">
        <v>46119</v>
      </c>
      <c r="J202" s="689" t="s">
        <v>365</v>
      </c>
      <c r="K202" t="str">
        <f t="shared" si="11"/>
        <v>Switch</v>
      </c>
      <c r="M202" s="412">
        <f t="shared" si="10"/>
        <v>0</v>
      </c>
      <c r="N202" s="412">
        <f t="shared" si="12"/>
        <v>0</v>
      </c>
      <c r="O202" s="412">
        <f>All_Detail_v2[[#This Row],[Qty. Success]]</f>
        <v>0</v>
      </c>
      <c r="P202" s="230">
        <f>IF(All_Detail_v2[[#This Row],[Qty]]=0,1,(M202+N202+O202)/(All_Detail_v2[[#This Row],[Qty]]*3))</f>
        <v>0</v>
      </c>
      <c r="Q202" s="195"/>
      <c r="R202" s="414">
        <f>All_Detail_v2[[#This Row],[Scheduled Date]]</f>
        <v>46119</v>
      </c>
      <c r="S202" s="414">
        <f>All_Detail_v2[[#This Row],[Install Date]]</f>
        <v>0</v>
      </c>
    </row>
    <row r="203" spans="1:19">
      <c r="A203">
        <v>199</v>
      </c>
      <c r="B203" s="687" t="s">
        <v>362</v>
      </c>
      <c r="C203" s="689" t="s">
        <v>481</v>
      </c>
      <c r="D203" s="689" t="s">
        <v>485</v>
      </c>
      <c r="E203" s="689" t="s">
        <v>487</v>
      </c>
      <c r="F203" s="689">
        <v>2</v>
      </c>
      <c r="G203" s="689">
        <v>2</v>
      </c>
      <c r="H203" s="695">
        <v>46063</v>
      </c>
      <c r="I203" s="695">
        <v>46063</v>
      </c>
      <c r="J203" s="689" t="s">
        <v>368</v>
      </c>
      <c r="K203" t="str">
        <f t="shared" si="11"/>
        <v>Infra</v>
      </c>
      <c r="M203" s="412">
        <f t="shared" si="10"/>
        <v>2</v>
      </c>
      <c r="N203" s="412">
        <f t="shared" si="12"/>
        <v>2</v>
      </c>
      <c r="O203" s="412">
        <f>All_Detail_v2[[#This Row],[Qty. Success]]</f>
        <v>2</v>
      </c>
      <c r="P203" s="230">
        <f>IF(All_Detail_v2[[#This Row],[Qty]]=0,1,(M203+N203+O203)/(All_Detail_v2[[#This Row],[Qty]]*3))</f>
        <v>1</v>
      </c>
      <c r="Q203" s="195"/>
      <c r="R203" s="414">
        <f>All_Detail_v2[[#This Row],[Scheduled Date]]</f>
        <v>46063</v>
      </c>
      <c r="S203" s="414">
        <f>All_Detail_v2[[#This Row],[Install Date]]</f>
        <v>46063</v>
      </c>
    </row>
    <row r="204" spans="1:19">
      <c r="A204">
        <v>200</v>
      </c>
      <c r="B204" s="687" t="s">
        <v>362</v>
      </c>
      <c r="C204" s="689" t="s">
        <v>481</v>
      </c>
      <c r="D204" s="689" t="s">
        <v>485</v>
      </c>
      <c r="E204" s="689" t="s">
        <v>488</v>
      </c>
      <c r="F204" s="689">
        <v>3</v>
      </c>
      <c r="G204" s="689">
        <v>3</v>
      </c>
      <c r="H204" s="695">
        <v>46063</v>
      </c>
      <c r="I204" s="695">
        <v>46063</v>
      </c>
      <c r="J204" s="689" t="s">
        <v>368</v>
      </c>
      <c r="K204" t="str">
        <f t="shared" si="11"/>
        <v>Infra</v>
      </c>
      <c r="M204" s="412">
        <f t="shared" si="10"/>
        <v>3</v>
      </c>
      <c r="N204" s="412">
        <f t="shared" si="12"/>
        <v>3</v>
      </c>
      <c r="O204" s="412">
        <f>All_Detail_v2[[#This Row],[Qty. Success]]</f>
        <v>3</v>
      </c>
      <c r="P204" s="230">
        <f>IF(All_Detail_v2[[#This Row],[Qty]]=0,1,(M204+N204+O204)/(All_Detail_v2[[#This Row],[Qty]]*3))</f>
        <v>1</v>
      </c>
      <c r="Q204" s="195"/>
      <c r="R204" s="414">
        <f>All_Detail_v2[[#This Row],[Scheduled Date]]</f>
        <v>46063</v>
      </c>
      <c r="S204" s="414">
        <f>All_Detail_v2[[#This Row],[Install Date]]</f>
        <v>46063</v>
      </c>
    </row>
    <row r="205" spans="1:19">
      <c r="A205">
        <v>201</v>
      </c>
      <c r="B205" s="687" t="s">
        <v>362</v>
      </c>
      <c r="C205" s="689" t="s">
        <v>481</v>
      </c>
      <c r="D205" s="689" t="s">
        <v>485</v>
      </c>
      <c r="E205" s="689" t="s">
        <v>489</v>
      </c>
      <c r="F205" s="689">
        <v>1</v>
      </c>
      <c r="G205" s="689">
        <v>1</v>
      </c>
      <c r="H205" s="695">
        <v>46063</v>
      </c>
      <c r="I205" s="695">
        <v>46063</v>
      </c>
      <c r="J205" s="689" t="s">
        <v>368</v>
      </c>
      <c r="K205" t="str">
        <f t="shared" si="11"/>
        <v>Infra</v>
      </c>
      <c r="L205" s="634" t="s">
        <v>426</v>
      </c>
      <c r="M205" s="412">
        <f t="shared" si="10"/>
        <v>1</v>
      </c>
      <c r="N205" s="412">
        <f t="shared" si="12"/>
        <v>1</v>
      </c>
      <c r="O205" s="412">
        <f>All_Detail_v2[[#This Row],[Qty. Success]]</f>
        <v>1</v>
      </c>
      <c r="P205" s="230">
        <f>IF(All_Detail_v2[[#This Row],[Qty]]=0,1,(M205+N205+O205)/(All_Detail_v2[[#This Row],[Qty]]*3))</f>
        <v>1</v>
      </c>
      <c r="Q205" s="195"/>
      <c r="R205" s="414">
        <f>All_Detail_v2[[#This Row],[Scheduled Date]]</f>
        <v>46063</v>
      </c>
      <c r="S205" s="414">
        <f>All_Detail_v2[[#This Row],[Install Date]]</f>
        <v>46063</v>
      </c>
    </row>
    <row r="206" spans="1:19">
      <c r="A206">
        <v>202</v>
      </c>
      <c r="B206" s="687" t="s">
        <v>362</v>
      </c>
      <c r="C206" s="689" t="s">
        <v>481</v>
      </c>
      <c r="D206" s="689" t="s">
        <v>490</v>
      </c>
      <c r="E206" s="689" t="s">
        <v>370</v>
      </c>
      <c r="F206" s="689">
        <v>1</v>
      </c>
      <c r="G206" s="689"/>
      <c r="H206" s="695"/>
      <c r="I206" s="695">
        <v>46120</v>
      </c>
      <c r="J206" s="689" t="s">
        <v>365</v>
      </c>
      <c r="K206" t="str">
        <f t="shared" si="11"/>
        <v>Switch</v>
      </c>
      <c r="M206" s="412">
        <f t="shared" si="10"/>
        <v>0</v>
      </c>
      <c r="N206" s="412">
        <f t="shared" si="12"/>
        <v>0</v>
      </c>
      <c r="O206" s="412">
        <f>All_Detail_v2[[#This Row],[Qty. Success]]</f>
        <v>0</v>
      </c>
      <c r="P206" s="230">
        <f>IF(All_Detail_v2[[#This Row],[Qty]]=0,1,(M206+N206+O206)/(All_Detail_v2[[#This Row],[Qty]]*3))</f>
        <v>0</v>
      </c>
      <c r="Q206" s="195"/>
      <c r="R206" s="414">
        <f>All_Detail_v2[[#This Row],[Scheduled Date]]</f>
        <v>46120</v>
      </c>
      <c r="S206" s="414">
        <f>All_Detail_v2[[#This Row],[Install Date]]</f>
        <v>0</v>
      </c>
    </row>
    <row r="207" spans="1:19">
      <c r="A207">
        <v>203</v>
      </c>
      <c r="B207" s="687" t="s">
        <v>362</v>
      </c>
      <c r="C207" s="689" t="s">
        <v>481</v>
      </c>
      <c r="D207" s="689" t="s">
        <v>490</v>
      </c>
      <c r="E207" s="689" t="s">
        <v>375</v>
      </c>
      <c r="F207" s="689">
        <v>1</v>
      </c>
      <c r="G207" s="689"/>
      <c r="H207" s="695"/>
      <c r="I207" s="695">
        <v>46120</v>
      </c>
      <c r="J207" s="689" t="s">
        <v>365</v>
      </c>
      <c r="K207" t="str">
        <f t="shared" si="11"/>
        <v>Switch</v>
      </c>
      <c r="M207" s="412">
        <f t="shared" si="10"/>
        <v>0</v>
      </c>
      <c r="N207" s="412">
        <f t="shared" si="12"/>
        <v>0</v>
      </c>
      <c r="O207" s="412">
        <f>All_Detail_v2[[#This Row],[Qty. Success]]</f>
        <v>0</v>
      </c>
      <c r="P207" s="230">
        <f>IF(All_Detail_v2[[#This Row],[Qty]]=0,1,(M207+N207+O207)/(All_Detail_v2[[#This Row],[Qty]]*3))</f>
        <v>0</v>
      </c>
      <c r="Q207" s="195"/>
      <c r="R207" s="414">
        <f>All_Detail_v2[[#This Row],[Scheduled Date]]</f>
        <v>46120</v>
      </c>
      <c r="S207" s="414">
        <f>All_Detail_v2[[#This Row],[Install Date]]</f>
        <v>0</v>
      </c>
    </row>
    <row r="208" spans="1:19">
      <c r="A208">
        <v>204</v>
      </c>
      <c r="B208" s="687" t="s">
        <v>362</v>
      </c>
      <c r="C208" s="689" t="s">
        <v>481</v>
      </c>
      <c r="D208" s="689" t="s">
        <v>491</v>
      </c>
      <c r="E208" s="689" t="s">
        <v>370</v>
      </c>
      <c r="F208" s="689">
        <v>1</v>
      </c>
      <c r="G208" s="689"/>
      <c r="H208" s="695"/>
      <c r="I208" s="695">
        <v>46120</v>
      </c>
      <c r="J208" s="689" t="s">
        <v>365</v>
      </c>
      <c r="K208" t="str">
        <f t="shared" si="11"/>
        <v>Switch</v>
      </c>
      <c r="M208" s="412">
        <f t="shared" si="10"/>
        <v>0</v>
      </c>
      <c r="N208" s="412">
        <f t="shared" si="12"/>
        <v>0</v>
      </c>
      <c r="O208" s="412">
        <f>All_Detail_v2[[#This Row],[Qty. Success]]</f>
        <v>0</v>
      </c>
      <c r="P208" s="230">
        <f>IF(All_Detail_v2[[#This Row],[Qty]]=0,1,(M208+N208+O208)/(All_Detail_v2[[#This Row],[Qty]]*3))</f>
        <v>0</v>
      </c>
      <c r="Q208" s="195"/>
      <c r="R208" s="414">
        <f>All_Detail_v2[[#This Row],[Scheduled Date]]</f>
        <v>46120</v>
      </c>
      <c r="S208" s="414">
        <f>All_Detail_v2[[#This Row],[Install Date]]</f>
        <v>0</v>
      </c>
    </row>
    <row r="209" spans="1:19">
      <c r="A209">
        <v>205</v>
      </c>
      <c r="B209" s="687" t="s">
        <v>362</v>
      </c>
      <c r="C209" s="689" t="s">
        <v>481</v>
      </c>
      <c r="D209" s="689" t="s">
        <v>491</v>
      </c>
      <c r="E209" s="689" t="s">
        <v>375</v>
      </c>
      <c r="F209" s="689">
        <v>1</v>
      </c>
      <c r="G209" s="689"/>
      <c r="H209" s="695"/>
      <c r="I209" s="695">
        <v>46120</v>
      </c>
      <c r="J209" s="689" t="s">
        <v>365</v>
      </c>
      <c r="K209" t="str">
        <f t="shared" si="11"/>
        <v>Switch</v>
      </c>
      <c r="M209" s="412">
        <f t="shared" si="10"/>
        <v>0</v>
      </c>
      <c r="N209" s="412">
        <f t="shared" si="12"/>
        <v>0</v>
      </c>
      <c r="O209" s="412">
        <f>All_Detail_v2[[#This Row],[Qty. Success]]</f>
        <v>0</v>
      </c>
      <c r="P209" s="230">
        <f>IF(All_Detail_v2[[#This Row],[Qty]]=0,1,(M209+N209+O209)/(All_Detail_v2[[#This Row],[Qty]]*3))</f>
        <v>0</v>
      </c>
      <c r="Q209" s="195"/>
      <c r="R209" s="414">
        <f>All_Detail_v2[[#This Row],[Scheduled Date]]</f>
        <v>46120</v>
      </c>
      <c r="S209" s="414">
        <f>All_Detail_v2[[#This Row],[Install Date]]</f>
        <v>0</v>
      </c>
    </row>
    <row r="210" spans="1:19">
      <c r="A210">
        <v>206</v>
      </c>
      <c r="B210" s="687" t="s">
        <v>362</v>
      </c>
      <c r="C210" s="689" t="s">
        <v>481</v>
      </c>
      <c r="D210" s="689" t="s">
        <v>492</v>
      </c>
      <c r="E210" s="689" t="s">
        <v>370</v>
      </c>
      <c r="F210" s="689">
        <v>1</v>
      </c>
      <c r="G210" s="689"/>
      <c r="H210" s="695"/>
      <c r="I210" s="695">
        <v>46120</v>
      </c>
      <c r="J210" s="689" t="s">
        <v>365</v>
      </c>
      <c r="K210" t="str">
        <f t="shared" si="11"/>
        <v>Switch</v>
      </c>
      <c r="M210" s="412">
        <f t="shared" si="10"/>
        <v>0</v>
      </c>
      <c r="N210" s="412">
        <f t="shared" si="12"/>
        <v>0</v>
      </c>
      <c r="O210" s="412">
        <f>All_Detail_v2[[#This Row],[Qty. Success]]</f>
        <v>0</v>
      </c>
      <c r="P210" s="230">
        <f>IF(All_Detail_v2[[#This Row],[Qty]]=0,1,(M210+N210+O210)/(All_Detail_v2[[#This Row],[Qty]]*3))</f>
        <v>0</v>
      </c>
      <c r="Q210" s="195"/>
      <c r="R210" s="414">
        <f>All_Detail_v2[[#This Row],[Scheduled Date]]</f>
        <v>46120</v>
      </c>
      <c r="S210" s="414">
        <f>All_Detail_v2[[#This Row],[Install Date]]</f>
        <v>0</v>
      </c>
    </row>
    <row r="211" spans="1:19">
      <c r="A211">
        <v>207</v>
      </c>
      <c r="B211" s="687" t="s">
        <v>362</v>
      </c>
      <c r="C211" s="689" t="s">
        <v>481</v>
      </c>
      <c r="D211" s="689" t="s">
        <v>492</v>
      </c>
      <c r="E211" s="689" t="s">
        <v>375</v>
      </c>
      <c r="F211" s="689">
        <v>1</v>
      </c>
      <c r="G211" s="689"/>
      <c r="H211" s="695"/>
      <c r="I211" s="695">
        <v>46120</v>
      </c>
      <c r="J211" s="689" t="s">
        <v>365</v>
      </c>
      <c r="K211" t="str">
        <f t="shared" si="11"/>
        <v>Switch</v>
      </c>
      <c r="M211" s="412">
        <f t="shared" si="10"/>
        <v>0</v>
      </c>
      <c r="N211" s="412">
        <f t="shared" si="12"/>
        <v>0</v>
      </c>
      <c r="O211" s="412">
        <f>All_Detail_v2[[#This Row],[Qty. Success]]</f>
        <v>0</v>
      </c>
      <c r="P211" s="230">
        <f>IF(All_Detail_v2[[#This Row],[Qty]]=0,1,(M211+N211+O211)/(All_Detail_v2[[#This Row],[Qty]]*3))</f>
        <v>0</v>
      </c>
      <c r="Q211" s="195"/>
      <c r="R211" s="414">
        <f>All_Detail_v2[[#This Row],[Scheduled Date]]</f>
        <v>46120</v>
      </c>
      <c r="S211" s="414">
        <f>All_Detail_v2[[#This Row],[Install Date]]</f>
        <v>0</v>
      </c>
    </row>
    <row r="212" spans="1:19">
      <c r="A212">
        <v>208</v>
      </c>
      <c r="B212" s="687" t="s">
        <v>362</v>
      </c>
      <c r="C212" s="689" t="s">
        <v>481</v>
      </c>
      <c r="D212" s="688" t="s">
        <v>493</v>
      </c>
      <c r="E212" s="689" t="s">
        <v>370</v>
      </c>
      <c r="F212" s="689">
        <v>4</v>
      </c>
      <c r="G212" s="689"/>
      <c r="H212" s="695"/>
      <c r="I212" s="695">
        <v>46120</v>
      </c>
      <c r="J212" s="689" t="s">
        <v>365</v>
      </c>
      <c r="K212" t="str">
        <f t="shared" si="11"/>
        <v>Switch</v>
      </c>
      <c r="M212" s="412">
        <f t="shared" si="10"/>
        <v>0</v>
      </c>
      <c r="N212" s="412">
        <f t="shared" si="12"/>
        <v>0</v>
      </c>
      <c r="O212" s="412">
        <f>All_Detail_v2[[#This Row],[Qty. Success]]</f>
        <v>0</v>
      </c>
      <c r="P212" s="230">
        <f>IF(All_Detail_v2[[#This Row],[Qty]]=0,1,(M212+N212+O212)/(All_Detail_v2[[#This Row],[Qty]]*3))</f>
        <v>0</v>
      </c>
      <c r="Q212" s="195"/>
      <c r="R212" s="414">
        <f>All_Detail_v2[[#This Row],[Scheduled Date]]</f>
        <v>46120</v>
      </c>
      <c r="S212" s="414">
        <f>All_Detail_v2[[#This Row],[Install Date]]</f>
        <v>0</v>
      </c>
    </row>
    <row r="213" spans="1:19">
      <c r="A213">
        <v>209</v>
      </c>
      <c r="B213" s="687" t="s">
        <v>362</v>
      </c>
      <c r="C213" s="689" t="s">
        <v>481</v>
      </c>
      <c r="D213" s="688" t="s">
        <v>493</v>
      </c>
      <c r="E213" s="689" t="s">
        <v>375</v>
      </c>
      <c r="F213" s="689">
        <v>4</v>
      </c>
      <c r="G213" s="689"/>
      <c r="H213" s="695"/>
      <c r="I213" s="695">
        <v>46120</v>
      </c>
      <c r="J213" s="689" t="s">
        <v>365</v>
      </c>
      <c r="K213" t="str">
        <f t="shared" si="11"/>
        <v>Switch</v>
      </c>
      <c r="M213" s="412">
        <f t="shared" si="10"/>
        <v>0</v>
      </c>
      <c r="N213" s="412">
        <f t="shared" si="12"/>
        <v>0</v>
      </c>
      <c r="O213" s="412">
        <f>All_Detail_v2[[#This Row],[Qty. Success]]</f>
        <v>0</v>
      </c>
      <c r="P213" s="230">
        <f>IF(All_Detail_v2[[#This Row],[Qty]]=0,1,(M213+N213+O213)/(All_Detail_v2[[#This Row],[Qty]]*3))</f>
        <v>0</v>
      </c>
      <c r="Q213" s="195"/>
      <c r="R213" s="414">
        <f>All_Detail_v2[[#This Row],[Scheduled Date]]</f>
        <v>46120</v>
      </c>
      <c r="S213" s="414">
        <f>All_Detail_v2[[#This Row],[Install Date]]</f>
        <v>0</v>
      </c>
    </row>
    <row r="214" spans="1:19">
      <c r="A214">
        <v>210</v>
      </c>
      <c r="B214" s="687" t="s">
        <v>362</v>
      </c>
      <c r="C214" s="689" t="s">
        <v>494</v>
      </c>
      <c r="D214" s="689" t="s">
        <v>495</v>
      </c>
      <c r="E214" s="689" t="s">
        <v>370</v>
      </c>
      <c r="F214" s="689">
        <v>2</v>
      </c>
      <c r="G214" s="689">
        <v>2</v>
      </c>
      <c r="H214" s="695">
        <v>46097</v>
      </c>
      <c r="I214" s="695">
        <v>46097</v>
      </c>
      <c r="J214" s="689" t="s">
        <v>368</v>
      </c>
      <c r="K214" t="str">
        <f t="shared" si="11"/>
        <v>Switch</v>
      </c>
      <c r="M214" s="412">
        <f t="shared" si="10"/>
        <v>2</v>
      </c>
      <c r="N214" s="412">
        <f t="shared" si="12"/>
        <v>2</v>
      </c>
      <c r="O214" s="412">
        <f>All_Detail_v2[[#This Row],[Qty. Success]]</f>
        <v>2</v>
      </c>
      <c r="P214" s="230">
        <f>IF(All_Detail_v2[[#This Row],[Qty]]=0,1,(M214+N214+O214)/(All_Detail_v2[[#This Row],[Qty]]*3))</f>
        <v>1</v>
      </c>
      <c r="Q214" s="195"/>
      <c r="R214" s="414">
        <f>All_Detail_v2[[#This Row],[Scheduled Date]]</f>
        <v>46097</v>
      </c>
      <c r="S214" s="414">
        <f>All_Detail_v2[[#This Row],[Install Date]]</f>
        <v>46097</v>
      </c>
    </row>
    <row r="215" spans="1:19">
      <c r="A215">
        <v>211</v>
      </c>
      <c r="B215" s="687" t="s">
        <v>362</v>
      </c>
      <c r="C215" s="689" t="s">
        <v>494</v>
      </c>
      <c r="D215" s="689" t="s">
        <v>495</v>
      </c>
      <c r="E215" s="689" t="s">
        <v>375</v>
      </c>
      <c r="F215" s="689">
        <v>1</v>
      </c>
      <c r="G215" s="689">
        <v>1</v>
      </c>
      <c r="H215" s="695">
        <v>46097</v>
      </c>
      <c r="I215" s="695">
        <v>46097</v>
      </c>
      <c r="J215" s="689" t="s">
        <v>368</v>
      </c>
      <c r="K215" t="str">
        <f t="shared" si="11"/>
        <v>Switch</v>
      </c>
      <c r="M215" s="412">
        <f t="shared" si="10"/>
        <v>1</v>
      </c>
      <c r="N215" s="412">
        <f t="shared" si="12"/>
        <v>1</v>
      </c>
      <c r="O215" s="412">
        <f>All_Detail_v2[[#This Row],[Qty. Success]]</f>
        <v>1</v>
      </c>
      <c r="P215" s="230">
        <f>IF(All_Detail_v2[[#This Row],[Qty]]=0,1,(M215+N215+O215)/(All_Detail_v2[[#This Row],[Qty]]*3))</f>
        <v>1</v>
      </c>
      <c r="Q215" s="195"/>
      <c r="R215" s="414">
        <f>All_Detail_v2[[#This Row],[Scheduled Date]]</f>
        <v>46097</v>
      </c>
      <c r="S215" s="414">
        <f>All_Detail_v2[[#This Row],[Install Date]]</f>
        <v>46097</v>
      </c>
    </row>
    <row r="216" spans="1:19">
      <c r="A216">
        <v>212</v>
      </c>
      <c r="B216" s="687" t="s">
        <v>362</v>
      </c>
      <c r="C216" s="689" t="s">
        <v>494</v>
      </c>
      <c r="D216" s="689" t="s">
        <v>495</v>
      </c>
      <c r="E216" s="689" t="s">
        <v>410</v>
      </c>
      <c r="F216" s="689">
        <v>1</v>
      </c>
      <c r="G216" s="689">
        <v>1</v>
      </c>
      <c r="H216" s="695">
        <v>46087</v>
      </c>
      <c r="I216" s="695">
        <v>46087</v>
      </c>
      <c r="J216" s="689" t="s">
        <v>368</v>
      </c>
      <c r="K216" t="str">
        <f t="shared" si="11"/>
        <v>Switch</v>
      </c>
      <c r="M216" s="412">
        <f t="shared" si="10"/>
        <v>1</v>
      </c>
      <c r="N216" s="412">
        <f t="shared" si="12"/>
        <v>1</v>
      </c>
      <c r="O216" s="412">
        <f>All_Detail_v2[[#This Row],[Qty. Success]]</f>
        <v>1</v>
      </c>
      <c r="P216" s="230">
        <f>IF(All_Detail_v2[[#This Row],[Qty]]=0,1,(M216+N216+O216)/(All_Detail_v2[[#This Row],[Qty]]*3))</f>
        <v>1</v>
      </c>
      <c r="Q216" s="195"/>
      <c r="R216" s="414">
        <f>All_Detail_v2[[#This Row],[Scheduled Date]]</f>
        <v>46087</v>
      </c>
      <c r="S216" s="414">
        <f>All_Detail_v2[[#This Row],[Install Date]]</f>
        <v>46087</v>
      </c>
    </row>
    <row r="217" spans="1:19">
      <c r="A217">
        <v>213</v>
      </c>
      <c r="B217" s="687" t="s">
        <v>362</v>
      </c>
      <c r="C217" s="689" t="s">
        <v>494</v>
      </c>
      <c r="D217" s="689" t="s">
        <v>496</v>
      </c>
      <c r="E217" s="689" t="s">
        <v>370</v>
      </c>
      <c r="F217" s="689">
        <v>1</v>
      </c>
      <c r="G217" s="689">
        <v>1</v>
      </c>
      <c r="H217" s="695">
        <v>46097</v>
      </c>
      <c r="I217" s="695">
        <v>46097</v>
      </c>
      <c r="J217" s="689" t="s">
        <v>368</v>
      </c>
      <c r="K217" t="str">
        <f t="shared" si="11"/>
        <v>Switch</v>
      </c>
      <c r="M217" s="412">
        <f t="shared" si="10"/>
        <v>1</v>
      </c>
      <c r="N217" s="412">
        <f t="shared" si="12"/>
        <v>1</v>
      </c>
      <c r="O217" s="412">
        <f>All_Detail_v2[[#This Row],[Qty. Success]]</f>
        <v>1</v>
      </c>
      <c r="P217" s="230">
        <f>IF(All_Detail_v2[[#This Row],[Qty]]=0,1,(M217+N217+O217)/(All_Detail_v2[[#This Row],[Qty]]*3))</f>
        <v>1</v>
      </c>
      <c r="Q217" s="195"/>
      <c r="R217" s="414">
        <f>All_Detail_v2[[#This Row],[Scheduled Date]]</f>
        <v>46097</v>
      </c>
      <c r="S217" s="414">
        <f>All_Detail_v2[[#This Row],[Install Date]]</f>
        <v>46097</v>
      </c>
    </row>
    <row r="218" spans="1:19">
      <c r="A218">
        <v>214</v>
      </c>
      <c r="B218" s="687" t="s">
        <v>362</v>
      </c>
      <c r="C218" s="689" t="s">
        <v>494</v>
      </c>
      <c r="D218" s="689" t="s">
        <v>496</v>
      </c>
      <c r="E218" s="689" t="s">
        <v>375</v>
      </c>
      <c r="F218" s="689">
        <v>1</v>
      </c>
      <c r="G218" s="689">
        <v>1</v>
      </c>
      <c r="H218" s="695">
        <v>46097</v>
      </c>
      <c r="I218" s="695">
        <v>46097</v>
      </c>
      <c r="J218" s="689" t="s">
        <v>368</v>
      </c>
      <c r="K218" t="str">
        <f t="shared" si="11"/>
        <v>Switch</v>
      </c>
      <c r="M218" s="412">
        <f t="shared" si="10"/>
        <v>1</v>
      </c>
      <c r="N218" s="412">
        <f t="shared" si="12"/>
        <v>1</v>
      </c>
      <c r="O218" s="412">
        <f>All_Detail_v2[[#This Row],[Qty. Success]]</f>
        <v>1</v>
      </c>
      <c r="P218" s="230">
        <f>IF(All_Detail_v2[[#This Row],[Qty]]=0,1,(M218+N218+O218)/(All_Detail_v2[[#This Row],[Qty]]*3))</f>
        <v>1</v>
      </c>
      <c r="Q218" s="195"/>
      <c r="R218" s="414">
        <f>All_Detail_v2[[#This Row],[Scheduled Date]]</f>
        <v>46097</v>
      </c>
      <c r="S218" s="414">
        <f>All_Detail_v2[[#This Row],[Install Date]]</f>
        <v>46097</v>
      </c>
    </row>
    <row r="219" spans="1:19">
      <c r="A219">
        <v>215</v>
      </c>
      <c r="B219" s="687" t="s">
        <v>362</v>
      </c>
      <c r="C219" s="689" t="s">
        <v>494</v>
      </c>
      <c r="D219" s="689" t="s">
        <v>496</v>
      </c>
      <c r="E219" s="689" t="s">
        <v>410</v>
      </c>
      <c r="F219" s="689">
        <v>1</v>
      </c>
      <c r="G219" s="689">
        <v>1</v>
      </c>
      <c r="H219" s="695">
        <v>46087</v>
      </c>
      <c r="I219" s="695">
        <v>46087</v>
      </c>
      <c r="J219" s="689" t="s">
        <v>368</v>
      </c>
      <c r="K219" t="str">
        <f t="shared" si="11"/>
        <v>Switch</v>
      </c>
      <c r="M219" s="412">
        <f t="shared" si="10"/>
        <v>1</v>
      </c>
      <c r="N219" s="412">
        <f t="shared" si="12"/>
        <v>1</v>
      </c>
      <c r="O219" s="412">
        <f>All_Detail_v2[[#This Row],[Qty. Success]]</f>
        <v>1</v>
      </c>
      <c r="P219" s="230">
        <f>IF(All_Detail_v2[[#This Row],[Qty]]=0,1,(M219+N219+O219)/(All_Detail_v2[[#This Row],[Qty]]*3))</f>
        <v>1</v>
      </c>
      <c r="Q219" s="195"/>
      <c r="R219" s="414">
        <f>All_Detail_v2[[#This Row],[Scheduled Date]]</f>
        <v>46087</v>
      </c>
      <c r="S219" s="414">
        <f>All_Detail_v2[[#This Row],[Install Date]]</f>
        <v>46087</v>
      </c>
    </row>
    <row r="220" spans="1:19">
      <c r="A220">
        <v>216</v>
      </c>
      <c r="B220" s="687" t="s">
        <v>362</v>
      </c>
      <c r="C220" s="689" t="s">
        <v>494</v>
      </c>
      <c r="D220" s="689" t="s">
        <v>497</v>
      </c>
      <c r="E220" s="689" t="s">
        <v>370</v>
      </c>
      <c r="F220" s="689">
        <v>2</v>
      </c>
      <c r="G220" s="689">
        <v>2</v>
      </c>
      <c r="H220" s="695">
        <v>46099</v>
      </c>
      <c r="I220" s="695">
        <v>46099</v>
      </c>
      <c r="J220" s="689" t="s">
        <v>368</v>
      </c>
      <c r="K220" t="str">
        <f t="shared" si="11"/>
        <v>Switch</v>
      </c>
      <c r="M220" s="412">
        <f t="shared" si="10"/>
        <v>2</v>
      </c>
      <c r="N220" s="412">
        <f t="shared" si="12"/>
        <v>2</v>
      </c>
      <c r="O220" s="412">
        <f>All_Detail_v2[[#This Row],[Qty. Success]]</f>
        <v>2</v>
      </c>
      <c r="P220" s="230">
        <f>IF(All_Detail_v2[[#This Row],[Qty]]=0,1,(M220+N220+O220)/(All_Detail_v2[[#This Row],[Qty]]*3))</f>
        <v>1</v>
      </c>
      <c r="Q220" s="195"/>
      <c r="R220" s="414">
        <f>All_Detail_v2[[#This Row],[Scheduled Date]]</f>
        <v>46099</v>
      </c>
      <c r="S220" s="414">
        <f>All_Detail_v2[[#This Row],[Install Date]]</f>
        <v>46099</v>
      </c>
    </row>
    <row r="221" spans="1:19">
      <c r="A221">
        <v>217</v>
      </c>
      <c r="B221" s="687" t="s">
        <v>362</v>
      </c>
      <c r="C221" s="689" t="s">
        <v>494</v>
      </c>
      <c r="D221" s="689" t="s">
        <v>497</v>
      </c>
      <c r="E221" s="689" t="s">
        <v>375</v>
      </c>
      <c r="F221" s="689">
        <v>1</v>
      </c>
      <c r="G221" s="689">
        <v>1</v>
      </c>
      <c r="H221" s="695">
        <v>46099</v>
      </c>
      <c r="I221" s="695">
        <v>46099</v>
      </c>
      <c r="J221" s="689" t="s">
        <v>368</v>
      </c>
      <c r="K221" t="str">
        <f t="shared" si="11"/>
        <v>Switch</v>
      </c>
      <c r="M221" s="412">
        <f t="shared" si="10"/>
        <v>1</v>
      </c>
      <c r="N221" s="412">
        <f t="shared" si="12"/>
        <v>1</v>
      </c>
      <c r="O221" s="412">
        <f>All_Detail_v2[[#This Row],[Qty. Success]]</f>
        <v>1</v>
      </c>
      <c r="P221" s="230">
        <f>IF(All_Detail_v2[[#This Row],[Qty]]=0,1,(M221+N221+O221)/(All_Detail_v2[[#This Row],[Qty]]*3))</f>
        <v>1</v>
      </c>
      <c r="Q221" s="195"/>
      <c r="R221" s="414">
        <f>All_Detail_v2[[#This Row],[Scheduled Date]]</f>
        <v>46099</v>
      </c>
      <c r="S221" s="414">
        <f>All_Detail_v2[[#This Row],[Install Date]]</f>
        <v>46099</v>
      </c>
    </row>
    <row r="222" spans="1:19">
      <c r="A222">
        <v>218</v>
      </c>
      <c r="B222" s="687" t="s">
        <v>362</v>
      </c>
      <c r="C222" s="689" t="s">
        <v>494</v>
      </c>
      <c r="D222" s="689" t="s">
        <v>497</v>
      </c>
      <c r="E222" s="689" t="s">
        <v>410</v>
      </c>
      <c r="F222" s="689">
        <v>1</v>
      </c>
      <c r="G222" s="689">
        <v>1</v>
      </c>
      <c r="H222" s="695">
        <v>46087</v>
      </c>
      <c r="I222" s="695">
        <v>46087</v>
      </c>
      <c r="J222" s="689" t="s">
        <v>368</v>
      </c>
      <c r="K222" t="str">
        <f t="shared" si="11"/>
        <v>Switch</v>
      </c>
      <c r="M222" s="412">
        <f t="shared" si="10"/>
        <v>1</v>
      </c>
      <c r="N222" s="412">
        <f t="shared" si="12"/>
        <v>1</v>
      </c>
      <c r="O222" s="412">
        <f>All_Detail_v2[[#This Row],[Qty. Success]]</f>
        <v>1</v>
      </c>
      <c r="P222" s="230">
        <f>IF(All_Detail_v2[[#This Row],[Qty]]=0,1,(M222+N222+O222)/(All_Detail_v2[[#This Row],[Qty]]*3))</f>
        <v>1</v>
      </c>
      <c r="Q222" s="195"/>
      <c r="R222" s="414">
        <f>All_Detail_v2[[#This Row],[Scheduled Date]]</f>
        <v>46087</v>
      </c>
      <c r="S222" s="414">
        <f>All_Detail_v2[[#This Row],[Install Date]]</f>
        <v>46087</v>
      </c>
    </row>
    <row r="223" spans="1:19">
      <c r="A223">
        <v>219</v>
      </c>
      <c r="B223" s="687" t="s">
        <v>362</v>
      </c>
      <c r="C223" s="689" t="s">
        <v>494</v>
      </c>
      <c r="D223" s="689" t="s">
        <v>498</v>
      </c>
      <c r="E223" s="689" t="s">
        <v>370</v>
      </c>
      <c r="F223" s="689">
        <v>1</v>
      </c>
      <c r="G223" s="689">
        <v>1</v>
      </c>
      <c r="H223" s="695">
        <v>46097</v>
      </c>
      <c r="I223" s="695">
        <v>46097</v>
      </c>
      <c r="J223" s="689" t="s">
        <v>368</v>
      </c>
      <c r="K223" t="str">
        <f t="shared" si="11"/>
        <v>Switch</v>
      </c>
      <c r="M223" s="412">
        <f t="shared" si="10"/>
        <v>1</v>
      </c>
      <c r="N223" s="412">
        <f t="shared" si="12"/>
        <v>1</v>
      </c>
      <c r="O223" s="412">
        <f>All_Detail_v2[[#This Row],[Qty. Success]]</f>
        <v>1</v>
      </c>
      <c r="P223" s="230">
        <f>IF(All_Detail_v2[[#This Row],[Qty]]=0,1,(M223+N223+O223)/(All_Detail_v2[[#This Row],[Qty]]*3))</f>
        <v>1</v>
      </c>
      <c r="Q223" s="195"/>
      <c r="R223" s="414">
        <f>All_Detail_v2[[#This Row],[Scheduled Date]]</f>
        <v>46097</v>
      </c>
      <c r="S223" s="414">
        <f>All_Detail_v2[[#This Row],[Install Date]]</f>
        <v>46097</v>
      </c>
    </row>
    <row r="224" spans="1:19">
      <c r="A224">
        <v>220</v>
      </c>
      <c r="B224" s="687" t="s">
        <v>362</v>
      </c>
      <c r="C224" s="689" t="s">
        <v>494</v>
      </c>
      <c r="D224" s="689" t="s">
        <v>498</v>
      </c>
      <c r="E224" s="689" t="s">
        <v>375</v>
      </c>
      <c r="F224" s="689">
        <v>1</v>
      </c>
      <c r="G224" s="689">
        <v>1</v>
      </c>
      <c r="H224" s="695">
        <v>46097</v>
      </c>
      <c r="I224" s="695">
        <v>46097</v>
      </c>
      <c r="J224" s="689" t="s">
        <v>368</v>
      </c>
      <c r="K224" t="str">
        <f t="shared" si="11"/>
        <v>Switch</v>
      </c>
      <c r="M224" s="412">
        <f t="shared" si="10"/>
        <v>1</v>
      </c>
      <c r="N224" s="412">
        <f t="shared" si="12"/>
        <v>1</v>
      </c>
      <c r="O224" s="412">
        <f>All_Detail_v2[[#This Row],[Qty. Success]]</f>
        <v>1</v>
      </c>
      <c r="P224" s="230">
        <f>IF(All_Detail_v2[[#This Row],[Qty]]=0,1,(M224+N224+O224)/(All_Detail_v2[[#This Row],[Qty]]*3))</f>
        <v>1</v>
      </c>
      <c r="Q224" s="195"/>
      <c r="R224" s="414">
        <f>All_Detail_v2[[#This Row],[Scheduled Date]]</f>
        <v>46097</v>
      </c>
      <c r="S224" s="414">
        <f>All_Detail_v2[[#This Row],[Install Date]]</f>
        <v>46097</v>
      </c>
    </row>
    <row r="225" spans="1:19">
      <c r="A225">
        <v>221</v>
      </c>
      <c r="B225" s="687" t="s">
        <v>362</v>
      </c>
      <c r="C225" s="689" t="s">
        <v>494</v>
      </c>
      <c r="D225" s="689" t="s">
        <v>498</v>
      </c>
      <c r="E225" s="689" t="s">
        <v>410</v>
      </c>
      <c r="F225" s="689">
        <v>1</v>
      </c>
      <c r="G225" s="689">
        <v>1</v>
      </c>
      <c r="H225" s="695">
        <v>46087</v>
      </c>
      <c r="I225" s="695">
        <v>46087</v>
      </c>
      <c r="J225" s="689" t="s">
        <v>368</v>
      </c>
      <c r="K225" t="str">
        <f t="shared" si="11"/>
        <v>Switch</v>
      </c>
      <c r="M225" s="412">
        <f t="shared" si="10"/>
        <v>1</v>
      </c>
      <c r="N225" s="412">
        <f t="shared" si="12"/>
        <v>1</v>
      </c>
      <c r="O225" s="412">
        <f>All_Detail_v2[[#This Row],[Qty. Success]]</f>
        <v>1</v>
      </c>
      <c r="P225" s="230">
        <f>IF(All_Detail_v2[[#This Row],[Qty]]=0,1,(M225+N225+O225)/(All_Detail_v2[[#This Row],[Qty]]*3))</f>
        <v>1</v>
      </c>
      <c r="Q225" s="195"/>
      <c r="R225" s="414">
        <f>All_Detail_v2[[#This Row],[Scheduled Date]]</f>
        <v>46087</v>
      </c>
      <c r="S225" s="414">
        <f>All_Detail_v2[[#This Row],[Install Date]]</f>
        <v>46087</v>
      </c>
    </row>
    <row r="226" spans="1:19">
      <c r="A226">
        <v>222</v>
      </c>
      <c r="B226" s="687" t="s">
        <v>362</v>
      </c>
      <c r="C226" s="689" t="s">
        <v>494</v>
      </c>
      <c r="D226" s="689" t="s">
        <v>499</v>
      </c>
      <c r="E226" s="689" t="s">
        <v>370</v>
      </c>
      <c r="F226" s="689">
        <v>1</v>
      </c>
      <c r="G226" s="689">
        <v>1</v>
      </c>
      <c r="H226" s="695">
        <v>46097</v>
      </c>
      <c r="I226" s="695">
        <v>46097</v>
      </c>
      <c r="J226" s="689" t="s">
        <v>368</v>
      </c>
      <c r="K226" t="str">
        <f t="shared" si="11"/>
        <v>Switch</v>
      </c>
      <c r="M226" s="412">
        <f t="shared" si="10"/>
        <v>1</v>
      </c>
      <c r="N226" s="412">
        <f t="shared" si="12"/>
        <v>1</v>
      </c>
      <c r="O226" s="412">
        <f>All_Detail_v2[[#This Row],[Qty. Success]]</f>
        <v>1</v>
      </c>
      <c r="P226" s="230">
        <f>IF(All_Detail_v2[[#This Row],[Qty]]=0,1,(M226+N226+O226)/(All_Detail_v2[[#This Row],[Qty]]*3))</f>
        <v>1</v>
      </c>
      <c r="Q226" s="195"/>
      <c r="R226" s="414">
        <f>All_Detail_v2[[#This Row],[Scheduled Date]]</f>
        <v>46097</v>
      </c>
      <c r="S226" s="414">
        <f>All_Detail_v2[[#This Row],[Install Date]]</f>
        <v>46097</v>
      </c>
    </row>
    <row r="227" spans="1:19">
      <c r="A227">
        <v>223</v>
      </c>
      <c r="B227" s="687" t="s">
        <v>362</v>
      </c>
      <c r="C227" s="689" t="s">
        <v>494</v>
      </c>
      <c r="D227" s="689" t="s">
        <v>499</v>
      </c>
      <c r="E227" s="689" t="s">
        <v>375</v>
      </c>
      <c r="F227" s="689">
        <v>2</v>
      </c>
      <c r="G227" s="689">
        <v>2</v>
      </c>
      <c r="H227" s="695">
        <v>46097</v>
      </c>
      <c r="I227" s="695">
        <v>46097</v>
      </c>
      <c r="J227" s="689" t="s">
        <v>368</v>
      </c>
      <c r="K227" t="str">
        <f t="shared" si="11"/>
        <v>Switch</v>
      </c>
      <c r="M227" s="412">
        <f t="shared" si="10"/>
        <v>2</v>
      </c>
      <c r="N227" s="412">
        <f t="shared" si="12"/>
        <v>2</v>
      </c>
      <c r="O227" s="412">
        <f>All_Detail_v2[[#This Row],[Qty. Success]]</f>
        <v>2</v>
      </c>
      <c r="P227" s="230">
        <f>IF(All_Detail_v2[[#This Row],[Qty]]=0,1,(M227+N227+O227)/(All_Detail_v2[[#This Row],[Qty]]*3))</f>
        <v>1</v>
      </c>
      <c r="Q227" s="195"/>
      <c r="R227" s="414">
        <f>All_Detail_v2[[#This Row],[Scheduled Date]]</f>
        <v>46097</v>
      </c>
      <c r="S227" s="414">
        <f>All_Detail_v2[[#This Row],[Install Date]]</f>
        <v>46097</v>
      </c>
    </row>
    <row r="228" spans="1:19">
      <c r="A228">
        <v>224</v>
      </c>
      <c r="B228" s="687" t="s">
        <v>362</v>
      </c>
      <c r="C228" s="689" t="s">
        <v>494</v>
      </c>
      <c r="D228" s="689" t="s">
        <v>499</v>
      </c>
      <c r="E228" s="689" t="s">
        <v>410</v>
      </c>
      <c r="F228" s="689">
        <v>1</v>
      </c>
      <c r="G228" s="689">
        <v>1</v>
      </c>
      <c r="H228" s="695">
        <v>46087</v>
      </c>
      <c r="I228" s="695">
        <v>46087</v>
      </c>
      <c r="J228" s="689" t="s">
        <v>368</v>
      </c>
      <c r="K228" t="str">
        <f t="shared" si="11"/>
        <v>Switch</v>
      </c>
      <c r="M228" s="412">
        <f t="shared" si="10"/>
        <v>1</v>
      </c>
      <c r="N228" s="412">
        <f t="shared" si="12"/>
        <v>1</v>
      </c>
      <c r="O228" s="412">
        <f>All_Detail_v2[[#This Row],[Qty. Success]]</f>
        <v>1</v>
      </c>
      <c r="P228" s="230">
        <f>IF(All_Detail_v2[[#This Row],[Qty]]=0,1,(M228+N228+O228)/(All_Detail_v2[[#This Row],[Qty]]*3))</f>
        <v>1</v>
      </c>
      <c r="Q228" s="195"/>
      <c r="R228" s="414">
        <f>All_Detail_v2[[#This Row],[Scheduled Date]]</f>
        <v>46087</v>
      </c>
      <c r="S228" s="414">
        <f>All_Detail_v2[[#This Row],[Install Date]]</f>
        <v>46087</v>
      </c>
    </row>
    <row r="229" spans="1:19">
      <c r="A229">
        <v>225</v>
      </c>
      <c r="B229" s="687" t="s">
        <v>362</v>
      </c>
      <c r="C229" s="689" t="s">
        <v>494</v>
      </c>
      <c r="D229" s="689" t="s">
        <v>500</v>
      </c>
      <c r="E229" s="689" t="s">
        <v>370</v>
      </c>
      <c r="F229" s="689">
        <v>1</v>
      </c>
      <c r="G229" s="689">
        <v>1</v>
      </c>
      <c r="H229" s="695">
        <v>46070</v>
      </c>
      <c r="I229" s="695">
        <v>46070</v>
      </c>
      <c r="J229" s="689" t="s">
        <v>368</v>
      </c>
      <c r="K229" t="str">
        <f t="shared" si="11"/>
        <v>Switch</v>
      </c>
      <c r="M229" s="412">
        <f t="shared" si="10"/>
        <v>1</v>
      </c>
      <c r="N229" s="412">
        <f t="shared" si="12"/>
        <v>1</v>
      </c>
      <c r="O229" s="412">
        <f>All_Detail_v2[[#This Row],[Qty. Success]]</f>
        <v>1</v>
      </c>
      <c r="P229" s="230">
        <f>IF(All_Detail_v2[[#This Row],[Qty]]=0,1,(M229+N229+O229)/(All_Detail_v2[[#This Row],[Qty]]*3))</f>
        <v>1</v>
      </c>
      <c r="Q229" s="195"/>
      <c r="R229" s="414">
        <f>All_Detail_v2[[#This Row],[Scheduled Date]]</f>
        <v>46070</v>
      </c>
      <c r="S229" s="414">
        <f>All_Detail_v2[[#This Row],[Install Date]]</f>
        <v>46070</v>
      </c>
    </row>
    <row r="230" spans="1:19">
      <c r="A230">
        <v>226</v>
      </c>
      <c r="B230" s="687" t="s">
        <v>362</v>
      </c>
      <c r="C230" s="689" t="s">
        <v>494</v>
      </c>
      <c r="D230" s="689" t="s">
        <v>500</v>
      </c>
      <c r="E230" s="689" t="s">
        <v>375</v>
      </c>
      <c r="F230" s="689">
        <v>1</v>
      </c>
      <c r="G230" s="689">
        <v>1</v>
      </c>
      <c r="H230" s="695">
        <v>46070</v>
      </c>
      <c r="I230" s="695">
        <v>46070</v>
      </c>
      <c r="J230" s="689" t="s">
        <v>368</v>
      </c>
      <c r="K230" t="str">
        <f t="shared" si="11"/>
        <v>Switch</v>
      </c>
      <c r="M230" s="412">
        <f t="shared" si="10"/>
        <v>1</v>
      </c>
      <c r="N230" s="412">
        <f t="shared" si="12"/>
        <v>1</v>
      </c>
      <c r="O230" s="412">
        <f>All_Detail_v2[[#This Row],[Qty. Success]]</f>
        <v>1</v>
      </c>
      <c r="P230" s="230">
        <f>IF(All_Detail_v2[[#This Row],[Qty]]=0,1,(M230+N230+O230)/(All_Detail_v2[[#This Row],[Qty]]*3))</f>
        <v>1</v>
      </c>
      <c r="Q230" s="195"/>
      <c r="R230" s="414">
        <f>All_Detail_v2[[#This Row],[Scheduled Date]]</f>
        <v>46070</v>
      </c>
      <c r="S230" s="414">
        <f>All_Detail_v2[[#This Row],[Install Date]]</f>
        <v>46070</v>
      </c>
    </row>
    <row r="231" spans="1:19">
      <c r="A231">
        <v>227</v>
      </c>
      <c r="B231" s="687" t="s">
        <v>362</v>
      </c>
      <c r="C231" s="689" t="s">
        <v>494</v>
      </c>
      <c r="D231" s="689" t="s">
        <v>501</v>
      </c>
      <c r="E231" s="689" t="s">
        <v>370</v>
      </c>
      <c r="F231" s="689">
        <v>1</v>
      </c>
      <c r="G231" s="689"/>
      <c r="H231" s="695"/>
      <c r="I231" s="695">
        <v>46132</v>
      </c>
      <c r="J231" s="689" t="s">
        <v>365</v>
      </c>
      <c r="K231" t="str">
        <f t="shared" si="11"/>
        <v>Switch</v>
      </c>
      <c r="M231" s="412">
        <f t="shared" si="10"/>
        <v>0</v>
      </c>
      <c r="N231" s="412">
        <f t="shared" si="12"/>
        <v>0</v>
      </c>
      <c r="O231" s="412">
        <f>All_Detail_v2[[#This Row],[Qty. Success]]</f>
        <v>0</v>
      </c>
      <c r="P231" s="230">
        <f>IF(All_Detail_v2[[#This Row],[Qty]]=0,1,(M231+N231+O231)/(All_Detail_v2[[#This Row],[Qty]]*3))</f>
        <v>0</v>
      </c>
      <c r="Q231" s="195"/>
      <c r="R231" s="414">
        <f>All_Detail_v2[[#This Row],[Scheduled Date]]</f>
        <v>46132</v>
      </c>
      <c r="S231" s="414">
        <f>All_Detail_v2[[#This Row],[Install Date]]</f>
        <v>0</v>
      </c>
    </row>
    <row r="232" spans="1:19">
      <c r="A232">
        <v>228</v>
      </c>
      <c r="B232" s="687" t="s">
        <v>362</v>
      </c>
      <c r="C232" s="689" t="s">
        <v>494</v>
      </c>
      <c r="D232" s="689" t="s">
        <v>501</v>
      </c>
      <c r="E232" s="689" t="s">
        <v>375</v>
      </c>
      <c r="F232" s="689">
        <v>1</v>
      </c>
      <c r="G232" s="689"/>
      <c r="H232" s="695"/>
      <c r="I232" s="695">
        <v>46132</v>
      </c>
      <c r="J232" s="689" t="s">
        <v>365</v>
      </c>
      <c r="K232" t="str">
        <f t="shared" si="11"/>
        <v>Switch</v>
      </c>
      <c r="M232" s="412">
        <f t="shared" si="10"/>
        <v>0</v>
      </c>
      <c r="N232" s="412">
        <f t="shared" si="12"/>
        <v>0</v>
      </c>
      <c r="O232" s="412">
        <f>All_Detail_v2[[#This Row],[Qty. Success]]</f>
        <v>0</v>
      </c>
      <c r="P232" s="230">
        <f>IF(All_Detail_v2[[#This Row],[Qty]]=0,1,(M232+N232+O232)/(All_Detail_v2[[#This Row],[Qty]]*3))</f>
        <v>0</v>
      </c>
      <c r="Q232" s="195"/>
      <c r="R232" s="414">
        <f>All_Detail_v2[[#This Row],[Scheduled Date]]</f>
        <v>46132</v>
      </c>
      <c r="S232" s="414">
        <f>All_Detail_v2[[#This Row],[Install Date]]</f>
        <v>0</v>
      </c>
    </row>
    <row r="233" spans="1:19">
      <c r="A233">
        <v>229</v>
      </c>
      <c r="B233" s="687" t="s">
        <v>362</v>
      </c>
      <c r="C233" s="689" t="s">
        <v>494</v>
      </c>
      <c r="D233" s="689" t="s">
        <v>502</v>
      </c>
      <c r="E233" s="689" t="s">
        <v>370</v>
      </c>
      <c r="F233" s="689">
        <v>1</v>
      </c>
      <c r="G233" s="689">
        <v>1</v>
      </c>
      <c r="H233" s="695">
        <v>46100</v>
      </c>
      <c r="I233" s="695">
        <v>46100</v>
      </c>
      <c r="J233" s="689" t="s">
        <v>368</v>
      </c>
      <c r="K233" t="str">
        <f t="shared" si="11"/>
        <v>Switch</v>
      </c>
      <c r="M233" s="412">
        <f t="shared" si="10"/>
        <v>1</v>
      </c>
      <c r="N233" s="412">
        <f t="shared" si="12"/>
        <v>1</v>
      </c>
      <c r="O233" s="412">
        <f>All_Detail_v2[[#This Row],[Qty. Success]]</f>
        <v>1</v>
      </c>
      <c r="P233" s="230">
        <f>IF(All_Detail_v2[[#This Row],[Qty]]=0,1,(M233+N233+O233)/(All_Detail_v2[[#This Row],[Qty]]*3))</f>
        <v>1</v>
      </c>
      <c r="Q233" s="195"/>
      <c r="R233" s="414">
        <f>All_Detail_v2[[#This Row],[Scheduled Date]]</f>
        <v>46100</v>
      </c>
      <c r="S233" s="414">
        <f>All_Detail_v2[[#This Row],[Install Date]]</f>
        <v>46100</v>
      </c>
    </row>
    <row r="234" spans="1:19">
      <c r="A234">
        <v>230</v>
      </c>
      <c r="B234" s="687" t="s">
        <v>362</v>
      </c>
      <c r="C234" s="689" t="s">
        <v>494</v>
      </c>
      <c r="D234" s="689" t="s">
        <v>502</v>
      </c>
      <c r="E234" s="689" t="s">
        <v>375</v>
      </c>
      <c r="F234" s="689">
        <v>1</v>
      </c>
      <c r="G234" s="689">
        <v>1</v>
      </c>
      <c r="H234" s="695">
        <v>46100</v>
      </c>
      <c r="I234" s="695">
        <v>46100</v>
      </c>
      <c r="J234" s="689" t="s">
        <v>368</v>
      </c>
      <c r="K234" t="str">
        <f t="shared" si="11"/>
        <v>Switch</v>
      </c>
      <c r="M234" s="412">
        <f t="shared" si="10"/>
        <v>1</v>
      </c>
      <c r="N234" s="412">
        <f t="shared" si="12"/>
        <v>1</v>
      </c>
      <c r="O234" s="412">
        <f>All_Detail_v2[[#This Row],[Qty. Success]]</f>
        <v>1</v>
      </c>
      <c r="P234" s="230">
        <f>IF(All_Detail_v2[[#This Row],[Qty]]=0,1,(M234+N234+O234)/(All_Detail_v2[[#This Row],[Qty]]*3))</f>
        <v>1</v>
      </c>
      <c r="Q234" s="195"/>
      <c r="R234" s="414">
        <f>All_Detail_v2[[#This Row],[Scheduled Date]]</f>
        <v>46100</v>
      </c>
      <c r="S234" s="414">
        <f>All_Detail_v2[[#This Row],[Install Date]]</f>
        <v>46100</v>
      </c>
    </row>
    <row r="235" spans="1:19">
      <c r="A235">
        <v>231</v>
      </c>
      <c r="B235" s="687" t="s">
        <v>362</v>
      </c>
      <c r="C235" s="689" t="s">
        <v>494</v>
      </c>
      <c r="D235" s="689" t="s">
        <v>503</v>
      </c>
      <c r="E235" s="689" t="s">
        <v>370</v>
      </c>
      <c r="F235" s="689">
        <v>1</v>
      </c>
      <c r="G235" s="689">
        <v>1</v>
      </c>
      <c r="H235" s="695">
        <v>46100</v>
      </c>
      <c r="I235" s="695">
        <v>46100</v>
      </c>
      <c r="J235" s="689" t="s">
        <v>368</v>
      </c>
      <c r="K235" t="str">
        <f t="shared" si="11"/>
        <v>Switch</v>
      </c>
      <c r="M235" s="412">
        <f t="shared" si="10"/>
        <v>1</v>
      </c>
      <c r="N235" s="412">
        <f t="shared" si="12"/>
        <v>1</v>
      </c>
      <c r="O235" s="412">
        <f>All_Detail_v2[[#This Row],[Qty. Success]]</f>
        <v>1</v>
      </c>
      <c r="P235" s="230">
        <f>IF(All_Detail_v2[[#This Row],[Qty]]=0,1,(M235+N235+O235)/(All_Detail_v2[[#This Row],[Qty]]*3))</f>
        <v>1</v>
      </c>
      <c r="Q235" s="195"/>
      <c r="R235" s="414">
        <f>All_Detail_v2[[#This Row],[Scheduled Date]]</f>
        <v>46100</v>
      </c>
      <c r="S235" s="414">
        <f>All_Detail_v2[[#This Row],[Install Date]]</f>
        <v>46100</v>
      </c>
    </row>
    <row r="236" spans="1:19">
      <c r="A236">
        <v>232</v>
      </c>
      <c r="B236" s="687" t="s">
        <v>362</v>
      </c>
      <c r="C236" s="689" t="s">
        <v>494</v>
      </c>
      <c r="D236" s="689" t="s">
        <v>503</v>
      </c>
      <c r="E236" s="689" t="s">
        <v>375</v>
      </c>
      <c r="F236" s="689">
        <v>1</v>
      </c>
      <c r="G236" s="689">
        <v>1</v>
      </c>
      <c r="H236" s="695">
        <v>46100</v>
      </c>
      <c r="I236" s="695">
        <v>46100</v>
      </c>
      <c r="J236" s="689" t="s">
        <v>368</v>
      </c>
      <c r="K236" t="str">
        <f t="shared" si="11"/>
        <v>Switch</v>
      </c>
      <c r="M236" s="412">
        <f t="shared" si="10"/>
        <v>1</v>
      </c>
      <c r="N236" s="412">
        <f t="shared" si="12"/>
        <v>1</v>
      </c>
      <c r="O236" s="412">
        <f>All_Detail_v2[[#This Row],[Qty. Success]]</f>
        <v>1</v>
      </c>
      <c r="P236" s="230">
        <f>IF(All_Detail_v2[[#This Row],[Qty]]=0,1,(M236+N236+O236)/(All_Detail_v2[[#This Row],[Qty]]*3))</f>
        <v>1</v>
      </c>
      <c r="Q236" s="195"/>
      <c r="R236" s="414">
        <f>All_Detail_v2[[#This Row],[Scheduled Date]]</f>
        <v>46100</v>
      </c>
      <c r="S236" s="414">
        <f>All_Detail_v2[[#This Row],[Install Date]]</f>
        <v>46100</v>
      </c>
    </row>
    <row r="237" spans="1:19">
      <c r="A237">
        <v>233</v>
      </c>
      <c r="B237" s="687" t="s">
        <v>362</v>
      </c>
      <c r="C237" s="689" t="s">
        <v>494</v>
      </c>
      <c r="D237" s="689" t="s">
        <v>504</v>
      </c>
      <c r="E237" s="689" t="s">
        <v>370</v>
      </c>
      <c r="F237" s="689">
        <v>1</v>
      </c>
      <c r="G237" s="689">
        <v>1</v>
      </c>
      <c r="H237" s="695">
        <v>46101</v>
      </c>
      <c r="I237" s="695">
        <v>46133</v>
      </c>
      <c r="J237" s="689" t="s">
        <v>365</v>
      </c>
      <c r="K237" t="str">
        <f t="shared" si="11"/>
        <v>Switch</v>
      </c>
      <c r="M237" s="412">
        <f t="shared" si="10"/>
        <v>1</v>
      </c>
      <c r="N237" s="412">
        <f t="shared" si="12"/>
        <v>1</v>
      </c>
      <c r="O237" s="412">
        <f>All_Detail_v2[[#This Row],[Qty. Success]]</f>
        <v>1</v>
      </c>
      <c r="P237" s="230">
        <f>IF(All_Detail_v2[[#This Row],[Qty]]=0,1,(M237+N237+O237)/(All_Detail_v2[[#This Row],[Qty]]*3))</f>
        <v>1</v>
      </c>
      <c r="Q237" s="195"/>
      <c r="R237" s="414">
        <f>All_Detail_v2[[#This Row],[Scheduled Date]]</f>
        <v>46133</v>
      </c>
      <c r="S237" s="414">
        <f>All_Detail_v2[[#This Row],[Install Date]]</f>
        <v>46101</v>
      </c>
    </row>
    <row r="238" spans="1:19">
      <c r="A238">
        <v>234</v>
      </c>
      <c r="B238" s="687" t="s">
        <v>362</v>
      </c>
      <c r="C238" s="689" t="s">
        <v>494</v>
      </c>
      <c r="D238" s="689" t="s">
        <v>504</v>
      </c>
      <c r="E238" s="689" t="s">
        <v>375</v>
      </c>
      <c r="F238" s="689">
        <v>1</v>
      </c>
      <c r="G238" s="689">
        <v>1</v>
      </c>
      <c r="H238" s="695">
        <v>46101</v>
      </c>
      <c r="I238" s="695">
        <v>46133</v>
      </c>
      <c r="J238" s="689" t="s">
        <v>365</v>
      </c>
      <c r="K238" t="str">
        <f t="shared" si="11"/>
        <v>Switch</v>
      </c>
      <c r="M238" s="412">
        <f t="shared" si="10"/>
        <v>1</v>
      </c>
      <c r="N238" s="412">
        <f t="shared" si="12"/>
        <v>1</v>
      </c>
      <c r="O238" s="412">
        <f>All_Detail_v2[[#This Row],[Qty. Success]]</f>
        <v>1</v>
      </c>
      <c r="P238" s="230">
        <f>IF(All_Detail_v2[[#This Row],[Qty]]=0,1,(M238+N238+O238)/(All_Detail_v2[[#This Row],[Qty]]*3))</f>
        <v>1</v>
      </c>
      <c r="Q238" s="195"/>
      <c r="R238" s="414">
        <f>All_Detail_v2[[#This Row],[Scheduled Date]]</f>
        <v>46133</v>
      </c>
      <c r="S238" s="414">
        <f>All_Detail_v2[[#This Row],[Install Date]]</f>
        <v>46101</v>
      </c>
    </row>
    <row r="239" spans="1:19">
      <c r="A239">
        <v>235</v>
      </c>
      <c r="B239" s="687" t="s">
        <v>362</v>
      </c>
      <c r="C239" s="689" t="s">
        <v>494</v>
      </c>
      <c r="D239" s="689" t="s">
        <v>505</v>
      </c>
      <c r="E239" s="689" t="s">
        <v>370</v>
      </c>
      <c r="F239" s="689">
        <v>1</v>
      </c>
      <c r="G239" s="689">
        <v>1</v>
      </c>
      <c r="H239" s="695">
        <v>46101</v>
      </c>
      <c r="I239" s="695">
        <v>46133</v>
      </c>
      <c r="J239" s="689" t="s">
        <v>365</v>
      </c>
      <c r="K239" t="str">
        <f t="shared" si="11"/>
        <v>Switch</v>
      </c>
      <c r="M239" s="412">
        <f t="shared" si="10"/>
        <v>1</v>
      </c>
      <c r="N239" s="412">
        <f t="shared" si="12"/>
        <v>1</v>
      </c>
      <c r="O239" s="412">
        <f>All_Detail_v2[[#This Row],[Qty. Success]]</f>
        <v>1</v>
      </c>
      <c r="P239" s="230">
        <f>IF(All_Detail_v2[[#This Row],[Qty]]=0,1,(M239+N239+O239)/(All_Detail_v2[[#This Row],[Qty]]*3))</f>
        <v>1</v>
      </c>
      <c r="Q239" s="195"/>
      <c r="R239" s="414">
        <f>All_Detail_v2[[#This Row],[Scheduled Date]]</f>
        <v>46133</v>
      </c>
      <c r="S239" s="414">
        <f>All_Detail_v2[[#This Row],[Install Date]]</f>
        <v>46101</v>
      </c>
    </row>
    <row r="240" spans="1:19">
      <c r="A240">
        <v>236</v>
      </c>
      <c r="B240" s="687" t="s">
        <v>362</v>
      </c>
      <c r="C240" s="689" t="s">
        <v>494</v>
      </c>
      <c r="D240" s="689" t="s">
        <v>505</v>
      </c>
      <c r="E240" s="689" t="s">
        <v>375</v>
      </c>
      <c r="F240" s="689">
        <v>1</v>
      </c>
      <c r="G240" s="689">
        <v>1</v>
      </c>
      <c r="H240" s="695">
        <v>46101</v>
      </c>
      <c r="I240" s="695">
        <v>46133</v>
      </c>
      <c r="J240" s="689" t="s">
        <v>365</v>
      </c>
      <c r="K240" t="str">
        <f t="shared" si="11"/>
        <v>Switch</v>
      </c>
      <c r="M240" s="412">
        <f t="shared" si="10"/>
        <v>1</v>
      </c>
      <c r="N240" s="412">
        <f t="shared" si="12"/>
        <v>1</v>
      </c>
      <c r="O240" s="412">
        <f>All_Detail_v2[[#This Row],[Qty. Success]]</f>
        <v>1</v>
      </c>
      <c r="P240" s="230">
        <f>IF(All_Detail_v2[[#This Row],[Qty]]=0,1,(M240+N240+O240)/(All_Detail_v2[[#This Row],[Qty]]*3))</f>
        <v>1</v>
      </c>
      <c r="Q240" s="195"/>
      <c r="R240" s="414">
        <f>All_Detail_v2[[#This Row],[Scheduled Date]]</f>
        <v>46133</v>
      </c>
      <c r="S240" s="414">
        <f>All_Detail_v2[[#This Row],[Install Date]]</f>
        <v>46101</v>
      </c>
    </row>
    <row r="241" spans="1:19">
      <c r="A241">
        <v>237</v>
      </c>
      <c r="B241" s="687" t="s">
        <v>362</v>
      </c>
      <c r="C241" s="689" t="s">
        <v>494</v>
      </c>
      <c r="D241" s="689" t="s">
        <v>506</v>
      </c>
      <c r="E241" s="689" t="s">
        <v>370</v>
      </c>
      <c r="F241" s="689">
        <v>1</v>
      </c>
      <c r="G241" s="689">
        <v>1</v>
      </c>
      <c r="H241" s="695">
        <v>46101</v>
      </c>
      <c r="I241" s="695">
        <v>46133</v>
      </c>
      <c r="J241" s="689" t="s">
        <v>365</v>
      </c>
      <c r="K241" t="str">
        <f t="shared" si="11"/>
        <v>Switch</v>
      </c>
      <c r="M241" s="412">
        <f t="shared" si="10"/>
        <v>1</v>
      </c>
      <c r="N241" s="412">
        <f t="shared" si="12"/>
        <v>1</v>
      </c>
      <c r="O241" s="412">
        <f>All_Detail_v2[[#This Row],[Qty. Success]]</f>
        <v>1</v>
      </c>
      <c r="P241" s="230">
        <f>IF(All_Detail_v2[[#This Row],[Qty]]=0,1,(M241+N241+O241)/(All_Detail_v2[[#This Row],[Qty]]*3))</f>
        <v>1</v>
      </c>
      <c r="Q241" s="195"/>
      <c r="R241" s="414">
        <f>All_Detail_v2[[#This Row],[Scheduled Date]]</f>
        <v>46133</v>
      </c>
      <c r="S241" s="414">
        <f>All_Detail_v2[[#This Row],[Install Date]]</f>
        <v>46101</v>
      </c>
    </row>
    <row r="242" spans="1:19">
      <c r="A242">
        <v>238</v>
      </c>
      <c r="B242" s="687" t="s">
        <v>362</v>
      </c>
      <c r="C242" s="689" t="s">
        <v>494</v>
      </c>
      <c r="D242" s="689" t="s">
        <v>506</v>
      </c>
      <c r="E242" s="689" t="s">
        <v>375</v>
      </c>
      <c r="F242" s="689">
        <v>1</v>
      </c>
      <c r="G242" s="689">
        <v>1</v>
      </c>
      <c r="H242" s="695">
        <v>46101</v>
      </c>
      <c r="I242" s="695">
        <v>46133</v>
      </c>
      <c r="J242" s="689" t="s">
        <v>365</v>
      </c>
      <c r="K242" t="str">
        <f t="shared" si="11"/>
        <v>Switch</v>
      </c>
      <c r="M242" s="412">
        <f t="shared" si="10"/>
        <v>1</v>
      </c>
      <c r="N242" s="412">
        <f t="shared" si="12"/>
        <v>1</v>
      </c>
      <c r="O242" s="412">
        <f>All_Detail_v2[[#This Row],[Qty. Success]]</f>
        <v>1</v>
      </c>
      <c r="P242" s="230">
        <f>IF(All_Detail_v2[[#This Row],[Qty]]=0,1,(M242+N242+O242)/(All_Detail_v2[[#This Row],[Qty]]*3))</f>
        <v>1</v>
      </c>
      <c r="Q242" s="195"/>
      <c r="R242" s="414">
        <f>All_Detail_v2[[#This Row],[Scheduled Date]]</f>
        <v>46133</v>
      </c>
      <c r="S242" s="414">
        <f>All_Detail_v2[[#This Row],[Install Date]]</f>
        <v>46101</v>
      </c>
    </row>
    <row r="243" spans="1:19">
      <c r="A243">
        <v>239</v>
      </c>
      <c r="B243" s="687" t="s">
        <v>362</v>
      </c>
      <c r="C243" s="689" t="s">
        <v>494</v>
      </c>
      <c r="D243" s="689" t="s">
        <v>506</v>
      </c>
      <c r="E243" s="689" t="s">
        <v>410</v>
      </c>
      <c r="F243" s="689">
        <v>1</v>
      </c>
      <c r="G243" s="689">
        <v>1</v>
      </c>
      <c r="H243" s="695">
        <v>46101</v>
      </c>
      <c r="I243" s="695">
        <v>46133</v>
      </c>
      <c r="J243" s="689" t="s">
        <v>365</v>
      </c>
      <c r="K243" t="str">
        <f t="shared" si="11"/>
        <v>Switch</v>
      </c>
      <c r="M243" s="412">
        <f t="shared" si="10"/>
        <v>1</v>
      </c>
      <c r="N243" s="412">
        <f t="shared" si="12"/>
        <v>1</v>
      </c>
      <c r="O243" s="412">
        <f>All_Detail_v2[[#This Row],[Qty. Success]]</f>
        <v>1</v>
      </c>
      <c r="P243" s="230">
        <f>IF(All_Detail_v2[[#This Row],[Qty]]=0,1,(M243+N243+O243)/(All_Detail_v2[[#This Row],[Qty]]*3))</f>
        <v>1</v>
      </c>
      <c r="Q243" s="195"/>
      <c r="R243" s="414">
        <f>All_Detail_v2[[#This Row],[Scheduled Date]]</f>
        <v>46133</v>
      </c>
      <c r="S243" s="414">
        <f>All_Detail_v2[[#This Row],[Install Date]]</f>
        <v>46101</v>
      </c>
    </row>
    <row r="244" spans="1:19">
      <c r="A244">
        <v>240</v>
      </c>
      <c r="B244" s="687" t="s">
        <v>362</v>
      </c>
      <c r="C244" s="689" t="s">
        <v>494</v>
      </c>
      <c r="D244" s="689" t="s">
        <v>507</v>
      </c>
      <c r="E244" s="689" t="s">
        <v>370</v>
      </c>
      <c r="F244" s="689">
        <v>1</v>
      </c>
      <c r="G244" s="689">
        <v>1</v>
      </c>
      <c r="H244" s="695">
        <v>46101</v>
      </c>
      <c r="I244" s="695">
        <v>46133</v>
      </c>
      <c r="J244" s="689" t="s">
        <v>365</v>
      </c>
      <c r="K244" t="str">
        <f t="shared" si="11"/>
        <v>Switch</v>
      </c>
      <c r="M244" s="412">
        <f t="shared" si="10"/>
        <v>1</v>
      </c>
      <c r="N244" s="412">
        <f t="shared" si="12"/>
        <v>1</v>
      </c>
      <c r="O244" s="412">
        <f>All_Detail_v2[[#This Row],[Qty. Success]]</f>
        <v>1</v>
      </c>
      <c r="P244" s="230">
        <f>IF(All_Detail_v2[[#This Row],[Qty]]=0,1,(M244+N244+O244)/(All_Detail_v2[[#This Row],[Qty]]*3))</f>
        <v>1</v>
      </c>
      <c r="Q244" s="195"/>
      <c r="R244" s="414">
        <f>All_Detail_v2[[#This Row],[Scheduled Date]]</f>
        <v>46133</v>
      </c>
      <c r="S244" s="414">
        <f>All_Detail_v2[[#This Row],[Install Date]]</f>
        <v>46101</v>
      </c>
    </row>
    <row r="245" spans="1:19">
      <c r="A245">
        <v>241</v>
      </c>
      <c r="B245" s="687" t="s">
        <v>362</v>
      </c>
      <c r="C245" s="689" t="s">
        <v>494</v>
      </c>
      <c r="D245" s="689" t="s">
        <v>507</v>
      </c>
      <c r="E245" s="689" t="s">
        <v>375</v>
      </c>
      <c r="F245" s="689">
        <v>1</v>
      </c>
      <c r="G245" s="689">
        <v>1</v>
      </c>
      <c r="H245" s="695">
        <v>46101</v>
      </c>
      <c r="I245" s="695">
        <v>46133</v>
      </c>
      <c r="J245" s="689" t="s">
        <v>365</v>
      </c>
      <c r="K245" t="str">
        <f t="shared" si="11"/>
        <v>Switch</v>
      </c>
      <c r="M245" s="412">
        <f t="shared" si="10"/>
        <v>1</v>
      </c>
      <c r="N245" s="412">
        <f t="shared" si="12"/>
        <v>1</v>
      </c>
      <c r="O245" s="412">
        <f>All_Detail_v2[[#This Row],[Qty. Success]]</f>
        <v>1</v>
      </c>
      <c r="P245" s="230">
        <f>IF(All_Detail_v2[[#This Row],[Qty]]=0,1,(M245+N245+O245)/(All_Detail_v2[[#This Row],[Qty]]*3))</f>
        <v>1</v>
      </c>
      <c r="Q245" s="195"/>
      <c r="R245" s="414">
        <f>All_Detail_v2[[#This Row],[Scheduled Date]]</f>
        <v>46133</v>
      </c>
      <c r="S245" s="414">
        <f>All_Detail_v2[[#This Row],[Install Date]]</f>
        <v>46101</v>
      </c>
    </row>
    <row r="246" spans="1:19">
      <c r="A246">
        <v>242</v>
      </c>
      <c r="B246" s="687" t="s">
        <v>362</v>
      </c>
      <c r="C246" s="689" t="s">
        <v>508</v>
      </c>
      <c r="D246" s="689" t="s">
        <v>509</v>
      </c>
      <c r="E246" s="689" t="s">
        <v>370</v>
      </c>
      <c r="F246" s="689">
        <v>1</v>
      </c>
      <c r="G246" s="689">
        <v>1</v>
      </c>
      <c r="H246" s="695">
        <v>46070</v>
      </c>
      <c r="I246" s="695">
        <v>46069</v>
      </c>
      <c r="J246" s="689" t="s">
        <v>368</v>
      </c>
      <c r="K246" t="str">
        <f t="shared" si="11"/>
        <v>Switch</v>
      </c>
      <c r="M246" s="412">
        <f t="shared" ref="M246" si="13">O246</f>
        <v>1</v>
      </c>
      <c r="N246" s="412">
        <f t="shared" ref="N246" si="14">O246</f>
        <v>1</v>
      </c>
      <c r="O246" s="412">
        <f>All_Detail_v2[[#This Row],[Qty. Success]]</f>
        <v>1</v>
      </c>
      <c r="P246" s="230">
        <f>IF(All_Detail_v2[[#This Row],[Qty]]=0,1,(M246+N246+O246)/(All_Detail_v2[[#This Row],[Qty]]*3))</f>
        <v>1</v>
      </c>
      <c r="Q246" s="195"/>
      <c r="R246" s="414">
        <f>All_Detail_v2[[#This Row],[Scheduled Date]]</f>
        <v>46069</v>
      </c>
      <c r="S246" s="414">
        <f>All_Detail_v2[[#This Row],[Install Date]]</f>
        <v>46070</v>
      </c>
    </row>
    <row r="247" spans="1:19">
      <c r="A247">
        <v>243</v>
      </c>
      <c r="B247" s="687" t="s">
        <v>362</v>
      </c>
      <c r="C247" s="689" t="s">
        <v>508</v>
      </c>
      <c r="D247" s="689" t="s">
        <v>509</v>
      </c>
      <c r="E247" s="689" t="s">
        <v>375</v>
      </c>
      <c r="F247" s="689">
        <v>1</v>
      </c>
      <c r="G247" s="689">
        <v>1</v>
      </c>
      <c r="H247" s="695">
        <v>46070</v>
      </c>
      <c r="I247" s="695">
        <v>46069</v>
      </c>
      <c r="J247" s="689" t="s">
        <v>368</v>
      </c>
      <c r="K247" t="str">
        <f t="shared" si="11"/>
        <v>Switch</v>
      </c>
      <c r="M247" s="412">
        <f t="shared" si="10"/>
        <v>1</v>
      </c>
      <c r="N247" s="412">
        <f t="shared" si="12"/>
        <v>1</v>
      </c>
      <c r="O247" s="412">
        <f>All_Detail_v2[[#This Row],[Qty. Success]]</f>
        <v>1</v>
      </c>
      <c r="P247" s="230">
        <f>IF(All_Detail_v2[[#This Row],[Qty]]=0,1,(M247+N247+O247)/(All_Detail_v2[[#This Row],[Qty]]*3))</f>
        <v>1</v>
      </c>
      <c r="Q247" s="195"/>
      <c r="R247" s="414">
        <f>All_Detail_v2[[#This Row],[Scheduled Date]]</f>
        <v>46069</v>
      </c>
      <c r="S247" s="414">
        <f>All_Detail_v2[[#This Row],[Install Date]]</f>
        <v>46070</v>
      </c>
    </row>
    <row r="248" spans="1:19">
      <c r="A248">
        <v>244</v>
      </c>
      <c r="B248" s="687" t="s">
        <v>362</v>
      </c>
      <c r="C248" s="689" t="s">
        <v>508</v>
      </c>
      <c r="D248" s="689" t="s">
        <v>509</v>
      </c>
      <c r="E248" s="689" t="s">
        <v>412</v>
      </c>
      <c r="F248" s="689">
        <v>2</v>
      </c>
      <c r="G248" s="689">
        <v>1</v>
      </c>
      <c r="H248" s="695">
        <v>46062</v>
      </c>
      <c r="I248" s="695">
        <v>46174</v>
      </c>
      <c r="J248" s="689" t="s">
        <v>398</v>
      </c>
      <c r="K248" t="str">
        <f t="shared" si="11"/>
        <v>Switch</v>
      </c>
      <c r="L248" s="633" t="s">
        <v>510</v>
      </c>
      <c r="M248" s="412">
        <f t="shared" si="10"/>
        <v>1</v>
      </c>
      <c r="N248" s="412">
        <f t="shared" si="12"/>
        <v>1</v>
      </c>
      <c r="O248" s="412">
        <f>All_Detail_v2[[#This Row],[Qty. Success]]</f>
        <v>1</v>
      </c>
      <c r="P248" s="230">
        <f>IF(All_Detail_v2[[#This Row],[Qty]]=0,1,(M248+N248+O248)/(All_Detail_v2[[#This Row],[Qty]]*3))</f>
        <v>0.5</v>
      </c>
      <c r="Q248" s="195"/>
      <c r="R248" s="414">
        <f>All_Detail_v2[[#This Row],[Scheduled Date]]</f>
        <v>46174</v>
      </c>
      <c r="S248" s="414">
        <f>All_Detail_v2[[#This Row],[Install Date]]</f>
        <v>46062</v>
      </c>
    </row>
    <row r="249" spans="1:19">
      <c r="A249">
        <v>245</v>
      </c>
      <c r="B249" s="687" t="s">
        <v>362</v>
      </c>
      <c r="C249" s="689" t="s">
        <v>508</v>
      </c>
      <c r="D249" s="689" t="s">
        <v>511</v>
      </c>
      <c r="E249" s="689" t="s">
        <v>370</v>
      </c>
      <c r="F249" s="689">
        <v>1</v>
      </c>
      <c r="G249" s="689">
        <v>1</v>
      </c>
      <c r="H249" s="695">
        <v>46099</v>
      </c>
      <c r="I249" s="695">
        <v>46099</v>
      </c>
      <c r="J249" s="689" t="s">
        <v>368</v>
      </c>
      <c r="K249" t="str">
        <f t="shared" si="11"/>
        <v>Switch</v>
      </c>
      <c r="M249" s="412">
        <f t="shared" si="10"/>
        <v>1</v>
      </c>
      <c r="N249" s="412">
        <f t="shared" si="12"/>
        <v>1</v>
      </c>
      <c r="O249" s="412">
        <f>All_Detail_v2[[#This Row],[Qty. Success]]</f>
        <v>1</v>
      </c>
      <c r="P249" s="230">
        <f>IF(All_Detail_v2[[#This Row],[Qty]]=0,1,(M249+N249+O249)/(All_Detail_v2[[#This Row],[Qty]]*3))</f>
        <v>1</v>
      </c>
      <c r="Q249" s="195"/>
      <c r="R249" s="414">
        <f>All_Detail_v2[[#This Row],[Scheduled Date]]</f>
        <v>46099</v>
      </c>
      <c r="S249" s="414">
        <f>All_Detail_v2[[#This Row],[Install Date]]</f>
        <v>46099</v>
      </c>
    </row>
    <row r="250" spans="1:19">
      <c r="A250">
        <v>246</v>
      </c>
      <c r="B250" s="687" t="s">
        <v>362</v>
      </c>
      <c r="C250" s="689" t="s">
        <v>508</v>
      </c>
      <c r="D250" s="689" t="s">
        <v>511</v>
      </c>
      <c r="E250" s="689" t="s">
        <v>375</v>
      </c>
      <c r="F250" s="689">
        <v>1</v>
      </c>
      <c r="G250" s="689">
        <v>1</v>
      </c>
      <c r="H250" s="695">
        <v>46099</v>
      </c>
      <c r="I250" s="695">
        <v>46099</v>
      </c>
      <c r="J250" s="689" t="s">
        <v>368</v>
      </c>
      <c r="K250" t="str">
        <f t="shared" si="11"/>
        <v>Switch</v>
      </c>
      <c r="M250" s="412">
        <f t="shared" si="10"/>
        <v>1</v>
      </c>
      <c r="N250" s="412">
        <f t="shared" si="12"/>
        <v>1</v>
      </c>
      <c r="O250" s="412">
        <f>All_Detail_v2[[#This Row],[Qty. Success]]</f>
        <v>1</v>
      </c>
      <c r="P250" s="230">
        <f>IF(All_Detail_v2[[#This Row],[Qty]]=0,1,(M250+N250+O250)/(All_Detail_v2[[#This Row],[Qty]]*3))</f>
        <v>1</v>
      </c>
      <c r="Q250" s="195"/>
      <c r="R250" s="414">
        <f>All_Detail_v2[[#This Row],[Scheduled Date]]</f>
        <v>46099</v>
      </c>
      <c r="S250" s="414">
        <f>All_Detail_v2[[#This Row],[Install Date]]</f>
        <v>46099</v>
      </c>
    </row>
    <row r="251" spans="1:19">
      <c r="A251">
        <v>247</v>
      </c>
      <c r="B251" s="687" t="s">
        <v>362</v>
      </c>
      <c r="C251" s="689" t="s">
        <v>508</v>
      </c>
      <c r="D251" s="689" t="s">
        <v>511</v>
      </c>
      <c r="E251" s="689" t="s">
        <v>410</v>
      </c>
      <c r="F251" s="689">
        <v>1</v>
      </c>
      <c r="G251" s="689">
        <v>1</v>
      </c>
      <c r="H251" s="695">
        <v>46087</v>
      </c>
      <c r="I251" s="695">
        <v>46087</v>
      </c>
      <c r="J251" s="689" t="s">
        <v>368</v>
      </c>
      <c r="K251" t="str">
        <f t="shared" si="11"/>
        <v>Switch</v>
      </c>
      <c r="M251" s="412">
        <f t="shared" si="10"/>
        <v>1</v>
      </c>
      <c r="N251" s="412">
        <f t="shared" si="12"/>
        <v>1</v>
      </c>
      <c r="O251" s="412">
        <f>All_Detail_v2[[#This Row],[Qty. Success]]</f>
        <v>1</v>
      </c>
      <c r="P251" s="230">
        <f>IF(All_Detail_v2[[#This Row],[Qty]]=0,1,(M251+N251+O251)/(All_Detail_v2[[#This Row],[Qty]]*3))</f>
        <v>1</v>
      </c>
      <c r="Q251" s="195"/>
      <c r="R251" s="414">
        <f>All_Detail_v2[[#This Row],[Scheduled Date]]</f>
        <v>46087</v>
      </c>
      <c r="S251" s="414">
        <f>All_Detail_v2[[#This Row],[Install Date]]</f>
        <v>46087</v>
      </c>
    </row>
    <row r="252" spans="1:19">
      <c r="A252">
        <v>248</v>
      </c>
      <c r="B252" s="687" t="s">
        <v>362</v>
      </c>
      <c r="C252" s="689" t="s">
        <v>508</v>
      </c>
      <c r="D252" s="689" t="s">
        <v>512</v>
      </c>
      <c r="E252" s="689" t="s">
        <v>370</v>
      </c>
      <c r="F252" s="689">
        <v>1</v>
      </c>
      <c r="G252" s="689"/>
      <c r="H252" s="695"/>
      <c r="I252" s="695">
        <v>46135</v>
      </c>
      <c r="J252" s="689" t="s">
        <v>365</v>
      </c>
      <c r="K252" t="str">
        <f t="shared" si="11"/>
        <v>Switch</v>
      </c>
      <c r="M252" s="412">
        <f t="shared" si="10"/>
        <v>0</v>
      </c>
      <c r="N252" s="412">
        <f t="shared" si="12"/>
        <v>0</v>
      </c>
      <c r="O252" s="412">
        <f>All_Detail_v2[[#This Row],[Qty. Success]]</f>
        <v>0</v>
      </c>
      <c r="P252" s="230">
        <f>IF(All_Detail_v2[[#This Row],[Qty]]=0,1,(M252+N252+O252)/(All_Detail_v2[[#This Row],[Qty]]*3))</f>
        <v>0</v>
      </c>
      <c r="Q252" s="195"/>
      <c r="R252" s="414">
        <f>All_Detail_v2[[#This Row],[Scheduled Date]]</f>
        <v>46135</v>
      </c>
      <c r="S252" s="414">
        <f>All_Detail_v2[[#This Row],[Install Date]]</f>
        <v>0</v>
      </c>
    </row>
    <row r="253" spans="1:19">
      <c r="A253">
        <v>249</v>
      </c>
      <c r="B253" s="687" t="s">
        <v>362</v>
      </c>
      <c r="C253" s="689" t="s">
        <v>508</v>
      </c>
      <c r="D253" s="689" t="s">
        <v>512</v>
      </c>
      <c r="E253" s="689" t="s">
        <v>375</v>
      </c>
      <c r="F253" s="689">
        <v>1</v>
      </c>
      <c r="G253" s="689"/>
      <c r="H253" s="695"/>
      <c r="I253" s="695">
        <v>46135</v>
      </c>
      <c r="J253" s="689" t="s">
        <v>365</v>
      </c>
      <c r="K253" t="str">
        <f t="shared" si="11"/>
        <v>Switch</v>
      </c>
      <c r="M253" s="412">
        <f t="shared" si="10"/>
        <v>0</v>
      </c>
      <c r="N253" s="412">
        <f t="shared" si="12"/>
        <v>0</v>
      </c>
      <c r="O253" s="412">
        <f>All_Detail_v2[[#This Row],[Qty. Success]]</f>
        <v>0</v>
      </c>
      <c r="P253" s="230">
        <f>IF(All_Detail_v2[[#This Row],[Qty]]=0,1,(M253+N253+O253)/(All_Detail_v2[[#This Row],[Qty]]*3))</f>
        <v>0</v>
      </c>
      <c r="Q253" s="195"/>
      <c r="R253" s="414">
        <f>All_Detail_v2[[#This Row],[Scheduled Date]]</f>
        <v>46135</v>
      </c>
      <c r="S253" s="414">
        <f>All_Detail_v2[[#This Row],[Install Date]]</f>
        <v>0</v>
      </c>
    </row>
    <row r="254" spans="1:19">
      <c r="A254">
        <v>250</v>
      </c>
      <c r="B254" s="687" t="s">
        <v>362</v>
      </c>
      <c r="C254" s="689" t="s">
        <v>508</v>
      </c>
      <c r="D254" s="689" t="s">
        <v>512</v>
      </c>
      <c r="E254" s="689" t="s">
        <v>410</v>
      </c>
      <c r="F254" s="689">
        <v>1</v>
      </c>
      <c r="G254" s="689">
        <v>1</v>
      </c>
      <c r="H254" s="695">
        <v>46087</v>
      </c>
      <c r="I254" s="695">
        <v>46087</v>
      </c>
      <c r="J254" s="689" t="s">
        <v>368</v>
      </c>
      <c r="K254" t="str">
        <f t="shared" si="11"/>
        <v>Switch</v>
      </c>
      <c r="M254" s="412">
        <f t="shared" si="10"/>
        <v>1</v>
      </c>
      <c r="N254" s="412">
        <f t="shared" si="12"/>
        <v>1</v>
      </c>
      <c r="O254" s="412">
        <f>All_Detail_v2[[#This Row],[Qty. Success]]</f>
        <v>1</v>
      </c>
      <c r="P254" s="230">
        <f>IF(All_Detail_v2[[#This Row],[Qty]]=0,1,(M254+N254+O254)/(All_Detail_v2[[#This Row],[Qty]]*3))</f>
        <v>1</v>
      </c>
      <c r="Q254" s="195"/>
      <c r="R254" s="414">
        <f>All_Detail_v2[[#This Row],[Scheduled Date]]</f>
        <v>46087</v>
      </c>
      <c r="S254" s="414">
        <f>All_Detail_v2[[#This Row],[Install Date]]</f>
        <v>46087</v>
      </c>
    </row>
    <row r="255" spans="1:19">
      <c r="A255">
        <v>251</v>
      </c>
      <c r="B255" s="687" t="s">
        <v>362</v>
      </c>
      <c r="C255" s="689" t="s">
        <v>508</v>
      </c>
      <c r="D255" s="689" t="s">
        <v>513</v>
      </c>
      <c r="E255" s="689" t="s">
        <v>370</v>
      </c>
      <c r="F255" s="689">
        <v>2</v>
      </c>
      <c r="G255" s="689">
        <v>2</v>
      </c>
      <c r="H255" s="695">
        <v>46070</v>
      </c>
      <c r="I255" s="695">
        <v>46069</v>
      </c>
      <c r="J255" s="689" t="s">
        <v>368</v>
      </c>
      <c r="K255" t="str">
        <f t="shared" si="11"/>
        <v>Switch</v>
      </c>
      <c r="M255" s="412">
        <f t="shared" si="10"/>
        <v>2</v>
      </c>
      <c r="N255" s="412">
        <f t="shared" si="12"/>
        <v>2</v>
      </c>
      <c r="O255" s="412">
        <f>All_Detail_v2[[#This Row],[Qty. Success]]</f>
        <v>2</v>
      </c>
      <c r="P255" s="230">
        <f>IF(All_Detail_v2[[#This Row],[Qty]]=0,1,(M255+N255+O255)/(All_Detail_v2[[#This Row],[Qty]]*3))</f>
        <v>1</v>
      </c>
      <c r="Q255" s="195"/>
      <c r="R255" s="414">
        <f>All_Detail_v2[[#This Row],[Scheduled Date]]</f>
        <v>46069</v>
      </c>
      <c r="S255" s="414">
        <f>All_Detail_v2[[#This Row],[Install Date]]</f>
        <v>46070</v>
      </c>
    </row>
    <row r="256" spans="1:19">
      <c r="A256">
        <v>252</v>
      </c>
      <c r="B256" s="687" t="s">
        <v>362</v>
      </c>
      <c r="C256" s="689" t="s">
        <v>508</v>
      </c>
      <c r="D256" s="689" t="s">
        <v>513</v>
      </c>
      <c r="E256" s="689" t="s">
        <v>375</v>
      </c>
      <c r="F256" s="689">
        <v>1</v>
      </c>
      <c r="G256" s="689">
        <v>1</v>
      </c>
      <c r="H256" s="695">
        <v>46070</v>
      </c>
      <c r="I256" s="695">
        <v>46069</v>
      </c>
      <c r="J256" s="689" t="s">
        <v>368</v>
      </c>
      <c r="K256" t="str">
        <f t="shared" si="11"/>
        <v>Switch</v>
      </c>
      <c r="M256" s="412">
        <f t="shared" si="10"/>
        <v>1</v>
      </c>
      <c r="N256" s="412">
        <f t="shared" si="12"/>
        <v>1</v>
      </c>
      <c r="O256" s="412">
        <f>All_Detail_v2[[#This Row],[Qty. Success]]</f>
        <v>1</v>
      </c>
      <c r="P256" s="230">
        <f>IF(All_Detail_v2[[#This Row],[Qty]]=0,1,(M256+N256+O256)/(All_Detail_v2[[#This Row],[Qty]]*3))</f>
        <v>1</v>
      </c>
      <c r="Q256" s="195"/>
      <c r="R256" s="414">
        <f>All_Detail_v2[[#This Row],[Scheduled Date]]</f>
        <v>46069</v>
      </c>
      <c r="S256" s="414">
        <f>All_Detail_v2[[#This Row],[Install Date]]</f>
        <v>46070</v>
      </c>
    </row>
    <row r="257" spans="1:19">
      <c r="A257">
        <v>253</v>
      </c>
      <c r="B257" s="687" t="s">
        <v>362</v>
      </c>
      <c r="C257" s="689" t="s">
        <v>508</v>
      </c>
      <c r="D257" s="689" t="s">
        <v>514</v>
      </c>
      <c r="E257" s="689" t="s">
        <v>370</v>
      </c>
      <c r="F257" s="689">
        <v>1</v>
      </c>
      <c r="G257" s="689"/>
      <c r="H257" s="695"/>
      <c r="I257" s="695">
        <v>46174</v>
      </c>
      <c r="J257" s="689" t="s">
        <v>398</v>
      </c>
      <c r="K257" t="str">
        <f t="shared" si="11"/>
        <v>Switch</v>
      </c>
      <c r="L257" t="s">
        <v>458</v>
      </c>
      <c r="M257" s="412">
        <f t="shared" si="10"/>
        <v>0</v>
      </c>
      <c r="N257" s="412">
        <f t="shared" si="12"/>
        <v>0</v>
      </c>
      <c r="O257" s="412">
        <f>All_Detail_v2[[#This Row],[Qty. Success]]</f>
        <v>0</v>
      </c>
      <c r="P257" s="230">
        <f>IF(All_Detail_v2[[#This Row],[Qty]]=0,1,(M257+N257+O257)/(All_Detail_v2[[#This Row],[Qty]]*3))</f>
        <v>0</v>
      </c>
      <c r="Q257" s="195"/>
      <c r="R257" s="414">
        <f>All_Detail_v2[[#This Row],[Scheduled Date]]</f>
        <v>46174</v>
      </c>
      <c r="S257" s="414">
        <f>All_Detail_v2[[#This Row],[Install Date]]</f>
        <v>0</v>
      </c>
    </row>
    <row r="258" spans="1:19">
      <c r="A258">
        <v>254</v>
      </c>
      <c r="B258" s="687" t="s">
        <v>362</v>
      </c>
      <c r="C258" s="689" t="s">
        <v>508</v>
      </c>
      <c r="D258" s="689" t="s">
        <v>514</v>
      </c>
      <c r="E258" s="689" t="s">
        <v>375</v>
      </c>
      <c r="F258" s="689">
        <v>1</v>
      </c>
      <c r="G258" s="689"/>
      <c r="H258" s="695"/>
      <c r="I258" s="695">
        <v>46174</v>
      </c>
      <c r="J258" s="689" t="s">
        <v>398</v>
      </c>
      <c r="K258" t="str">
        <f t="shared" si="11"/>
        <v>Switch</v>
      </c>
      <c r="M258" s="412">
        <f t="shared" ref="M258:M321" si="15">O258</f>
        <v>0</v>
      </c>
      <c r="N258" s="412">
        <f t="shared" si="12"/>
        <v>0</v>
      </c>
      <c r="O258" s="412">
        <f>All_Detail_v2[[#This Row],[Qty. Success]]</f>
        <v>0</v>
      </c>
      <c r="P258" s="230">
        <f>IF(All_Detail_v2[[#This Row],[Qty]]=0,1,(M258+N258+O258)/(All_Detail_v2[[#This Row],[Qty]]*3))</f>
        <v>0</v>
      </c>
      <c r="Q258" s="195"/>
      <c r="R258" s="414">
        <f>All_Detail_v2[[#This Row],[Scheduled Date]]</f>
        <v>46174</v>
      </c>
      <c r="S258" s="414">
        <f>All_Detail_v2[[#This Row],[Install Date]]</f>
        <v>0</v>
      </c>
    </row>
    <row r="259" spans="1:19">
      <c r="A259">
        <v>255</v>
      </c>
      <c r="B259" s="687" t="s">
        <v>362</v>
      </c>
      <c r="C259" s="689" t="s">
        <v>508</v>
      </c>
      <c r="D259" s="689" t="s">
        <v>515</v>
      </c>
      <c r="E259" s="689" t="s">
        <v>370</v>
      </c>
      <c r="F259" s="689">
        <v>1</v>
      </c>
      <c r="G259" s="689">
        <v>1</v>
      </c>
      <c r="H259" s="695">
        <v>46097</v>
      </c>
      <c r="I259" s="695">
        <v>46097</v>
      </c>
      <c r="J259" s="689" t="s">
        <v>368</v>
      </c>
      <c r="K259" t="str">
        <f t="shared" ref="K259:K322" si="16">IF(ISNUMBER(SEARCH("Access Point",E259)),"AP",IF(OR(ISNUMBER(SEARCH("Switch",E259)),ISNUMBER(SEARCH("Control Type",E259))),"Switch","Infra"))</f>
        <v>Switch</v>
      </c>
      <c r="M259" s="412">
        <f t="shared" si="15"/>
        <v>1</v>
      </c>
      <c r="N259" s="412">
        <f t="shared" si="12"/>
        <v>1</v>
      </c>
      <c r="O259" s="412">
        <f>All_Detail_v2[[#This Row],[Qty. Success]]</f>
        <v>1</v>
      </c>
      <c r="P259" s="230">
        <f>IF(All_Detail_v2[[#This Row],[Qty]]=0,1,(M259+N259+O259)/(All_Detail_v2[[#This Row],[Qty]]*3))</f>
        <v>1</v>
      </c>
      <c r="Q259" s="195"/>
      <c r="R259" s="414">
        <f>All_Detail_v2[[#This Row],[Scheduled Date]]</f>
        <v>46097</v>
      </c>
      <c r="S259" s="414">
        <f>All_Detail_v2[[#This Row],[Install Date]]</f>
        <v>46097</v>
      </c>
    </row>
    <row r="260" spans="1:19">
      <c r="A260">
        <v>256</v>
      </c>
      <c r="B260" s="687" t="s">
        <v>362</v>
      </c>
      <c r="C260" s="689" t="s">
        <v>508</v>
      </c>
      <c r="D260" s="689" t="s">
        <v>515</v>
      </c>
      <c r="E260" s="689" t="s">
        <v>375</v>
      </c>
      <c r="F260" s="689">
        <v>1</v>
      </c>
      <c r="G260" s="689">
        <v>1</v>
      </c>
      <c r="H260" s="695">
        <v>46097</v>
      </c>
      <c r="I260" s="695">
        <v>46097</v>
      </c>
      <c r="J260" s="689" t="s">
        <v>368</v>
      </c>
      <c r="K260" t="str">
        <f t="shared" si="16"/>
        <v>Switch</v>
      </c>
      <c r="M260" s="412">
        <f t="shared" si="15"/>
        <v>1</v>
      </c>
      <c r="N260" s="412">
        <f t="shared" si="12"/>
        <v>1</v>
      </c>
      <c r="O260" s="412">
        <f>All_Detail_v2[[#This Row],[Qty. Success]]</f>
        <v>1</v>
      </c>
      <c r="P260" s="230">
        <f>IF(All_Detail_v2[[#This Row],[Qty]]=0,1,(M260+N260+O260)/(All_Detail_v2[[#This Row],[Qty]]*3))</f>
        <v>1</v>
      </c>
      <c r="Q260" s="195"/>
      <c r="R260" s="414">
        <f>All_Detail_v2[[#This Row],[Scheduled Date]]</f>
        <v>46097</v>
      </c>
      <c r="S260" s="414">
        <f>All_Detail_v2[[#This Row],[Install Date]]</f>
        <v>46097</v>
      </c>
    </row>
    <row r="261" spans="1:19">
      <c r="A261">
        <v>257</v>
      </c>
      <c r="B261" s="687" t="s">
        <v>362</v>
      </c>
      <c r="C261" s="689" t="s">
        <v>508</v>
      </c>
      <c r="D261" s="689" t="s">
        <v>516</v>
      </c>
      <c r="E261" s="689" t="s">
        <v>370</v>
      </c>
      <c r="F261" s="689">
        <v>1</v>
      </c>
      <c r="G261" s="689">
        <v>1</v>
      </c>
      <c r="H261" s="695">
        <v>46097</v>
      </c>
      <c r="I261" s="695">
        <v>46097</v>
      </c>
      <c r="J261" s="689" t="s">
        <v>368</v>
      </c>
      <c r="K261" t="str">
        <f t="shared" si="16"/>
        <v>Switch</v>
      </c>
      <c r="M261" s="412">
        <f t="shared" si="15"/>
        <v>1</v>
      </c>
      <c r="N261" s="412">
        <f t="shared" si="12"/>
        <v>1</v>
      </c>
      <c r="O261" s="412">
        <f>All_Detail_v2[[#This Row],[Qty. Success]]</f>
        <v>1</v>
      </c>
      <c r="P261" s="230">
        <f>IF(All_Detail_v2[[#This Row],[Qty]]=0,1,(M261+N261+O261)/(All_Detail_v2[[#This Row],[Qty]]*3))</f>
        <v>1</v>
      </c>
      <c r="Q261" s="195"/>
      <c r="R261" s="414">
        <f>All_Detail_v2[[#This Row],[Scheduled Date]]</f>
        <v>46097</v>
      </c>
      <c r="S261" s="414">
        <f>All_Detail_v2[[#This Row],[Install Date]]</f>
        <v>46097</v>
      </c>
    </row>
    <row r="262" spans="1:19">
      <c r="A262">
        <v>258</v>
      </c>
      <c r="B262" s="687" t="s">
        <v>362</v>
      </c>
      <c r="C262" s="689" t="s">
        <v>508</v>
      </c>
      <c r="D262" s="689" t="s">
        <v>516</v>
      </c>
      <c r="E262" s="689" t="s">
        <v>375</v>
      </c>
      <c r="F262" s="689">
        <v>1</v>
      </c>
      <c r="G262" s="689">
        <v>1</v>
      </c>
      <c r="H262" s="695">
        <v>46097</v>
      </c>
      <c r="I262" s="695">
        <v>46097</v>
      </c>
      <c r="J262" s="689" t="s">
        <v>368</v>
      </c>
      <c r="K262" t="str">
        <f t="shared" si="16"/>
        <v>Switch</v>
      </c>
      <c r="M262" s="412">
        <f t="shared" si="15"/>
        <v>1</v>
      </c>
      <c r="N262" s="412">
        <f t="shared" ref="N262:N325" si="17">O262</f>
        <v>1</v>
      </c>
      <c r="O262" s="412">
        <f>All_Detail_v2[[#This Row],[Qty. Success]]</f>
        <v>1</v>
      </c>
      <c r="P262" s="230">
        <f>IF(All_Detail_v2[[#This Row],[Qty]]=0,1,(M262+N262+O262)/(All_Detail_v2[[#This Row],[Qty]]*3))</f>
        <v>1</v>
      </c>
      <c r="Q262" s="195"/>
      <c r="R262" s="414">
        <f>All_Detail_v2[[#This Row],[Scheduled Date]]</f>
        <v>46097</v>
      </c>
      <c r="S262" s="414">
        <f>All_Detail_v2[[#This Row],[Install Date]]</f>
        <v>46097</v>
      </c>
    </row>
    <row r="263" spans="1:19">
      <c r="A263">
        <v>259</v>
      </c>
      <c r="B263" s="687" t="s">
        <v>362</v>
      </c>
      <c r="C263" s="689" t="s">
        <v>508</v>
      </c>
      <c r="D263" s="689" t="s">
        <v>517</v>
      </c>
      <c r="E263" s="689" t="s">
        <v>370</v>
      </c>
      <c r="F263" s="689">
        <v>2</v>
      </c>
      <c r="G263" s="689">
        <v>2</v>
      </c>
      <c r="H263" s="695">
        <v>46101</v>
      </c>
      <c r="I263" s="695">
        <v>46135</v>
      </c>
      <c r="J263" s="689" t="s">
        <v>365</v>
      </c>
      <c r="K263" t="str">
        <f t="shared" si="16"/>
        <v>Switch</v>
      </c>
      <c r="M263" s="412">
        <f t="shared" si="15"/>
        <v>2</v>
      </c>
      <c r="N263" s="412">
        <f t="shared" si="17"/>
        <v>2</v>
      </c>
      <c r="O263" s="412">
        <f>All_Detail_v2[[#This Row],[Qty. Success]]</f>
        <v>2</v>
      </c>
      <c r="P263" s="230">
        <f>IF(All_Detail_v2[[#This Row],[Qty]]=0,1,(M263+N263+O263)/(All_Detail_v2[[#This Row],[Qty]]*3))</f>
        <v>1</v>
      </c>
      <c r="Q263" s="195"/>
      <c r="R263" s="414">
        <f>All_Detail_v2[[#This Row],[Scheduled Date]]</f>
        <v>46135</v>
      </c>
      <c r="S263" s="414">
        <f>All_Detail_v2[[#This Row],[Install Date]]</f>
        <v>46101</v>
      </c>
    </row>
    <row r="264" spans="1:19">
      <c r="A264">
        <v>260</v>
      </c>
      <c r="B264" s="687" t="s">
        <v>362</v>
      </c>
      <c r="C264" s="689" t="s">
        <v>508</v>
      </c>
      <c r="D264" s="689" t="s">
        <v>517</v>
      </c>
      <c r="E264" s="689" t="s">
        <v>375</v>
      </c>
      <c r="F264" s="689">
        <v>2</v>
      </c>
      <c r="G264" s="689">
        <v>2</v>
      </c>
      <c r="H264" s="695">
        <v>46101</v>
      </c>
      <c r="I264" s="695">
        <v>46135</v>
      </c>
      <c r="J264" s="689" t="s">
        <v>365</v>
      </c>
      <c r="K264" t="str">
        <f t="shared" si="16"/>
        <v>Switch</v>
      </c>
      <c r="M264" s="412">
        <f t="shared" si="15"/>
        <v>2</v>
      </c>
      <c r="N264" s="412">
        <f t="shared" si="17"/>
        <v>2</v>
      </c>
      <c r="O264" s="412">
        <f>All_Detail_v2[[#This Row],[Qty. Success]]</f>
        <v>2</v>
      </c>
      <c r="P264" s="230">
        <f>IF(All_Detail_v2[[#This Row],[Qty]]=0,1,(M264+N264+O264)/(All_Detail_v2[[#This Row],[Qty]]*3))</f>
        <v>1</v>
      </c>
      <c r="Q264" s="195"/>
      <c r="R264" s="414">
        <f>All_Detail_v2[[#This Row],[Scheduled Date]]</f>
        <v>46135</v>
      </c>
      <c r="S264" s="414">
        <f>All_Detail_v2[[#This Row],[Install Date]]</f>
        <v>46101</v>
      </c>
    </row>
    <row r="265" spans="1:19">
      <c r="A265">
        <v>261</v>
      </c>
      <c r="B265" s="687" t="s">
        <v>362</v>
      </c>
      <c r="C265" s="689" t="s">
        <v>508</v>
      </c>
      <c r="D265" s="689" t="s">
        <v>517</v>
      </c>
      <c r="E265" s="689" t="s">
        <v>410</v>
      </c>
      <c r="F265" s="689">
        <v>1</v>
      </c>
      <c r="G265" s="689">
        <v>1</v>
      </c>
      <c r="H265" s="695">
        <v>46101</v>
      </c>
      <c r="I265" s="695">
        <v>46135</v>
      </c>
      <c r="J265" s="689" t="s">
        <v>365</v>
      </c>
      <c r="K265" t="str">
        <f t="shared" si="16"/>
        <v>Switch</v>
      </c>
      <c r="M265" s="412">
        <f t="shared" si="15"/>
        <v>1</v>
      </c>
      <c r="N265" s="412">
        <f t="shared" si="17"/>
        <v>1</v>
      </c>
      <c r="O265" s="412">
        <f>All_Detail_v2[[#This Row],[Qty. Success]]</f>
        <v>1</v>
      </c>
      <c r="P265" s="230">
        <f>IF(All_Detail_v2[[#This Row],[Qty]]=0,1,(M265+N265+O265)/(All_Detail_v2[[#This Row],[Qty]]*3))</f>
        <v>1</v>
      </c>
      <c r="Q265" s="195"/>
      <c r="R265" s="414">
        <f>All_Detail_v2[[#This Row],[Scheduled Date]]</f>
        <v>46135</v>
      </c>
      <c r="S265" s="414">
        <f>All_Detail_v2[[#This Row],[Install Date]]</f>
        <v>46101</v>
      </c>
    </row>
    <row r="266" spans="1:19">
      <c r="A266">
        <v>262</v>
      </c>
      <c r="B266" s="687" t="s">
        <v>362</v>
      </c>
      <c r="C266" s="689" t="s">
        <v>508</v>
      </c>
      <c r="D266" s="689" t="s">
        <v>518</v>
      </c>
      <c r="E266" s="689" t="s">
        <v>370</v>
      </c>
      <c r="F266" s="689">
        <v>1</v>
      </c>
      <c r="G266" s="689">
        <v>1</v>
      </c>
      <c r="H266" s="695">
        <v>46101</v>
      </c>
      <c r="I266" s="695">
        <v>46135</v>
      </c>
      <c r="J266" s="689" t="s">
        <v>365</v>
      </c>
      <c r="K266" t="str">
        <f t="shared" si="16"/>
        <v>Switch</v>
      </c>
      <c r="M266" s="412">
        <f t="shared" si="15"/>
        <v>1</v>
      </c>
      <c r="N266" s="412">
        <f t="shared" si="17"/>
        <v>1</v>
      </c>
      <c r="O266" s="412">
        <f>All_Detail_v2[[#This Row],[Qty. Success]]</f>
        <v>1</v>
      </c>
      <c r="P266" s="230">
        <f>IF(All_Detail_v2[[#This Row],[Qty]]=0,1,(M266+N266+O266)/(All_Detail_v2[[#This Row],[Qty]]*3))</f>
        <v>1</v>
      </c>
      <c r="Q266" s="195"/>
      <c r="R266" s="414">
        <f>All_Detail_v2[[#This Row],[Scheduled Date]]</f>
        <v>46135</v>
      </c>
      <c r="S266" s="414">
        <f>All_Detail_v2[[#This Row],[Install Date]]</f>
        <v>46101</v>
      </c>
    </row>
    <row r="267" spans="1:19">
      <c r="A267">
        <v>263</v>
      </c>
      <c r="B267" s="687" t="s">
        <v>362</v>
      </c>
      <c r="C267" s="689" t="s">
        <v>508</v>
      </c>
      <c r="D267" s="689" t="s">
        <v>518</v>
      </c>
      <c r="E267" s="689" t="s">
        <v>375</v>
      </c>
      <c r="F267" s="689">
        <v>1</v>
      </c>
      <c r="G267" s="689">
        <v>1</v>
      </c>
      <c r="H267" s="695">
        <v>46101</v>
      </c>
      <c r="I267" s="695">
        <v>46135</v>
      </c>
      <c r="J267" s="689" t="s">
        <v>365</v>
      </c>
      <c r="K267" t="str">
        <f t="shared" si="16"/>
        <v>Switch</v>
      </c>
      <c r="M267" s="412">
        <f t="shared" si="15"/>
        <v>1</v>
      </c>
      <c r="N267" s="412">
        <f t="shared" si="17"/>
        <v>1</v>
      </c>
      <c r="O267" s="412">
        <f>All_Detail_v2[[#This Row],[Qty. Success]]</f>
        <v>1</v>
      </c>
      <c r="P267" s="230">
        <f>IF(All_Detail_v2[[#This Row],[Qty]]=0,1,(M267+N267+O267)/(All_Detail_v2[[#This Row],[Qty]]*3))</f>
        <v>1</v>
      </c>
      <c r="Q267" s="195"/>
      <c r="R267" s="414">
        <f>All_Detail_v2[[#This Row],[Scheduled Date]]</f>
        <v>46135</v>
      </c>
      <c r="S267" s="414">
        <f>All_Detail_v2[[#This Row],[Install Date]]</f>
        <v>46101</v>
      </c>
    </row>
    <row r="268" spans="1:19">
      <c r="A268">
        <v>264</v>
      </c>
      <c r="B268" s="687" t="s">
        <v>362</v>
      </c>
      <c r="C268" s="688" t="s">
        <v>519</v>
      </c>
      <c r="D268" s="689" t="s">
        <v>41</v>
      </c>
      <c r="E268" s="689" t="s">
        <v>364</v>
      </c>
      <c r="F268" s="689">
        <v>11</v>
      </c>
      <c r="G268" s="689"/>
      <c r="H268" s="695"/>
      <c r="I268" s="695">
        <v>46121</v>
      </c>
      <c r="J268" s="689" t="s">
        <v>365</v>
      </c>
      <c r="K268" t="str">
        <f t="shared" si="16"/>
        <v>AP</v>
      </c>
      <c r="M268" s="412">
        <f t="shared" si="15"/>
        <v>0</v>
      </c>
      <c r="N268" s="412">
        <f t="shared" si="17"/>
        <v>0</v>
      </c>
      <c r="O268" s="412">
        <f>All_Detail_v2[[#This Row],[Qty. Success]]</f>
        <v>0</v>
      </c>
      <c r="P268" s="230">
        <f>IF(All_Detail_v2[[#This Row],[Qty]]=0,1,(M268+N268+O268)/(All_Detail_v2[[#This Row],[Qty]]*3))</f>
        <v>0</v>
      </c>
      <c r="Q268" s="195"/>
      <c r="R268" s="414">
        <f>All_Detail_v2[[#This Row],[Scheduled Date]]</f>
        <v>46121</v>
      </c>
      <c r="S268" s="414">
        <f>All_Detail_v2[[#This Row],[Install Date]]</f>
        <v>0</v>
      </c>
    </row>
    <row r="269" spans="1:19">
      <c r="A269">
        <v>265</v>
      </c>
      <c r="B269" s="687" t="s">
        <v>362</v>
      </c>
      <c r="C269" s="688" t="s">
        <v>519</v>
      </c>
      <c r="D269" s="689" t="s">
        <v>520</v>
      </c>
      <c r="E269" s="689" t="s">
        <v>410</v>
      </c>
      <c r="F269" s="689">
        <v>1</v>
      </c>
      <c r="G269" s="689"/>
      <c r="H269" s="695"/>
      <c r="I269" s="695">
        <v>46122</v>
      </c>
      <c r="J269" s="689" t="s">
        <v>365</v>
      </c>
      <c r="K269" t="str">
        <f t="shared" si="16"/>
        <v>Switch</v>
      </c>
      <c r="M269" s="412">
        <f t="shared" si="15"/>
        <v>0</v>
      </c>
      <c r="N269" s="412">
        <f t="shared" si="17"/>
        <v>0</v>
      </c>
      <c r="O269" s="412">
        <f>All_Detail_v2[[#This Row],[Qty. Success]]</f>
        <v>0</v>
      </c>
      <c r="P269" s="230">
        <f>IF(All_Detail_v2[[#This Row],[Qty]]=0,1,(M269+N269+O269)/(All_Detail_v2[[#This Row],[Qty]]*3))</f>
        <v>0</v>
      </c>
      <c r="Q269" s="195"/>
      <c r="R269" s="414">
        <f>All_Detail_v2[[#This Row],[Scheduled Date]]</f>
        <v>46122</v>
      </c>
      <c r="S269" s="414">
        <f>All_Detail_v2[[#This Row],[Install Date]]</f>
        <v>0</v>
      </c>
    </row>
    <row r="270" spans="1:19">
      <c r="A270">
        <v>266</v>
      </c>
      <c r="B270" s="687" t="s">
        <v>362</v>
      </c>
      <c r="C270" s="688" t="s">
        <v>519</v>
      </c>
      <c r="D270" s="689" t="s">
        <v>521</v>
      </c>
      <c r="E270" s="689" t="s">
        <v>375</v>
      </c>
      <c r="F270" s="689">
        <v>1</v>
      </c>
      <c r="G270" s="689"/>
      <c r="H270" s="695"/>
      <c r="I270" s="695">
        <v>46122</v>
      </c>
      <c r="J270" s="689" t="s">
        <v>365</v>
      </c>
      <c r="K270" t="str">
        <f t="shared" si="16"/>
        <v>Switch</v>
      </c>
      <c r="M270" s="412">
        <f t="shared" si="15"/>
        <v>0</v>
      </c>
      <c r="N270" s="412">
        <f t="shared" si="17"/>
        <v>0</v>
      </c>
      <c r="O270" s="412">
        <f>All_Detail_v2[[#This Row],[Qty. Success]]</f>
        <v>0</v>
      </c>
      <c r="P270" s="230">
        <f>IF(All_Detail_v2[[#This Row],[Qty]]=0,1,(M270+N270+O270)/(All_Detail_v2[[#This Row],[Qty]]*3))</f>
        <v>0</v>
      </c>
      <c r="Q270" s="195"/>
      <c r="R270" s="414">
        <f>All_Detail_v2[[#This Row],[Scheduled Date]]</f>
        <v>46122</v>
      </c>
      <c r="S270" s="414">
        <f>All_Detail_v2[[#This Row],[Install Date]]</f>
        <v>0</v>
      </c>
    </row>
    <row r="271" spans="1:19">
      <c r="A271">
        <v>267</v>
      </c>
      <c r="B271" s="687" t="s">
        <v>362</v>
      </c>
      <c r="C271" s="688" t="s">
        <v>519</v>
      </c>
      <c r="D271" s="688" t="s">
        <v>522</v>
      </c>
      <c r="E271" s="689" t="s">
        <v>370</v>
      </c>
      <c r="F271" s="689">
        <v>1</v>
      </c>
      <c r="G271" s="689"/>
      <c r="H271" s="695"/>
      <c r="I271" s="695">
        <v>46122</v>
      </c>
      <c r="J271" s="689" t="s">
        <v>365</v>
      </c>
      <c r="K271" t="str">
        <f t="shared" si="16"/>
        <v>Switch</v>
      </c>
      <c r="M271" s="412">
        <f t="shared" si="15"/>
        <v>0</v>
      </c>
      <c r="N271" s="412">
        <f t="shared" si="17"/>
        <v>0</v>
      </c>
      <c r="O271" s="412">
        <f>All_Detail_v2[[#This Row],[Qty. Success]]</f>
        <v>0</v>
      </c>
      <c r="P271" s="230">
        <f>IF(All_Detail_v2[[#This Row],[Qty]]=0,1,(M271+N271+O271)/(All_Detail_v2[[#This Row],[Qty]]*3))</f>
        <v>0</v>
      </c>
      <c r="Q271" s="195"/>
      <c r="R271" s="414">
        <f>All_Detail_v2[[#This Row],[Scheduled Date]]</f>
        <v>46122</v>
      </c>
      <c r="S271" s="414">
        <f>All_Detail_v2[[#This Row],[Install Date]]</f>
        <v>0</v>
      </c>
    </row>
    <row r="272" spans="1:19">
      <c r="A272">
        <v>268</v>
      </c>
      <c r="B272" s="687" t="s">
        <v>362</v>
      </c>
      <c r="C272" s="688" t="s">
        <v>519</v>
      </c>
      <c r="D272" s="688" t="s">
        <v>522</v>
      </c>
      <c r="E272" s="689" t="s">
        <v>375</v>
      </c>
      <c r="F272" s="689">
        <v>1</v>
      </c>
      <c r="G272" s="689"/>
      <c r="H272" s="695"/>
      <c r="I272" s="695">
        <v>46122</v>
      </c>
      <c r="J272" s="689" t="s">
        <v>365</v>
      </c>
      <c r="K272" t="str">
        <f t="shared" si="16"/>
        <v>Switch</v>
      </c>
      <c r="M272" s="412">
        <f t="shared" si="15"/>
        <v>0</v>
      </c>
      <c r="N272" s="412">
        <f t="shared" si="17"/>
        <v>0</v>
      </c>
      <c r="O272" s="412">
        <f>All_Detail_v2[[#This Row],[Qty. Success]]</f>
        <v>0</v>
      </c>
      <c r="P272" s="230">
        <f>IF(All_Detail_v2[[#This Row],[Qty]]=0,1,(M272+N272+O272)/(All_Detail_v2[[#This Row],[Qty]]*3))</f>
        <v>0</v>
      </c>
      <c r="Q272" s="195"/>
      <c r="R272" s="414">
        <f>All_Detail_v2[[#This Row],[Scheduled Date]]</f>
        <v>46122</v>
      </c>
      <c r="S272" s="414">
        <f>All_Detail_v2[[#This Row],[Install Date]]</f>
        <v>0</v>
      </c>
    </row>
    <row r="273" spans="1:19">
      <c r="A273">
        <v>269</v>
      </c>
      <c r="B273" s="687" t="s">
        <v>362</v>
      </c>
      <c r="C273" s="688" t="s">
        <v>519</v>
      </c>
      <c r="D273" s="688" t="s">
        <v>115</v>
      </c>
      <c r="E273" s="689" t="s">
        <v>370</v>
      </c>
      <c r="F273" s="689">
        <v>1</v>
      </c>
      <c r="G273" s="689"/>
      <c r="H273" s="695"/>
      <c r="I273" s="695">
        <v>46122</v>
      </c>
      <c r="J273" s="689" t="s">
        <v>365</v>
      </c>
      <c r="K273" t="str">
        <f t="shared" si="16"/>
        <v>Switch</v>
      </c>
      <c r="M273" s="412">
        <f t="shared" si="15"/>
        <v>0</v>
      </c>
      <c r="N273" s="412">
        <f t="shared" si="17"/>
        <v>0</v>
      </c>
      <c r="O273" s="412">
        <f>All_Detail_v2[[#This Row],[Qty. Success]]</f>
        <v>0</v>
      </c>
      <c r="P273" s="230">
        <f>IF(All_Detail_v2[[#This Row],[Qty]]=0,1,(M273+N273+O273)/(All_Detail_v2[[#This Row],[Qty]]*3))</f>
        <v>0</v>
      </c>
      <c r="Q273" s="195"/>
      <c r="R273" s="414">
        <f>All_Detail_v2[[#This Row],[Scheduled Date]]</f>
        <v>46122</v>
      </c>
      <c r="S273" s="414">
        <f>All_Detail_v2[[#This Row],[Install Date]]</f>
        <v>0</v>
      </c>
    </row>
    <row r="274" spans="1:19">
      <c r="A274">
        <v>270</v>
      </c>
      <c r="B274" s="687" t="s">
        <v>362</v>
      </c>
      <c r="C274" s="688" t="s">
        <v>519</v>
      </c>
      <c r="D274" s="688" t="s">
        <v>70</v>
      </c>
      <c r="E274" s="689" t="s">
        <v>370</v>
      </c>
      <c r="F274" s="689">
        <v>1</v>
      </c>
      <c r="G274" s="689"/>
      <c r="H274" s="695"/>
      <c r="I274" s="695">
        <v>46122</v>
      </c>
      <c r="J274" s="689" t="s">
        <v>365</v>
      </c>
      <c r="K274" t="str">
        <f t="shared" si="16"/>
        <v>Switch</v>
      </c>
      <c r="M274" s="412">
        <f t="shared" si="15"/>
        <v>0</v>
      </c>
      <c r="N274" s="412">
        <f t="shared" si="17"/>
        <v>0</v>
      </c>
      <c r="O274" s="412">
        <f>All_Detail_v2[[#This Row],[Qty. Success]]</f>
        <v>0</v>
      </c>
      <c r="P274" s="230">
        <f>IF(All_Detail_v2[[#This Row],[Qty]]=0,1,(M274+N274+O274)/(All_Detail_v2[[#This Row],[Qty]]*3))</f>
        <v>0</v>
      </c>
      <c r="Q274" s="195"/>
      <c r="R274" s="414">
        <f>All_Detail_v2[[#This Row],[Scheduled Date]]</f>
        <v>46122</v>
      </c>
      <c r="S274" s="414">
        <f>All_Detail_v2[[#This Row],[Install Date]]</f>
        <v>0</v>
      </c>
    </row>
    <row r="275" spans="1:19">
      <c r="A275">
        <v>271</v>
      </c>
      <c r="B275" s="687" t="s">
        <v>362</v>
      </c>
      <c r="C275" s="688" t="s">
        <v>519</v>
      </c>
      <c r="D275" s="688" t="s">
        <v>70</v>
      </c>
      <c r="E275" s="689" t="s">
        <v>375</v>
      </c>
      <c r="F275" s="689">
        <v>1</v>
      </c>
      <c r="G275" s="689"/>
      <c r="H275" s="695"/>
      <c r="I275" s="695">
        <v>46122</v>
      </c>
      <c r="J275" s="689" t="s">
        <v>365</v>
      </c>
      <c r="K275" t="str">
        <f t="shared" si="16"/>
        <v>Switch</v>
      </c>
      <c r="M275" s="412">
        <f t="shared" si="15"/>
        <v>0</v>
      </c>
      <c r="N275" s="412">
        <f t="shared" si="17"/>
        <v>0</v>
      </c>
      <c r="O275" s="412">
        <f>All_Detail_v2[[#This Row],[Qty. Success]]</f>
        <v>0</v>
      </c>
      <c r="P275" s="230">
        <f>IF(All_Detail_v2[[#This Row],[Qty]]=0,1,(M275+N275+O275)/(All_Detail_v2[[#This Row],[Qty]]*3))</f>
        <v>0</v>
      </c>
      <c r="Q275" s="195"/>
      <c r="R275" s="414">
        <f>All_Detail_v2[[#This Row],[Scheduled Date]]</f>
        <v>46122</v>
      </c>
      <c r="S275" s="414">
        <f>All_Detail_v2[[#This Row],[Install Date]]</f>
        <v>0</v>
      </c>
    </row>
    <row r="276" spans="1:19">
      <c r="A276">
        <v>272</v>
      </c>
      <c r="B276" s="687" t="s">
        <v>362</v>
      </c>
      <c r="C276" s="688" t="s">
        <v>523</v>
      </c>
      <c r="D276" s="689" t="s">
        <v>41</v>
      </c>
      <c r="E276" s="689" t="s">
        <v>364</v>
      </c>
      <c r="F276" s="689">
        <v>4</v>
      </c>
      <c r="G276" s="689"/>
      <c r="H276" s="695"/>
      <c r="I276" s="695">
        <v>46122</v>
      </c>
      <c r="J276" s="689" t="s">
        <v>365</v>
      </c>
      <c r="K276" t="str">
        <f t="shared" si="16"/>
        <v>AP</v>
      </c>
      <c r="M276" s="412">
        <f t="shared" si="15"/>
        <v>0</v>
      </c>
      <c r="N276" s="412">
        <f t="shared" si="17"/>
        <v>0</v>
      </c>
      <c r="O276" s="412">
        <f>All_Detail_v2[[#This Row],[Qty. Success]]</f>
        <v>0</v>
      </c>
      <c r="P276" s="230">
        <f>IF(All_Detail_v2[[#This Row],[Qty]]=0,1,(M276+N276+O276)/(All_Detail_v2[[#This Row],[Qty]]*3))</f>
        <v>0</v>
      </c>
      <c r="Q276" s="195"/>
      <c r="R276" s="414">
        <f>All_Detail_v2[[#This Row],[Scheduled Date]]</f>
        <v>46122</v>
      </c>
      <c r="S276" s="414">
        <f>All_Detail_v2[[#This Row],[Install Date]]</f>
        <v>0</v>
      </c>
    </row>
    <row r="277" spans="1:19">
      <c r="A277">
        <v>273</v>
      </c>
      <c r="B277" s="687" t="s">
        <v>362</v>
      </c>
      <c r="C277" s="688" t="s">
        <v>523</v>
      </c>
      <c r="D277" s="689" t="s">
        <v>524</v>
      </c>
      <c r="E277" s="689" t="s">
        <v>370</v>
      </c>
      <c r="F277" s="689">
        <v>6</v>
      </c>
      <c r="G277" s="689"/>
      <c r="H277" s="695"/>
      <c r="I277" s="695">
        <v>46128</v>
      </c>
      <c r="J277" s="689" t="s">
        <v>365</v>
      </c>
      <c r="K277" t="str">
        <f t="shared" si="16"/>
        <v>Switch</v>
      </c>
      <c r="M277" s="412">
        <f t="shared" si="15"/>
        <v>0</v>
      </c>
      <c r="N277" s="412">
        <f t="shared" si="17"/>
        <v>0</v>
      </c>
      <c r="O277" s="412">
        <f>All_Detail_v2[[#This Row],[Qty. Success]]</f>
        <v>0</v>
      </c>
      <c r="P277" s="230">
        <f>IF(All_Detail_v2[[#This Row],[Qty]]=0,1,(M277+N277+O277)/(All_Detail_v2[[#This Row],[Qty]]*3))</f>
        <v>0</v>
      </c>
      <c r="Q277" s="195"/>
      <c r="R277" s="414">
        <f>All_Detail_v2[[#This Row],[Scheduled Date]]</f>
        <v>46128</v>
      </c>
      <c r="S277" s="414">
        <f>All_Detail_v2[[#This Row],[Install Date]]</f>
        <v>0</v>
      </c>
    </row>
    <row r="278" spans="1:19">
      <c r="A278">
        <v>274</v>
      </c>
      <c r="B278" s="687" t="s">
        <v>362</v>
      </c>
      <c r="C278" s="688" t="s">
        <v>523</v>
      </c>
      <c r="D278" s="689" t="s">
        <v>524</v>
      </c>
      <c r="E278" s="689" t="s">
        <v>375</v>
      </c>
      <c r="F278" s="689">
        <v>4</v>
      </c>
      <c r="G278" s="689"/>
      <c r="H278" s="695"/>
      <c r="I278" s="695">
        <v>46128</v>
      </c>
      <c r="J278" s="689" t="s">
        <v>365</v>
      </c>
      <c r="K278" t="str">
        <f t="shared" si="16"/>
        <v>Switch</v>
      </c>
      <c r="M278" s="412">
        <f t="shared" si="15"/>
        <v>0</v>
      </c>
      <c r="N278" s="412">
        <f t="shared" si="17"/>
        <v>0</v>
      </c>
      <c r="O278" s="412">
        <f>All_Detail_v2[[#This Row],[Qty. Success]]</f>
        <v>0</v>
      </c>
      <c r="P278" s="230">
        <f>IF(All_Detail_v2[[#This Row],[Qty]]=0,1,(M278+N278+O278)/(All_Detail_v2[[#This Row],[Qty]]*3))</f>
        <v>0</v>
      </c>
      <c r="Q278" s="195"/>
      <c r="R278" s="414">
        <f>All_Detail_v2[[#This Row],[Scheduled Date]]</f>
        <v>46128</v>
      </c>
      <c r="S278" s="414">
        <f>All_Detail_v2[[#This Row],[Install Date]]</f>
        <v>0</v>
      </c>
    </row>
    <row r="279" spans="1:19">
      <c r="A279">
        <v>275</v>
      </c>
      <c r="B279" s="687" t="s">
        <v>362</v>
      </c>
      <c r="C279" s="688" t="s">
        <v>525</v>
      </c>
      <c r="D279" s="689" t="s">
        <v>41</v>
      </c>
      <c r="E279" s="689" t="s">
        <v>364</v>
      </c>
      <c r="F279" s="689">
        <v>9</v>
      </c>
      <c r="G279" s="689"/>
      <c r="H279" s="695"/>
      <c r="I279" s="695">
        <v>46132</v>
      </c>
      <c r="J279" s="689" t="s">
        <v>365</v>
      </c>
      <c r="K279" t="str">
        <f t="shared" si="16"/>
        <v>AP</v>
      </c>
      <c r="M279" s="412">
        <f t="shared" si="15"/>
        <v>0</v>
      </c>
      <c r="N279" s="412">
        <f t="shared" si="17"/>
        <v>0</v>
      </c>
      <c r="O279" s="412">
        <f>All_Detail_v2[[#This Row],[Qty. Success]]</f>
        <v>0</v>
      </c>
      <c r="P279" s="230">
        <f>IF(All_Detail_v2[[#This Row],[Qty]]=0,1,(M279+N279+O279)/(All_Detail_v2[[#This Row],[Qty]]*3))</f>
        <v>0</v>
      </c>
      <c r="Q279" s="195"/>
      <c r="R279" s="414">
        <f>All_Detail_v2[[#This Row],[Scheduled Date]]</f>
        <v>46132</v>
      </c>
      <c r="S279" s="414">
        <f>All_Detail_v2[[#This Row],[Install Date]]</f>
        <v>0</v>
      </c>
    </row>
    <row r="280" spans="1:19">
      <c r="A280">
        <v>276</v>
      </c>
      <c r="B280" s="687" t="s">
        <v>362</v>
      </c>
      <c r="C280" s="688" t="s">
        <v>525</v>
      </c>
      <c r="D280" s="688" t="s">
        <v>526</v>
      </c>
      <c r="E280" s="689" t="s">
        <v>374</v>
      </c>
      <c r="F280" s="689">
        <v>2</v>
      </c>
      <c r="G280" s="689"/>
      <c r="H280" s="695"/>
      <c r="I280" s="695">
        <v>46132</v>
      </c>
      <c r="J280" s="689" t="s">
        <v>365</v>
      </c>
      <c r="K280" t="str">
        <f t="shared" si="16"/>
        <v>Switch</v>
      </c>
      <c r="M280" s="412">
        <f t="shared" si="15"/>
        <v>0</v>
      </c>
      <c r="N280" s="412">
        <f t="shared" si="17"/>
        <v>0</v>
      </c>
      <c r="O280" s="412">
        <f>All_Detail_v2[[#This Row],[Qty. Success]]</f>
        <v>0</v>
      </c>
      <c r="P280" s="230">
        <f>IF(All_Detail_v2[[#This Row],[Qty]]=0,1,(M280+N280+O280)/(All_Detail_v2[[#This Row],[Qty]]*3))</f>
        <v>0</v>
      </c>
      <c r="Q280" s="195"/>
      <c r="R280" s="414">
        <f>All_Detail_v2[[#This Row],[Scheduled Date]]</f>
        <v>46132</v>
      </c>
      <c r="S280" s="414">
        <f>All_Detail_v2[[#This Row],[Install Date]]</f>
        <v>0</v>
      </c>
    </row>
    <row r="281" spans="1:19">
      <c r="A281">
        <v>277</v>
      </c>
      <c r="B281" s="687" t="s">
        <v>362</v>
      </c>
      <c r="C281" s="688" t="s">
        <v>525</v>
      </c>
      <c r="D281" s="688" t="s">
        <v>526</v>
      </c>
      <c r="E281" s="689" t="s">
        <v>367</v>
      </c>
      <c r="F281" s="689">
        <v>2</v>
      </c>
      <c r="G281" s="689"/>
      <c r="H281" s="695"/>
      <c r="I281" s="695">
        <v>46132</v>
      </c>
      <c r="J281" s="689" t="s">
        <v>365</v>
      </c>
      <c r="K281" t="str">
        <f t="shared" si="16"/>
        <v>Switch</v>
      </c>
      <c r="M281" s="412">
        <f t="shared" si="15"/>
        <v>0</v>
      </c>
      <c r="N281" s="412">
        <f t="shared" si="17"/>
        <v>0</v>
      </c>
      <c r="O281" s="412">
        <f>All_Detail_v2[[#This Row],[Qty. Success]]</f>
        <v>0</v>
      </c>
      <c r="P281" s="230">
        <f>IF(All_Detail_v2[[#This Row],[Qty]]=0,1,(M281+N281+O281)/(All_Detail_v2[[#This Row],[Qty]]*3))</f>
        <v>0</v>
      </c>
      <c r="Q281" s="195"/>
      <c r="R281" s="414">
        <f>All_Detail_v2[[#This Row],[Scheduled Date]]</f>
        <v>46132</v>
      </c>
      <c r="S281" s="414">
        <f>All_Detail_v2[[#This Row],[Install Date]]</f>
        <v>0</v>
      </c>
    </row>
    <row r="282" spans="1:19">
      <c r="A282">
        <v>278</v>
      </c>
      <c r="B282" s="687" t="s">
        <v>362</v>
      </c>
      <c r="C282" s="688" t="s">
        <v>527</v>
      </c>
      <c r="D282" s="689" t="s">
        <v>41</v>
      </c>
      <c r="E282" s="689" t="s">
        <v>364</v>
      </c>
      <c r="F282" s="689">
        <v>9</v>
      </c>
      <c r="G282" s="689"/>
      <c r="H282" s="695"/>
      <c r="I282" s="695">
        <v>46133</v>
      </c>
      <c r="J282" s="689" t="s">
        <v>365</v>
      </c>
      <c r="K282" t="str">
        <f t="shared" si="16"/>
        <v>AP</v>
      </c>
      <c r="M282" s="412">
        <f t="shared" si="15"/>
        <v>0</v>
      </c>
      <c r="N282" s="412">
        <f t="shared" si="17"/>
        <v>0</v>
      </c>
      <c r="O282" s="412">
        <f>All_Detail_v2[[#This Row],[Qty. Success]]</f>
        <v>0</v>
      </c>
      <c r="P282" s="230">
        <f>IF(All_Detail_v2[[#This Row],[Qty]]=0,1,(M282+N282+O282)/(All_Detail_v2[[#This Row],[Qty]]*3))</f>
        <v>0</v>
      </c>
      <c r="Q282" s="195"/>
      <c r="R282" s="414">
        <f>All_Detail_v2[[#This Row],[Scheduled Date]]</f>
        <v>46133</v>
      </c>
      <c r="S282" s="414">
        <f>All_Detail_v2[[#This Row],[Install Date]]</f>
        <v>0</v>
      </c>
    </row>
    <row r="283" spans="1:19">
      <c r="A283">
        <v>279</v>
      </c>
      <c r="B283" s="687" t="s">
        <v>362</v>
      </c>
      <c r="C283" s="688" t="s">
        <v>527</v>
      </c>
      <c r="D283" s="689" t="s">
        <v>528</v>
      </c>
      <c r="E283" s="689" t="s">
        <v>374</v>
      </c>
      <c r="F283" s="689">
        <v>1</v>
      </c>
      <c r="G283" s="689"/>
      <c r="H283" s="695"/>
      <c r="I283" s="695">
        <v>46133</v>
      </c>
      <c r="J283" s="689" t="s">
        <v>365</v>
      </c>
      <c r="K283" t="str">
        <f t="shared" si="16"/>
        <v>Switch</v>
      </c>
      <c r="M283" s="412">
        <f t="shared" si="15"/>
        <v>0</v>
      </c>
      <c r="N283" s="412">
        <f t="shared" si="17"/>
        <v>0</v>
      </c>
      <c r="O283" s="412">
        <f>All_Detail_v2[[#This Row],[Qty. Success]]</f>
        <v>0</v>
      </c>
      <c r="P283" s="230">
        <f>IF(All_Detail_v2[[#This Row],[Qty]]=0,1,(M283+N283+O283)/(All_Detail_v2[[#This Row],[Qty]]*3))</f>
        <v>0</v>
      </c>
      <c r="Q283" s="195"/>
      <c r="R283" s="414">
        <f>All_Detail_v2[[#This Row],[Scheduled Date]]</f>
        <v>46133</v>
      </c>
      <c r="S283" s="414">
        <f>All_Detail_v2[[#This Row],[Install Date]]</f>
        <v>0</v>
      </c>
    </row>
    <row r="284" spans="1:19">
      <c r="A284">
        <v>280</v>
      </c>
      <c r="B284" s="687" t="s">
        <v>362</v>
      </c>
      <c r="C284" s="688" t="s">
        <v>527</v>
      </c>
      <c r="D284" s="689" t="s">
        <v>528</v>
      </c>
      <c r="E284" s="689" t="s">
        <v>375</v>
      </c>
      <c r="F284" s="689">
        <v>2</v>
      </c>
      <c r="G284" s="689"/>
      <c r="H284" s="695"/>
      <c r="I284" s="695">
        <v>46133</v>
      </c>
      <c r="J284" s="689" t="s">
        <v>365</v>
      </c>
      <c r="K284" t="str">
        <f t="shared" si="16"/>
        <v>Switch</v>
      </c>
      <c r="M284" s="412">
        <f t="shared" si="15"/>
        <v>0</v>
      </c>
      <c r="N284" s="412">
        <f t="shared" si="17"/>
        <v>0</v>
      </c>
      <c r="O284" s="412">
        <f>All_Detail_v2[[#This Row],[Qty. Success]]</f>
        <v>0</v>
      </c>
      <c r="P284" s="230">
        <f>IF(All_Detail_v2[[#This Row],[Qty]]=0,1,(M284+N284+O284)/(All_Detail_v2[[#This Row],[Qty]]*3))</f>
        <v>0</v>
      </c>
      <c r="Q284" s="195"/>
      <c r="R284" s="414">
        <f>All_Detail_v2[[#This Row],[Scheduled Date]]</f>
        <v>46133</v>
      </c>
      <c r="S284" s="414">
        <f>All_Detail_v2[[#This Row],[Install Date]]</f>
        <v>0</v>
      </c>
    </row>
    <row r="285" spans="1:19">
      <c r="A285">
        <v>281</v>
      </c>
      <c r="B285" s="687" t="s">
        <v>362</v>
      </c>
      <c r="C285" s="688" t="s">
        <v>529</v>
      </c>
      <c r="D285" s="689" t="s">
        <v>41</v>
      </c>
      <c r="E285" s="689" t="s">
        <v>364</v>
      </c>
      <c r="F285" s="689">
        <v>10</v>
      </c>
      <c r="G285" s="689"/>
      <c r="H285" s="695"/>
      <c r="I285" s="695">
        <v>46133</v>
      </c>
      <c r="J285" s="689" t="s">
        <v>365</v>
      </c>
      <c r="K285" t="str">
        <f t="shared" si="16"/>
        <v>AP</v>
      </c>
      <c r="M285" s="412">
        <f t="shared" si="15"/>
        <v>0</v>
      </c>
      <c r="N285" s="412">
        <f t="shared" si="17"/>
        <v>0</v>
      </c>
      <c r="O285" s="412">
        <f>All_Detail_v2[[#This Row],[Qty. Success]]</f>
        <v>0</v>
      </c>
      <c r="P285" s="230">
        <f>IF(All_Detail_v2[[#This Row],[Qty]]=0,1,(M285+N285+O285)/(All_Detail_v2[[#This Row],[Qty]]*3))</f>
        <v>0</v>
      </c>
      <c r="Q285" s="195"/>
      <c r="R285" s="414">
        <f>All_Detail_v2[[#This Row],[Scheduled Date]]</f>
        <v>46133</v>
      </c>
      <c r="S285" s="414">
        <f>All_Detail_v2[[#This Row],[Install Date]]</f>
        <v>0</v>
      </c>
    </row>
    <row r="286" spans="1:19">
      <c r="A286">
        <v>282</v>
      </c>
      <c r="B286" s="687" t="s">
        <v>362</v>
      </c>
      <c r="C286" s="688" t="s">
        <v>530</v>
      </c>
      <c r="D286" s="689" t="s">
        <v>41</v>
      </c>
      <c r="E286" s="689" t="s">
        <v>364</v>
      </c>
      <c r="F286" s="689">
        <v>6</v>
      </c>
      <c r="G286" s="689"/>
      <c r="H286" s="695"/>
      <c r="I286" s="695">
        <v>46134</v>
      </c>
      <c r="J286" s="689" t="s">
        <v>365</v>
      </c>
      <c r="K286" t="str">
        <f t="shared" si="16"/>
        <v>AP</v>
      </c>
      <c r="M286" s="412">
        <f t="shared" si="15"/>
        <v>0</v>
      </c>
      <c r="N286" s="412">
        <f t="shared" si="17"/>
        <v>0</v>
      </c>
      <c r="O286" s="412">
        <f>All_Detail_v2[[#This Row],[Qty. Success]]</f>
        <v>0</v>
      </c>
      <c r="P286" s="230">
        <f>IF(All_Detail_v2[[#This Row],[Qty]]=0,1,(M286+N286+O286)/(All_Detail_v2[[#This Row],[Qty]]*3))</f>
        <v>0</v>
      </c>
      <c r="Q286" s="195"/>
      <c r="R286" s="414">
        <f>All_Detail_v2[[#This Row],[Scheduled Date]]</f>
        <v>46134</v>
      </c>
      <c r="S286" s="414">
        <f>All_Detail_v2[[#This Row],[Install Date]]</f>
        <v>0</v>
      </c>
    </row>
    <row r="287" spans="1:19">
      <c r="A287">
        <v>283</v>
      </c>
      <c r="B287" s="687" t="s">
        <v>362</v>
      </c>
      <c r="C287" s="688" t="s">
        <v>530</v>
      </c>
      <c r="D287" s="688" t="s">
        <v>526</v>
      </c>
      <c r="E287" s="689" t="s">
        <v>374</v>
      </c>
      <c r="F287" s="689">
        <v>1</v>
      </c>
      <c r="G287" s="689"/>
      <c r="H287" s="695"/>
      <c r="I287" s="695">
        <v>46134</v>
      </c>
      <c r="J287" s="689" t="s">
        <v>365</v>
      </c>
      <c r="K287" t="str">
        <f t="shared" si="16"/>
        <v>Switch</v>
      </c>
      <c r="M287" s="412">
        <f t="shared" si="15"/>
        <v>0</v>
      </c>
      <c r="N287" s="412">
        <f t="shared" si="17"/>
        <v>0</v>
      </c>
      <c r="O287" s="412">
        <f>All_Detail_v2[[#This Row],[Qty. Success]]</f>
        <v>0</v>
      </c>
      <c r="P287" s="230">
        <f>IF(All_Detail_v2[[#This Row],[Qty]]=0,1,(M287+N287+O287)/(All_Detail_v2[[#This Row],[Qty]]*3))</f>
        <v>0</v>
      </c>
      <c r="Q287" s="195"/>
      <c r="R287" s="414">
        <f>All_Detail_v2[[#This Row],[Scheduled Date]]</f>
        <v>46134</v>
      </c>
      <c r="S287" s="414">
        <f>All_Detail_v2[[#This Row],[Install Date]]</f>
        <v>0</v>
      </c>
    </row>
    <row r="288" spans="1:19">
      <c r="A288">
        <v>284</v>
      </c>
      <c r="B288" s="687" t="s">
        <v>362</v>
      </c>
      <c r="C288" s="688" t="s">
        <v>530</v>
      </c>
      <c r="D288" s="688" t="s">
        <v>526</v>
      </c>
      <c r="E288" s="689" t="s">
        <v>367</v>
      </c>
      <c r="F288" s="689">
        <v>1</v>
      </c>
      <c r="G288" s="689"/>
      <c r="H288" s="695"/>
      <c r="I288" s="695">
        <v>46134</v>
      </c>
      <c r="J288" s="689" t="s">
        <v>365</v>
      </c>
      <c r="K288" t="str">
        <f t="shared" si="16"/>
        <v>Switch</v>
      </c>
      <c r="M288" s="412">
        <f t="shared" si="15"/>
        <v>0</v>
      </c>
      <c r="N288" s="412">
        <f t="shared" si="17"/>
        <v>0</v>
      </c>
      <c r="O288" s="412">
        <f>All_Detail_v2[[#This Row],[Qty. Success]]</f>
        <v>0</v>
      </c>
      <c r="P288" s="230">
        <f>IF(All_Detail_v2[[#This Row],[Qty]]=0,1,(M288+N288+O288)/(All_Detail_v2[[#This Row],[Qty]]*3))</f>
        <v>0</v>
      </c>
      <c r="Q288" s="195"/>
      <c r="R288" s="414">
        <f>All_Detail_v2[[#This Row],[Scheduled Date]]</f>
        <v>46134</v>
      </c>
      <c r="S288" s="414">
        <f>All_Detail_v2[[#This Row],[Install Date]]</f>
        <v>0</v>
      </c>
    </row>
    <row r="289" spans="1:19">
      <c r="A289">
        <v>285</v>
      </c>
      <c r="B289" s="687" t="s">
        <v>362</v>
      </c>
      <c r="C289" s="688" t="s">
        <v>530</v>
      </c>
      <c r="D289" s="688" t="s">
        <v>526</v>
      </c>
      <c r="E289" s="689" t="s">
        <v>412</v>
      </c>
      <c r="F289" s="689">
        <v>1</v>
      </c>
      <c r="G289" s="689"/>
      <c r="H289" s="695"/>
      <c r="I289" s="695">
        <v>46134</v>
      </c>
      <c r="J289" s="689" t="s">
        <v>365</v>
      </c>
      <c r="K289" t="str">
        <f t="shared" si="16"/>
        <v>Switch</v>
      </c>
      <c r="M289" s="412">
        <f t="shared" si="15"/>
        <v>0</v>
      </c>
      <c r="N289" s="412">
        <f t="shared" si="17"/>
        <v>0</v>
      </c>
      <c r="O289" s="412">
        <f>All_Detail_v2[[#This Row],[Qty. Success]]</f>
        <v>0</v>
      </c>
      <c r="P289" s="230">
        <f>IF(All_Detail_v2[[#This Row],[Qty]]=0,1,(M289+N289+O289)/(All_Detail_v2[[#This Row],[Qty]]*3))</f>
        <v>0</v>
      </c>
      <c r="Q289" s="195"/>
      <c r="R289" s="414">
        <f>All_Detail_v2[[#This Row],[Scheduled Date]]</f>
        <v>46134</v>
      </c>
      <c r="S289" s="414">
        <f>All_Detail_v2[[#This Row],[Install Date]]</f>
        <v>0</v>
      </c>
    </row>
    <row r="290" spans="1:19">
      <c r="A290">
        <v>286</v>
      </c>
      <c r="B290" s="687" t="s">
        <v>362</v>
      </c>
      <c r="C290" s="688" t="s">
        <v>530</v>
      </c>
      <c r="D290" s="688" t="s">
        <v>526</v>
      </c>
      <c r="E290" s="689" t="s">
        <v>410</v>
      </c>
      <c r="F290" s="689">
        <v>1</v>
      </c>
      <c r="G290" s="689"/>
      <c r="H290" s="695"/>
      <c r="I290" s="695">
        <v>46134</v>
      </c>
      <c r="J290" s="689" t="s">
        <v>365</v>
      </c>
      <c r="K290" t="str">
        <f t="shared" si="16"/>
        <v>Switch</v>
      </c>
      <c r="M290" s="412">
        <f t="shared" si="15"/>
        <v>0</v>
      </c>
      <c r="N290" s="412">
        <f t="shared" si="17"/>
        <v>0</v>
      </c>
      <c r="O290" s="412">
        <f>All_Detail_v2[[#This Row],[Qty. Success]]</f>
        <v>0</v>
      </c>
      <c r="P290" s="230">
        <f>IF(All_Detail_v2[[#This Row],[Qty]]=0,1,(M290+N290+O290)/(All_Detail_v2[[#This Row],[Qty]]*3))</f>
        <v>0</v>
      </c>
      <c r="Q290" s="195"/>
      <c r="R290" s="414">
        <f>All_Detail_v2[[#This Row],[Scheduled Date]]</f>
        <v>46134</v>
      </c>
      <c r="S290" s="414">
        <f>All_Detail_v2[[#This Row],[Install Date]]</f>
        <v>0</v>
      </c>
    </row>
    <row r="291" spans="1:19">
      <c r="A291">
        <v>287</v>
      </c>
      <c r="B291" s="687" t="s">
        <v>362</v>
      </c>
      <c r="C291" s="688" t="s">
        <v>531</v>
      </c>
      <c r="D291" s="689" t="s">
        <v>41</v>
      </c>
      <c r="E291" s="689" t="s">
        <v>364</v>
      </c>
      <c r="F291" s="689">
        <v>3</v>
      </c>
      <c r="G291" s="689"/>
      <c r="H291" s="695"/>
      <c r="I291" s="695">
        <v>46134</v>
      </c>
      <c r="J291" s="689" t="s">
        <v>365</v>
      </c>
      <c r="K291" t="str">
        <f t="shared" si="16"/>
        <v>AP</v>
      </c>
      <c r="M291" s="412">
        <f t="shared" si="15"/>
        <v>0</v>
      </c>
      <c r="N291" s="412">
        <f t="shared" si="17"/>
        <v>0</v>
      </c>
      <c r="O291" s="412">
        <f>All_Detail_v2[[#This Row],[Qty. Success]]</f>
        <v>0</v>
      </c>
      <c r="P291" s="230">
        <f>IF(All_Detail_v2[[#This Row],[Qty]]=0,1,(M291+N291+O291)/(All_Detail_v2[[#This Row],[Qty]]*3))</f>
        <v>0</v>
      </c>
      <c r="Q291" s="195"/>
      <c r="R291" s="414">
        <f>All_Detail_v2[[#This Row],[Scheduled Date]]</f>
        <v>46134</v>
      </c>
      <c r="S291" s="414">
        <f>All_Detail_v2[[#This Row],[Install Date]]</f>
        <v>0</v>
      </c>
    </row>
    <row r="292" spans="1:19">
      <c r="A292">
        <v>288</v>
      </c>
      <c r="B292" s="687" t="s">
        <v>362</v>
      </c>
      <c r="C292" s="688" t="s">
        <v>531</v>
      </c>
      <c r="D292" s="688" t="s">
        <v>532</v>
      </c>
      <c r="E292" s="689" t="s">
        <v>374</v>
      </c>
      <c r="F292" s="689">
        <v>1</v>
      </c>
      <c r="G292" s="689"/>
      <c r="H292" s="695"/>
      <c r="I292" s="695">
        <v>46134</v>
      </c>
      <c r="J292" s="689" t="s">
        <v>365</v>
      </c>
      <c r="K292" t="str">
        <f t="shared" si="16"/>
        <v>Switch</v>
      </c>
      <c r="M292" s="412">
        <f t="shared" si="15"/>
        <v>0</v>
      </c>
      <c r="N292" s="412">
        <f t="shared" si="17"/>
        <v>0</v>
      </c>
      <c r="O292" s="412">
        <f>All_Detail_v2[[#This Row],[Qty. Success]]</f>
        <v>0</v>
      </c>
      <c r="P292" s="230">
        <f>IF(All_Detail_v2[[#This Row],[Qty]]=0,1,(M292+N292+O292)/(All_Detail_v2[[#This Row],[Qty]]*3))</f>
        <v>0</v>
      </c>
      <c r="Q292" s="195"/>
      <c r="R292" s="414">
        <f>All_Detail_v2[[#This Row],[Scheduled Date]]</f>
        <v>46134</v>
      </c>
      <c r="S292" s="414">
        <f>All_Detail_v2[[#This Row],[Install Date]]</f>
        <v>0</v>
      </c>
    </row>
    <row r="293" spans="1:19">
      <c r="A293">
        <v>289</v>
      </c>
      <c r="B293" s="687" t="s">
        <v>362</v>
      </c>
      <c r="C293" s="688" t="s">
        <v>531</v>
      </c>
      <c r="D293" s="688" t="s">
        <v>532</v>
      </c>
      <c r="E293" s="689" t="s">
        <v>375</v>
      </c>
      <c r="F293" s="689">
        <v>2</v>
      </c>
      <c r="G293" s="689"/>
      <c r="H293" s="695"/>
      <c r="I293" s="695">
        <v>46134</v>
      </c>
      <c r="J293" s="689" t="s">
        <v>365</v>
      </c>
      <c r="K293" t="str">
        <f t="shared" si="16"/>
        <v>Switch</v>
      </c>
      <c r="M293" s="412">
        <f t="shared" si="15"/>
        <v>0</v>
      </c>
      <c r="N293" s="412">
        <f t="shared" si="17"/>
        <v>0</v>
      </c>
      <c r="O293" s="412">
        <f>All_Detail_v2[[#This Row],[Qty. Success]]</f>
        <v>0</v>
      </c>
      <c r="P293" s="230">
        <f>IF(All_Detail_v2[[#This Row],[Qty]]=0,1,(M293+N293+O293)/(All_Detail_v2[[#This Row],[Qty]]*3))</f>
        <v>0</v>
      </c>
      <c r="Q293" s="195"/>
      <c r="R293" s="414">
        <f>All_Detail_v2[[#This Row],[Scheduled Date]]</f>
        <v>46134</v>
      </c>
      <c r="S293" s="414">
        <f>All_Detail_v2[[#This Row],[Install Date]]</f>
        <v>0</v>
      </c>
    </row>
    <row r="294" spans="1:19">
      <c r="A294">
        <v>290</v>
      </c>
      <c r="B294" s="687" t="s">
        <v>362</v>
      </c>
      <c r="C294" s="689" t="s">
        <v>533</v>
      </c>
      <c r="D294" s="689" t="s">
        <v>533</v>
      </c>
      <c r="E294" s="689" t="s">
        <v>370</v>
      </c>
      <c r="F294" s="689">
        <v>1</v>
      </c>
      <c r="G294" s="689"/>
      <c r="H294" s="695"/>
      <c r="I294" s="695">
        <v>46136</v>
      </c>
      <c r="J294" s="689" t="s">
        <v>365</v>
      </c>
      <c r="K294" t="str">
        <f t="shared" si="16"/>
        <v>Switch</v>
      </c>
      <c r="M294" s="412">
        <f t="shared" si="15"/>
        <v>0</v>
      </c>
      <c r="N294" s="412">
        <f t="shared" si="17"/>
        <v>0</v>
      </c>
      <c r="O294" s="412">
        <f>All_Detail_v2[[#This Row],[Qty. Success]]</f>
        <v>0</v>
      </c>
      <c r="P294" s="230">
        <f>IF(All_Detail_v2[[#This Row],[Qty]]=0,1,(M294+N294+O294)/(All_Detail_v2[[#This Row],[Qty]]*3))</f>
        <v>0</v>
      </c>
      <c r="Q294" s="195"/>
      <c r="R294" s="414">
        <f>All_Detail_v2[[#This Row],[Scheduled Date]]</f>
        <v>46136</v>
      </c>
      <c r="S294" s="414">
        <f>All_Detail_v2[[#This Row],[Install Date]]</f>
        <v>0</v>
      </c>
    </row>
    <row r="295" spans="1:19">
      <c r="A295">
        <v>291</v>
      </c>
      <c r="B295" s="687" t="s">
        <v>362</v>
      </c>
      <c r="C295" s="689" t="s">
        <v>533</v>
      </c>
      <c r="D295" s="689" t="s">
        <v>533</v>
      </c>
      <c r="E295" s="689" t="s">
        <v>375</v>
      </c>
      <c r="F295" s="689">
        <v>1</v>
      </c>
      <c r="G295" s="689"/>
      <c r="H295" s="695"/>
      <c r="I295" s="695">
        <v>46136</v>
      </c>
      <c r="J295" s="689" t="s">
        <v>365</v>
      </c>
      <c r="K295" t="str">
        <f t="shared" si="16"/>
        <v>Switch</v>
      </c>
      <c r="M295" s="412">
        <f t="shared" si="15"/>
        <v>0</v>
      </c>
      <c r="N295" s="412">
        <f t="shared" si="17"/>
        <v>0</v>
      </c>
      <c r="O295" s="412">
        <f>All_Detail_v2[[#This Row],[Qty. Success]]</f>
        <v>0</v>
      </c>
      <c r="P295" s="230">
        <f>IF(All_Detail_v2[[#This Row],[Qty]]=0,1,(M295+N295+O295)/(All_Detail_v2[[#This Row],[Qty]]*3))</f>
        <v>0</v>
      </c>
      <c r="Q295" s="195"/>
      <c r="R295" s="414">
        <f>All_Detail_v2[[#This Row],[Scheduled Date]]</f>
        <v>46136</v>
      </c>
      <c r="S295" s="414">
        <f>All_Detail_v2[[#This Row],[Install Date]]</f>
        <v>0</v>
      </c>
    </row>
    <row r="296" spans="1:19">
      <c r="A296">
        <v>292</v>
      </c>
      <c r="B296" s="687" t="s">
        <v>362</v>
      </c>
      <c r="C296" s="689" t="s">
        <v>534</v>
      </c>
      <c r="D296" s="689" t="s">
        <v>534</v>
      </c>
      <c r="E296" s="689" t="s">
        <v>370</v>
      </c>
      <c r="F296" s="689">
        <v>1</v>
      </c>
      <c r="G296" s="689"/>
      <c r="H296" s="695"/>
      <c r="I296" s="695">
        <v>46135</v>
      </c>
      <c r="J296" s="689" t="s">
        <v>365</v>
      </c>
      <c r="K296" t="str">
        <f t="shared" si="16"/>
        <v>Switch</v>
      </c>
      <c r="M296" s="412">
        <f t="shared" si="15"/>
        <v>0</v>
      </c>
      <c r="N296" s="412">
        <f t="shared" si="17"/>
        <v>0</v>
      </c>
      <c r="O296" s="412">
        <f>All_Detail_v2[[#This Row],[Qty. Success]]</f>
        <v>0</v>
      </c>
      <c r="P296" s="230">
        <f>IF(All_Detail_v2[[#This Row],[Qty]]=0,1,(M296+N296+O296)/(All_Detail_v2[[#This Row],[Qty]]*3))</f>
        <v>0</v>
      </c>
      <c r="Q296" s="195"/>
      <c r="R296" s="414">
        <f>All_Detail_v2[[#This Row],[Scheduled Date]]</f>
        <v>46135</v>
      </c>
      <c r="S296" s="414">
        <f>All_Detail_v2[[#This Row],[Install Date]]</f>
        <v>0</v>
      </c>
    </row>
    <row r="297" spans="1:19">
      <c r="A297">
        <v>293</v>
      </c>
      <c r="B297" s="687" t="s">
        <v>362</v>
      </c>
      <c r="C297" s="689" t="s">
        <v>534</v>
      </c>
      <c r="D297" s="689" t="s">
        <v>534</v>
      </c>
      <c r="E297" s="689" t="s">
        <v>375</v>
      </c>
      <c r="F297" s="689">
        <v>1</v>
      </c>
      <c r="G297" s="689"/>
      <c r="H297" s="695"/>
      <c r="I297" s="695">
        <v>46135</v>
      </c>
      <c r="J297" s="689" t="s">
        <v>365</v>
      </c>
      <c r="K297" t="str">
        <f t="shared" si="16"/>
        <v>Switch</v>
      </c>
      <c r="M297" s="412">
        <f t="shared" si="15"/>
        <v>0</v>
      </c>
      <c r="N297" s="412">
        <f t="shared" si="17"/>
        <v>0</v>
      </c>
      <c r="O297" s="412">
        <f>All_Detail_v2[[#This Row],[Qty. Success]]</f>
        <v>0</v>
      </c>
      <c r="P297" s="230">
        <f>IF(All_Detail_v2[[#This Row],[Qty]]=0,1,(M297+N297+O297)/(All_Detail_v2[[#This Row],[Qty]]*3))</f>
        <v>0</v>
      </c>
      <c r="Q297" s="195"/>
      <c r="R297" s="414">
        <f>All_Detail_v2[[#This Row],[Scheduled Date]]</f>
        <v>46135</v>
      </c>
      <c r="S297" s="414">
        <f>All_Detail_v2[[#This Row],[Install Date]]</f>
        <v>0</v>
      </c>
    </row>
    <row r="298" spans="1:19">
      <c r="A298">
        <v>294</v>
      </c>
      <c r="B298" s="687" t="s">
        <v>362</v>
      </c>
      <c r="C298" s="689" t="s">
        <v>535</v>
      </c>
      <c r="D298" s="689" t="s">
        <v>535</v>
      </c>
      <c r="E298" s="689" t="s">
        <v>370</v>
      </c>
      <c r="F298" s="689">
        <v>1</v>
      </c>
      <c r="G298" s="689"/>
      <c r="H298" s="695"/>
      <c r="I298" s="695">
        <v>46135</v>
      </c>
      <c r="J298" s="689" t="s">
        <v>365</v>
      </c>
      <c r="K298" t="str">
        <f t="shared" si="16"/>
        <v>Switch</v>
      </c>
      <c r="M298" s="412">
        <f t="shared" si="15"/>
        <v>0</v>
      </c>
      <c r="N298" s="412">
        <f t="shared" si="17"/>
        <v>0</v>
      </c>
      <c r="O298" s="412">
        <f>All_Detail_v2[[#This Row],[Qty. Success]]</f>
        <v>0</v>
      </c>
      <c r="P298" s="230">
        <f>IF(All_Detail_v2[[#This Row],[Qty]]=0,1,(M298+N298+O298)/(All_Detail_v2[[#This Row],[Qty]]*3))</f>
        <v>0</v>
      </c>
      <c r="Q298" s="195"/>
      <c r="R298" s="414">
        <f>All_Detail_v2[[#This Row],[Scheduled Date]]</f>
        <v>46135</v>
      </c>
      <c r="S298" s="414">
        <f>All_Detail_v2[[#This Row],[Install Date]]</f>
        <v>0</v>
      </c>
    </row>
    <row r="299" spans="1:19">
      <c r="A299">
        <v>295</v>
      </c>
      <c r="B299" s="687" t="s">
        <v>362</v>
      </c>
      <c r="C299" s="689" t="s">
        <v>535</v>
      </c>
      <c r="D299" s="689" t="s">
        <v>535</v>
      </c>
      <c r="E299" s="689" t="s">
        <v>375</v>
      </c>
      <c r="F299" s="689">
        <v>1</v>
      </c>
      <c r="G299" s="689"/>
      <c r="H299" s="695"/>
      <c r="I299" s="695">
        <v>46135</v>
      </c>
      <c r="J299" s="689" t="s">
        <v>365</v>
      </c>
      <c r="K299" t="str">
        <f t="shared" si="16"/>
        <v>Switch</v>
      </c>
      <c r="M299" s="412">
        <f t="shared" si="15"/>
        <v>0</v>
      </c>
      <c r="N299" s="412">
        <f t="shared" si="17"/>
        <v>0</v>
      </c>
      <c r="O299" s="412">
        <f>All_Detail_v2[[#This Row],[Qty. Success]]</f>
        <v>0</v>
      </c>
      <c r="P299" s="230">
        <f>IF(All_Detail_v2[[#This Row],[Qty]]=0,1,(M299+N299+O299)/(All_Detail_v2[[#This Row],[Qty]]*3))</f>
        <v>0</v>
      </c>
      <c r="Q299" s="195"/>
      <c r="R299" s="414">
        <f>All_Detail_v2[[#This Row],[Scheduled Date]]</f>
        <v>46135</v>
      </c>
      <c r="S299" s="414">
        <f>All_Detail_v2[[#This Row],[Install Date]]</f>
        <v>0</v>
      </c>
    </row>
    <row r="300" spans="1:19">
      <c r="A300">
        <v>296</v>
      </c>
      <c r="B300" s="687" t="s">
        <v>362</v>
      </c>
      <c r="C300" s="689" t="s">
        <v>536</v>
      </c>
      <c r="D300" s="688" t="s">
        <v>537</v>
      </c>
      <c r="E300" s="689" t="s">
        <v>370</v>
      </c>
      <c r="F300" s="689">
        <v>1</v>
      </c>
      <c r="G300" s="689"/>
      <c r="H300" s="695"/>
      <c r="I300" s="695">
        <v>46174</v>
      </c>
      <c r="J300" s="689" t="s">
        <v>398</v>
      </c>
      <c r="K300" t="str">
        <f t="shared" si="16"/>
        <v>Switch</v>
      </c>
      <c r="L300" t="s">
        <v>458</v>
      </c>
      <c r="M300" s="412">
        <f t="shared" si="15"/>
        <v>0</v>
      </c>
      <c r="N300" s="412">
        <f t="shared" si="17"/>
        <v>0</v>
      </c>
      <c r="O300" s="412">
        <f>All_Detail_v2[[#This Row],[Qty. Success]]</f>
        <v>0</v>
      </c>
      <c r="P300" s="230">
        <f>IF(All_Detail_v2[[#This Row],[Qty]]=0,1,(M300+N300+O300)/(All_Detail_v2[[#This Row],[Qty]]*3))</f>
        <v>0</v>
      </c>
      <c r="Q300" s="195"/>
      <c r="R300" s="414">
        <f>All_Detail_v2[[#This Row],[Scheduled Date]]</f>
        <v>46174</v>
      </c>
      <c r="S300" s="414">
        <f>All_Detail_v2[[#This Row],[Install Date]]</f>
        <v>0</v>
      </c>
    </row>
    <row r="301" spans="1:19">
      <c r="A301">
        <v>297</v>
      </c>
      <c r="B301" s="687" t="s">
        <v>362</v>
      </c>
      <c r="C301" s="688" t="s">
        <v>538</v>
      </c>
      <c r="D301" s="688" t="s">
        <v>539</v>
      </c>
      <c r="E301" s="689" t="s">
        <v>374</v>
      </c>
      <c r="F301" s="689">
        <v>1</v>
      </c>
      <c r="G301" s="689"/>
      <c r="H301" s="695"/>
      <c r="I301" s="695">
        <v>46135</v>
      </c>
      <c r="J301" s="689" t="s">
        <v>365</v>
      </c>
      <c r="K301" t="str">
        <f t="shared" si="16"/>
        <v>Switch</v>
      </c>
      <c r="M301" s="412">
        <f t="shared" si="15"/>
        <v>0</v>
      </c>
      <c r="N301" s="412">
        <f t="shared" si="17"/>
        <v>0</v>
      </c>
      <c r="O301" s="412">
        <f>All_Detail_v2[[#This Row],[Qty. Success]]</f>
        <v>0</v>
      </c>
      <c r="P301" s="230">
        <f>IF(All_Detail_v2[[#This Row],[Qty]]=0,1,(M301+N301+O301)/(All_Detail_v2[[#This Row],[Qty]]*3))</f>
        <v>0</v>
      </c>
      <c r="Q301" s="195"/>
      <c r="R301" s="414">
        <f>All_Detail_v2[[#This Row],[Scheduled Date]]</f>
        <v>46135</v>
      </c>
      <c r="S301" s="414">
        <f>All_Detail_v2[[#This Row],[Install Date]]</f>
        <v>0</v>
      </c>
    </row>
    <row r="302" spans="1:19">
      <c r="A302">
        <v>298</v>
      </c>
      <c r="B302" s="687" t="s">
        <v>362</v>
      </c>
      <c r="C302" s="688" t="s">
        <v>540</v>
      </c>
      <c r="D302" s="689" t="s">
        <v>528</v>
      </c>
      <c r="E302" s="689" t="s">
        <v>370</v>
      </c>
      <c r="F302" s="689">
        <v>1</v>
      </c>
      <c r="G302" s="689"/>
      <c r="H302" s="695"/>
      <c r="I302" s="695">
        <v>46135</v>
      </c>
      <c r="J302" s="689" t="s">
        <v>365</v>
      </c>
      <c r="K302" t="str">
        <f t="shared" si="16"/>
        <v>Switch</v>
      </c>
      <c r="M302" s="412">
        <f t="shared" si="15"/>
        <v>0</v>
      </c>
      <c r="N302" s="412">
        <f t="shared" si="17"/>
        <v>0</v>
      </c>
      <c r="O302" s="412">
        <f>All_Detail_v2[[#This Row],[Qty. Success]]</f>
        <v>0</v>
      </c>
      <c r="P302" s="230">
        <f>IF(All_Detail_v2[[#This Row],[Qty]]=0,1,(M302+N302+O302)/(All_Detail_v2[[#This Row],[Qty]]*3))</f>
        <v>0</v>
      </c>
      <c r="Q302" s="195"/>
      <c r="R302" s="414">
        <f>All_Detail_v2[[#This Row],[Scheduled Date]]</f>
        <v>46135</v>
      </c>
      <c r="S302" s="414">
        <f>All_Detail_v2[[#This Row],[Install Date]]</f>
        <v>0</v>
      </c>
    </row>
    <row r="303" spans="1:19">
      <c r="A303">
        <v>299</v>
      </c>
      <c r="B303" s="687" t="s">
        <v>541</v>
      </c>
      <c r="C303" s="688" t="s">
        <v>542</v>
      </c>
      <c r="D303" s="689" t="s">
        <v>543</v>
      </c>
      <c r="E303" s="689" t="s">
        <v>370</v>
      </c>
      <c r="F303" s="689">
        <v>4</v>
      </c>
      <c r="G303" s="689">
        <v>4</v>
      </c>
      <c r="H303" s="695">
        <v>46095</v>
      </c>
      <c r="I303" s="695">
        <v>46095</v>
      </c>
      <c r="J303" s="689" t="s">
        <v>368</v>
      </c>
      <c r="K303" t="str">
        <f t="shared" si="16"/>
        <v>Switch</v>
      </c>
      <c r="M303" s="412">
        <f t="shared" si="15"/>
        <v>4</v>
      </c>
      <c r="N303" s="412">
        <f t="shared" si="17"/>
        <v>4</v>
      </c>
      <c r="O303" s="412">
        <f>All_Detail_v2[[#This Row],[Qty. Success]]</f>
        <v>4</v>
      </c>
      <c r="P303" s="230">
        <f>IF(All_Detail_v2[[#This Row],[Qty]]=0,1,(M303+N303+O303)/(All_Detail_v2[[#This Row],[Qty]]*3))</f>
        <v>1</v>
      </c>
      <c r="Q303" s="195"/>
      <c r="R303" s="414">
        <f>All_Detail_v2[[#This Row],[Scheduled Date]]</f>
        <v>46095</v>
      </c>
      <c r="S303" s="414">
        <f>All_Detail_v2[[#This Row],[Install Date]]</f>
        <v>46095</v>
      </c>
    </row>
    <row r="304" spans="1:19">
      <c r="A304">
        <v>300</v>
      </c>
      <c r="B304" s="687" t="s">
        <v>541</v>
      </c>
      <c r="C304" s="688" t="s">
        <v>542</v>
      </c>
      <c r="D304" s="689" t="s">
        <v>543</v>
      </c>
      <c r="E304" s="689" t="s">
        <v>375</v>
      </c>
      <c r="F304" s="689">
        <v>2</v>
      </c>
      <c r="G304" s="689">
        <v>2</v>
      </c>
      <c r="H304" s="695">
        <v>46095</v>
      </c>
      <c r="I304" s="695">
        <v>46095</v>
      </c>
      <c r="J304" s="689" t="s">
        <v>368</v>
      </c>
      <c r="K304" t="str">
        <f t="shared" si="16"/>
        <v>Switch</v>
      </c>
      <c r="M304" s="412">
        <f t="shared" si="15"/>
        <v>2</v>
      </c>
      <c r="N304" s="412">
        <f t="shared" si="17"/>
        <v>2</v>
      </c>
      <c r="O304" s="412">
        <f>All_Detail_v2[[#This Row],[Qty. Success]]</f>
        <v>2</v>
      </c>
      <c r="P304" s="230">
        <f>IF(All_Detail_v2[[#This Row],[Qty]]=0,1,(M304+N304+O304)/(All_Detail_v2[[#This Row],[Qty]]*3))</f>
        <v>1</v>
      </c>
      <c r="Q304" s="195"/>
      <c r="R304" s="414">
        <f>All_Detail_v2[[#This Row],[Scheduled Date]]</f>
        <v>46095</v>
      </c>
      <c r="S304" s="414">
        <f>All_Detail_v2[[#This Row],[Install Date]]</f>
        <v>46095</v>
      </c>
    </row>
    <row r="305" spans="1:19">
      <c r="A305">
        <v>301</v>
      </c>
      <c r="B305" s="687" t="s">
        <v>541</v>
      </c>
      <c r="C305" s="688" t="s">
        <v>542</v>
      </c>
      <c r="D305" s="689" t="s">
        <v>544</v>
      </c>
      <c r="E305" s="689" t="s">
        <v>370</v>
      </c>
      <c r="F305" s="689">
        <v>8</v>
      </c>
      <c r="G305" s="689">
        <v>8</v>
      </c>
      <c r="H305" s="695">
        <v>46095</v>
      </c>
      <c r="I305" s="695">
        <v>46095</v>
      </c>
      <c r="J305" s="689" t="s">
        <v>368</v>
      </c>
      <c r="K305" t="str">
        <f t="shared" si="16"/>
        <v>Switch</v>
      </c>
      <c r="M305" s="412">
        <f t="shared" si="15"/>
        <v>8</v>
      </c>
      <c r="N305" s="412">
        <f t="shared" si="17"/>
        <v>8</v>
      </c>
      <c r="O305" s="412">
        <f>All_Detail_v2[[#This Row],[Qty. Success]]</f>
        <v>8</v>
      </c>
      <c r="P305" s="230">
        <f>IF(All_Detail_v2[[#This Row],[Qty]]=0,1,(M305+N305+O305)/(All_Detail_v2[[#This Row],[Qty]]*3))</f>
        <v>1</v>
      </c>
      <c r="Q305" s="195"/>
      <c r="R305" s="414">
        <f>All_Detail_v2[[#This Row],[Scheduled Date]]</f>
        <v>46095</v>
      </c>
      <c r="S305" s="414">
        <f>All_Detail_v2[[#This Row],[Install Date]]</f>
        <v>46095</v>
      </c>
    </row>
    <row r="306" spans="1:19">
      <c r="A306">
        <v>302</v>
      </c>
      <c r="B306" s="687" t="s">
        <v>541</v>
      </c>
      <c r="C306" s="688" t="s">
        <v>542</v>
      </c>
      <c r="D306" s="689" t="s">
        <v>544</v>
      </c>
      <c r="E306" s="689" t="s">
        <v>375</v>
      </c>
      <c r="F306" s="689">
        <v>4</v>
      </c>
      <c r="G306" s="689">
        <v>4</v>
      </c>
      <c r="H306" s="695">
        <v>46095</v>
      </c>
      <c r="I306" s="695">
        <v>46095</v>
      </c>
      <c r="J306" s="689" t="s">
        <v>368</v>
      </c>
      <c r="K306" t="str">
        <f t="shared" si="16"/>
        <v>Switch</v>
      </c>
      <c r="M306" s="412">
        <f t="shared" si="15"/>
        <v>4</v>
      </c>
      <c r="N306" s="412">
        <f t="shared" si="17"/>
        <v>4</v>
      </c>
      <c r="O306" s="412">
        <f>All_Detail_v2[[#This Row],[Qty. Success]]</f>
        <v>4</v>
      </c>
      <c r="P306" s="230">
        <f>IF(All_Detail_v2[[#This Row],[Qty]]=0,1,(M306+N306+O306)/(All_Detail_v2[[#This Row],[Qty]]*3))</f>
        <v>1</v>
      </c>
      <c r="Q306" s="195"/>
      <c r="R306" s="414">
        <f>All_Detail_v2[[#This Row],[Scheduled Date]]</f>
        <v>46095</v>
      </c>
      <c r="S306" s="414">
        <f>All_Detail_v2[[#This Row],[Install Date]]</f>
        <v>46095</v>
      </c>
    </row>
    <row r="307" spans="1:19">
      <c r="A307">
        <v>303</v>
      </c>
      <c r="B307" s="687" t="s">
        <v>541</v>
      </c>
      <c r="C307" s="690" t="s">
        <v>545</v>
      </c>
      <c r="D307" s="689" t="s">
        <v>41</v>
      </c>
      <c r="E307" s="689" t="s">
        <v>364</v>
      </c>
      <c r="F307" s="689">
        <v>24</v>
      </c>
      <c r="G307" s="689">
        <v>24</v>
      </c>
      <c r="H307" s="695">
        <v>46063</v>
      </c>
      <c r="I307" s="695">
        <v>46079</v>
      </c>
      <c r="J307" s="689" t="s">
        <v>368</v>
      </c>
      <c r="K307" t="str">
        <f t="shared" si="16"/>
        <v>AP</v>
      </c>
      <c r="M307" s="412">
        <f t="shared" si="15"/>
        <v>24</v>
      </c>
      <c r="N307" s="412">
        <f t="shared" si="17"/>
        <v>24</v>
      </c>
      <c r="O307" s="412">
        <f>All_Detail_v2[[#This Row],[Qty. Success]]</f>
        <v>24</v>
      </c>
      <c r="P307" s="230">
        <f>IF(All_Detail_v2[[#This Row],[Qty]]=0,1,(M307+N307+O307)/(All_Detail_v2[[#This Row],[Qty]]*3))</f>
        <v>1</v>
      </c>
      <c r="Q307" s="195"/>
      <c r="R307" s="414">
        <f>All_Detail_v2[[#This Row],[Scheduled Date]]</f>
        <v>46079</v>
      </c>
      <c r="S307" s="414">
        <f>All_Detail_v2[[#This Row],[Install Date]]</f>
        <v>46063</v>
      </c>
    </row>
    <row r="308" spans="1:19">
      <c r="A308">
        <v>304</v>
      </c>
      <c r="B308" s="687" t="s">
        <v>541</v>
      </c>
      <c r="C308" s="688" t="s">
        <v>542</v>
      </c>
      <c r="D308" s="689" t="s">
        <v>546</v>
      </c>
      <c r="E308" s="689" t="s">
        <v>375</v>
      </c>
      <c r="F308" s="689">
        <v>2</v>
      </c>
      <c r="G308" s="689">
        <v>2</v>
      </c>
      <c r="H308" s="695">
        <v>46095</v>
      </c>
      <c r="I308" s="695">
        <v>46095</v>
      </c>
      <c r="J308" s="689" t="s">
        <v>368</v>
      </c>
      <c r="K308" t="str">
        <f t="shared" si="16"/>
        <v>Switch</v>
      </c>
      <c r="M308" s="412">
        <f t="shared" si="15"/>
        <v>2</v>
      </c>
      <c r="N308" s="412">
        <f t="shared" si="17"/>
        <v>2</v>
      </c>
      <c r="O308" s="412">
        <f>All_Detail_v2[[#This Row],[Qty. Success]]</f>
        <v>2</v>
      </c>
      <c r="P308" s="230">
        <f>IF(All_Detail_v2[[#This Row],[Qty]]=0,1,(M308+N308+O308)/(All_Detail_v2[[#This Row],[Qty]]*3))</f>
        <v>1</v>
      </c>
      <c r="Q308" s="195"/>
      <c r="R308" s="414">
        <f>All_Detail_v2[[#This Row],[Scheduled Date]]</f>
        <v>46095</v>
      </c>
      <c r="S308" s="414">
        <f>All_Detail_v2[[#This Row],[Install Date]]</f>
        <v>46095</v>
      </c>
    </row>
    <row r="309" spans="1:19">
      <c r="A309">
        <v>305</v>
      </c>
      <c r="B309" s="687" t="s">
        <v>541</v>
      </c>
      <c r="C309" s="688" t="s">
        <v>542</v>
      </c>
      <c r="D309" s="689" t="s">
        <v>547</v>
      </c>
      <c r="E309" s="689" t="s">
        <v>370</v>
      </c>
      <c r="F309" s="689">
        <v>4</v>
      </c>
      <c r="G309" s="689">
        <v>4</v>
      </c>
      <c r="H309" s="695">
        <v>46095</v>
      </c>
      <c r="I309" s="695">
        <v>46095</v>
      </c>
      <c r="J309" s="689" t="s">
        <v>368</v>
      </c>
      <c r="K309" t="str">
        <f t="shared" si="16"/>
        <v>Switch</v>
      </c>
      <c r="M309" s="412">
        <f t="shared" si="15"/>
        <v>4</v>
      </c>
      <c r="N309" s="412">
        <f t="shared" si="17"/>
        <v>4</v>
      </c>
      <c r="O309" s="412">
        <f>All_Detail_v2[[#This Row],[Qty. Success]]</f>
        <v>4</v>
      </c>
      <c r="P309" s="230">
        <f>IF(All_Detail_v2[[#This Row],[Qty]]=0,1,(M309+N309+O309)/(All_Detail_v2[[#This Row],[Qty]]*3))</f>
        <v>1</v>
      </c>
      <c r="Q309" s="195"/>
      <c r="R309" s="414">
        <f>All_Detail_v2[[#This Row],[Scheduled Date]]</f>
        <v>46095</v>
      </c>
      <c r="S309" s="414">
        <f>All_Detail_v2[[#This Row],[Install Date]]</f>
        <v>46095</v>
      </c>
    </row>
    <row r="310" spans="1:19">
      <c r="A310">
        <v>306</v>
      </c>
      <c r="B310" s="687" t="s">
        <v>541</v>
      </c>
      <c r="C310" s="688" t="s">
        <v>542</v>
      </c>
      <c r="D310" s="689" t="s">
        <v>548</v>
      </c>
      <c r="E310" s="689" t="s">
        <v>370</v>
      </c>
      <c r="F310" s="689">
        <v>1</v>
      </c>
      <c r="G310" s="689">
        <v>1</v>
      </c>
      <c r="H310" s="695">
        <v>46095</v>
      </c>
      <c r="I310" s="695">
        <v>46095</v>
      </c>
      <c r="J310" s="689" t="s">
        <v>368</v>
      </c>
      <c r="K310" t="str">
        <f t="shared" si="16"/>
        <v>Switch</v>
      </c>
      <c r="M310" s="412">
        <f t="shared" si="15"/>
        <v>1</v>
      </c>
      <c r="N310" s="412">
        <f t="shared" si="17"/>
        <v>1</v>
      </c>
      <c r="O310" s="412">
        <f>All_Detail_v2[[#This Row],[Qty. Success]]</f>
        <v>1</v>
      </c>
      <c r="P310" s="230">
        <f>IF(All_Detail_v2[[#This Row],[Qty]]=0,1,(M310+N310+O310)/(All_Detail_v2[[#This Row],[Qty]]*3))</f>
        <v>1</v>
      </c>
      <c r="Q310" s="195"/>
      <c r="R310" s="414">
        <f>All_Detail_v2[[#This Row],[Scheduled Date]]</f>
        <v>46095</v>
      </c>
      <c r="S310" s="414">
        <f>All_Detail_v2[[#This Row],[Install Date]]</f>
        <v>46095</v>
      </c>
    </row>
    <row r="311" spans="1:19">
      <c r="A311">
        <v>307</v>
      </c>
      <c r="B311" s="687" t="s">
        <v>541</v>
      </c>
      <c r="C311" s="688" t="s">
        <v>542</v>
      </c>
      <c r="D311" s="689" t="s">
        <v>485</v>
      </c>
      <c r="E311" s="689" t="s">
        <v>370</v>
      </c>
      <c r="F311" s="689">
        <v>7</v>
      </c>
      <c r="G311" s="689">
        <v>7</v>
      </c>
      <c r="H311" s="695">
        <v>46095</v>
      </c>
      <c r="I311" s="695">
        <v>46095</v>
      </c>
      <c r="J311" s="689" t="s">
        <v>368</v>
      </c>
      <c r="K311" t="str">
        <f t="shared" si="16"/>
        <v>Switch</v>
      </c>
      <c r="M311" s="412">
        <f t="shared" si="15"/>
        <v>7</v>
      </c>
      <c r="N311" s="412">
        <f t="shared" si="17"/>
        <v>7</v>
      </c>
      <c r="O311" s="412">
        <f>All_Detail_v2[[#This Row],[Qty. Success]]</f>
        <v>7</v>
      </c>
      <c r="P311" s="230">
        <f>IF(All_Detail_v2[[#This Row],[Qty]]=0,1,(M311+N311+O311)/(All_Detail_v2[[#This Row],[Qty]]*3))</f>
        <v>1</v>
      </c>
      <c r="Q311" s="195"/>
      <c r="R311" s="414">
        <f>All_Detail_v2[[#This Row],[Scheduled Date]]</f>
        <v>46095</v>
      </c>
      <c r="S311" s="414">
        <f>All_Detail_v2[[#This Row],[Install Date]]</f>
        <v>46095</v>
      </c>
    </row>
    <row r="312" spans="1:19">
      <c r="A312">
        <v>308</v>
      </c>
      <c r="B312" s="687" t="s">
        <v>541</v>
      </c>
      <c r="C312" s="688" t="s">
        <v>542</v>
      </c>
      <c r="D312" s="689" t="s">
        <v>485</v>
      </c>
      <c r="E312" s="689" t="s">
        <v>375</v>
      </c>
      <c r="F312" s="689">
        <v>1</v>
      </c>
      <c r="G312" s="689">
        <v>1</v>
      </c>
      <c r="H312" s="695">
        <v>46095</v>
      </c>
      <c r="I312" s="695">
        <v>46095</v>
      </c>
      <c r="J312" s="689" t="s">
        <v>368</v>
      </c>
      <c r="K312" t="str">
        <f t="shared" si="16"/>
        <v>Switch</v>
      </c>
      <c r="M312" s="412">
        <f t="shared" si="15"/>
        <v>1</v>
      </c>
      <c r="N312" s="412">
        <f t="shared" si="17"/>
        <v>1</v>
      </c>
      <c r="O312" s="412">
        <f>All_Detail_v2[[#This Row],[Qty. Success]]</f>
        <v>1</v>
      </c>
      <c r="P312" s="230">
        <f>IF(All_Detail_v2[[#This Row],[Qty]]=0,1,(M312+N312+O312)/(All_Detail_v2[[#This Row],[Qty]]*3))</f>
        <v>1</v>
      </c>
      <c r="Q312" s="195"/>
      <c r="R312" s="414">
        <f>All_Detail_v2[[#This Row],[Scheduled Date]]</f>
        <v>46095</v>
      </c>
      <c r="S312" s="414">
        <f>All_Detail_v2[[#This Row],[Install Date]]</f>
        <v>46095</v>
      </c>
    </row>
    <row r="313" spans="1:19">
      <c r="A313">
        <v>309</v>
      </c>
      <c r="B313" s="687" t="s">
        <v>541</v>
      </c>
      <c r="C313" s="688" t="s">
        <v>542</v>
      </c>
      <c r="D313" s="689" t="s">
        <v>485</v>
      </c>
      <c r="E313" s="689" t="s">
        <v>549</v>
      </c>
      <c r="F313" s="689">
        <v>2</v>
      </c>
      <c r="G313" s="689">
        <v>2</v>
      </c>
      <c r="H313" s="695">
        <v>46063</v>
      </c>
      <c r="I313" s="695">
        <v>46085</v>
      </c>
      <c r="J313" s="689" t="s">
        <v>368</v>
      </c>
      <c r="K313" t="str">
        <f t="shared" si="16"/>
        <v>Infra</v>
      </c>
      <c r="M313" s="412">
        <f t="shared" si="15"/>
        <v>2</v>
      </c>
      <c r="N313" s="412">
        <f t="shared" si="17"/>
        <v>2</v>
      </c>
      <c r="O313" s="412">
        <f>All_Detail_v2[[#This Row],[Qty. Success]]</f>
        <v>2</v>
      </c>
      <c r="P313" s="230">
        <f>IF(All_Detail_v2[[#This Row],[Qty]]=0,1,(M313+N313+O313)/(All_Detail_v2[[#This Row],[Qty]]*3))</f>
        <v>1</v>
      </c>
      <c r="Q313" s="195"/>
      <c r="R313" s="414">
        <f>All_Detail_v2[[#This Row],[Scheduled Date]]</f>
        <v>46085</v>
      </c>
      <c r="S313" s="414">
        <f>All_Detail_v2[[#This Row],[Install Date]]</f>
        <v>46063</v>
      </c>
    </row>
    <row r="314" spans="1:19">
      <c r="A314">
        <v>310</v>
      </c>
      <c r="B314" s="687" t="s">
        <v>541</v>
      </c>
      <c r="C314" s="690" t="s">
        <v>550</v>
      </c>
      <c r="D314" s="689" t="s">
        <v>551</v>
      </c>
      <c r="E314" s="689" t="s">
        <v>370</v>
      </c>
      <c r="F314" s="689">
        <v>4</v>
      </c>
      <c r="G314" s="689">
        <v>4</v>
      </c>
      <c r="H314" s="695">
        <v>46078</v>
      </c>
      <c r="I314" s="695">
        <v>46078</v>
      </c>
      <c r="J314" s="689" t="s">
        <v>368</v>
      </c>
      <c r="K314" t="str">
        <f t="shared" si="16"/>
        <v>Switch</v>
      </c>
      <c r="M314" s="412">
        <f t="shared" si="15"/>
        <v>4</v>
      </c>
      <c r="N314" s="412">
        <f t="shared" si="17"/>
        <v>4</v>
      </c>
      <c r="O314" s="412">
        <f>All_Detail_v2[[#This Row],[Qty. Success]]</f>
        <v>4</v>
      </c>
      <c r="P314" s="230">
        <f>IF(All_Detail_v2[[#This Row],[Qty]]=0,1,(M314+N314+O314)/(All_Detail_v2[[#This Row],[Qty]]*3))</f>
        <v>1</v>
      </c>
      <c r="Q314" s="195"/>
      <c r="R314" s="414">
        <f>All_Detail_v2[[#This Row],[Scheduled Date]]</f>
        <v>46078</v>
      </c>
      <c r="S314" s="414">
        <f>All_Detail_v2[[#This Row],[Install Date]]</f>
        <v>46078</v>
      </c>
    </row>
    <row r="315" spans="1:19">
      <c r="A315">
        <v>311</v>
      </c>
      <c r="B315" s="687" t="s">
        <v>541</v>
      </c>
      <c r="C315" s="688" t="s">
        <v>552</v>
      </c>
      <c r="D315" s="689" t="s">
        <v>553</v>
      </c>
      <c r="E315" s="689" t="s">
        <v>370</v>
      </c>
      <c r="F315" s="689">
        <v>1</v>
      </c>
      <c r="G315" s="689"/>
      <c r="H315" s="695"/>
      <c r="I315" s="695">
        <v>46174</v>
      </c>
      <c r="J315" s="689" t="s">
        <v>398</v>
      </c>
      <c r="K315" t="str">
        <f t="shared" si="16"/>
        <v>Switch</v>
      </c>
      <c r="M315" s="412">
        <f t="shared" si="15"/>
        <v>0</v>
      </c>
      <c r="N315" s="412">
        <f t="shared" si="17"/>
        <v>0</v>
      </c>
      <c r="O315" s="412">
        <f>All_Detail_v2[[#This Row],[Qty. Success]]</f>
        <v>0</v>
      </c>
      <c r="P315" s="230">
        <f>IF(All_Detail_v2[[#This Row],[Qty]]=0,1,(M315+N315+O315)/(All_Detail_v2[[#This Row],[Qty]]*3))</f>
        <v>0</v>
      </c>
      <c r="Q315" s="195"/>
      <c r="R315" s="414">
        <f>All_Detail_v2[[#This Row],[Scheduled Date]]</f>
        <v>46174</v>
      </c>
      <c r="S315" s="414">
        <f>All_Detail_v2[[#This Row],[Install Date]]</f>
        <v>0</v>
      </c>
    </row>
    <row r="316" spans="1:19">
      <c r="A316">
        <v>312</v>
      </c>
      <c r="B316" s="687" t="s">
        <v>541</v>
      </c>
      <c r="C316" s="688" t="s">
        <v>552</v>
      </c>
      <c r="D316" s="689" t="s">
        <v>554</v>
      </c>
      <c r="E316" s="689" t="s">
        <v>370</v>
      </c>
      <c r="F316" s="689">
        <v>2</v>
      </c>
      <c r="G316" s="689">
        <v>2</v>
      </c>
      <c r="H316" s="695">
        <v>46080</v>
      </c>
      <c r="I316" s="695">
        <v>46080</v>
      </c>
      <c r="J316" s="689" t="s">
        <v>368</v>
      </c>
      <c r="K316" t="str">
        <f t="shared" si="16"/>
        <v>Switch</v>
      </c>
      <c r="M316" s="412">
        <f t="shared" si="15"/>
        <v>2</v>
      </c>
      <c r="N316" s="412">
        <f t="shared" si="17"/>
        <v>2</v>
      </c>
      <c r="O316" s="412">
        <f>All_Detail_v2[[#This Row],[Qty. Success]]</f>
        <v>2</v>
      </c>
      <c r="P316" s="230">
        <f>IF(All_Detail_v2[[#This Row],[Qty]]=0,1,(M316+N316+O316)/(All_Detail_v2[[#This Row],[Qty]]*3))</f>
        <v>1</v>
      </c>
      <c r="Q316" s="195"/>
      <c r="R316" s="414">
        <f>All_Detail_v2[[#This Row],[Scheduled Date]]</f>
        <v>46080</v>
      </c>
      <c r="S316" s="414">
        <f>All_Detail_v2[[#This Row],[Install Date]]</f>
        <v>46080</v>
      </c>
    </row>
    <row r="317" spans="1:19">
      <c r="A317">
        <v>313</v>
      </c>
      <c r="B317" s="687" t="s">
        <v>541</v>
      </c>
      <c r="C317" s="688" t="s">
        <v>552</v>
      </c>
      <c r="D317" s="689" t="s">
        <v>555</v>
      </c>
      <c r="E317" s="689" t="s">
        <v>370</v>
      </c>
      <c r="F317" s="689">
        <v>4</v>
      </c>
      <c r="G317" s="689">
        <v>4</v>
      </c>
      <c r="H317" s="695">
        <v>46078</v>
      </c>
      <c r="I317" s="695">
        <v>46078</v>
      </c>
      <c r="J317" s="689" t="s">
        <v>368</v>
      </c>
      <c r="K317" t="str">
        <f t="shared" si="16"/>
        <v>Switch</v>
      </c>
      <c r="M317" s="412">
        <f t="shared" si="15"/>
        <v>4</v>
      </c>
      <c r="N317" s="412">
        <f t="shared" si="17"/>
        <v>4</v>
      </c>
      <c r="O317" s="412">
        <f>All_Detail_v2[[#This Row],[Qty. Success]]</f>
        <v>4</v>
      </c>
      <c r="P317" s="230">
        <f>IF(All_Detail_v2[[#This Row],[Qty]]=0,1,(M317+N317+O317)/(All_Detail_v2[[#This Row],[Qty]]*3))</f>
        <v>1</v>
      </c>
      <c r="Q317" s="195"/>
      <c r="R317" s="414">
        <f>All_Detail_v2[[#This Row],[Scheduled Date]]</f>
        <v>46078</v>
      </c>
      <c r="S317" s="414">
        <f>All_Detail_v2[[#This Row],[Install Date]]</f>
        <v>46078</v>
      </c>
    </row>
    <row r="318" spans="1:19">
      <c r="A318">
        <v>314</v>
      </c>
      <c r="B318" s="687" t="s">
        <v>541</v>
      </c>
      <c r="C318" s="688" t="s">
        <v>552</v>
      </c>
      <c r="D318" s="689" t="s">
        <v>556</v>
      </c>
      <c r="E318" s="689" t="s">
        <v>370</v>
      </c>
      <c r="F318" s="689">
        <v>2</v>
      </c>
      <c r="G318" s="689">
        <v>2</v>
      </c>
      <c r="H318" s="695">
        <v>46078</v>
      </c>
      <c r="I318" s="695">
        <v>46078</v>
      </c>
      <c r="J318" s="689" t="s">
        <v>368</v>
      </c>
      <c r="K318" t="str">
        <f t="shared" si="16"/>
        <v>Switch</v>
      </c>
      <c r="M318" s="412">
        <f t="shared" si="15"/>
        <v>2</v>
      </c>
      <c r="N318" s="412">
        <f t="shared" si="17"/>
        <v>2</v>
      </c>
      <c r="O318" s="412">
        <f>All_Detail_v2[[#This Row],[Qty. Success]]</f>
        <v>2</v>
      </c>
      <c r="P318" s="230">
        <f>IF(All_Detail_v2[[#This Row],[Qty]]=0,1,(M318+N318+O318)/(All_Detail_v2[[#This Row],[Qty]]*3))</f>
        <v>1</v>
      </c>
      <c r="Q318" s="195"/>
      <c r="R318" s="414">
        <f>All_Detail_v2[[#This Row],[Scheduled Date]]</f>
        <v>46078</v>
      </c>
      <c r="S318" s="414">
        <f>All_Detail_v2[[#This Row],[Install Date]]</f>
        <v>46078</v>
      </c>
    </row>
    <row r="319" spans="1:19">
      <c r="A319">
        <v>315</v>
      </c>
      <c r="B319" s="687" t="s">
        <v>541</v>
      </c>
      <c r="C319" s="688" t="s">
        <v>552</v>
      </c>
      <c r="D319" s="688" t="s">
        <v>557</v>
      </c>
      <c r="E319" s="689" t="s">
        <v>370</v>
      </c>
      <c r="F319" s="689">
        <v>2</v>
      </c>
      <c r="G319" s="689">
        <v>2</v>
      </c>
      <c r="H319" s="695">
        <v>46080</v>
      </c>
      <c r="I319" s="695">
        <v>46080</v>
      </c>
      <c r="J319" s="689" t="s">
        <v>368</v>
      </c>
      <c r="K319" t="str">
        <f t="shared" si="16"/>
        <v>Switch</v>
      </c>
      <c r="M319" s="412">
        <f t="shared" si="15"/>
        <v>2</v>
      </c>
      <c r="N319" s="412">
        <f t="shared" si="17"/>
        <v>2</v>
      </c>
      <c r="O319" s="412">
        <f>All_Detail_v2[[#This Row],[Qty. Success]]</f>
        <v>2</v>
      </c>
      <c r="P319" s="230">
        <f>IF(All_Detail_v2[[#This Row],[Qty]]=0,1,(M319+N319+O319)/(All_Detail_v2[[#This Row],[Qty]]*3))</f>
        <v>1</v>
      </c>
      <c r="Q319" s="195"/>
      <c r="R319" s="414">
        <f>All_Detail_v2[[#This Row],[Scheduled Date]]</f>
        <v>46080</v>
      </c>
      <c r="S319" s="414">
        <f>All_Detail_v2[[#This Row],[Install Date]]</f>
        <v>46080</v>
      </c>
    </row>
    <row r="320" spans="1:19">
      <c r="A320">
        <v>316</v>
      </c>
      <c r="B320" s="687" t="s">
        <v>541</v>
      </c>
      <c r="C320" s="688" t="s">
        <v>552</v>
      </c>
      <c r="D320" s="688" t="s">
        <v>558</v>
      </c>
      <c r="E320" s="689" t="s">
        <v>370</v>
      </c>
      <c r="F320" s="689">
        <v>2</v>
      </c>
      <c r="G320" s="689">
        <v>2</v>
      </c>
      <c r="H320" s="695">
        <v>46080</v>
      </c>
      <c r="I320" s="695">
        <v>46080</v>
      </c>
      <c r="J320" s="689" t="s">
        <v>368</v>
      </c>
      <c r="K320" t="str">
        <f t="shared" si="16"/>
        <v>Switch</v>
      </c>
      <c r="M320" s="412">
        <f t="shared" si="15"/>
        <v>2</v>
      </c>
      <c r="N320" s="412">
        <f t="shared" si="17"/>
        <v>2</v>
      </c>
      <c r="O320" s="412">
        <f>All_Detail_v2[[#This Row],[Qty. Success]]</f>
        <v>2</v>
      </c>
      <c r="P320" s="230">
        <f>IF(All_Detail_v2[[#This Row],[Qty]]=0,1,(M320+N320+O320)/(All_Detail_v2[[#This Row],[Qty]]*3))</f>
        <v>1</v>
      </c>
      <c r="Q320" s="195"/>
      <c r="R320" s="414">
        <f>All_Detail_v2[[#This Row],[Scheduled Date]]</f>
        <v>46080</v>
      </c>
      <c r="S320" s="414">
        <f>All_Detail_v2[[#This Row],[Install Date]]</f>
        <v>46080</v>
      </c>
    </row>
    <row r="321" spans="1:19">
      <c r="A321">
        <v>317</v>
      </c>
      <c r="B321" s="687" t="s">
        <v>541</v>
      </c>
      <c r="C321" s="688" t="s">
        <v>552</v>
      </c>
      <c r="D321" s="688" t="s">
        <v>559</v>
      </c>
      <c r="E321" s="689" t="s">
        <v>370</v>
      </c>
      <c r="F321" s="689">
        <v>1</v>
      </c>
      <c r="G321" s="689">
        <v>1</v>
      </c>
      <c r="H321" s="695">
        <v>46080</v>
      </c>
      <c r="I321" s="695">
        <v>46080</v>
      </c>
      <c r="J321" s="689" t="s">
        <v>368</v>
      </c>
      <c r="K321" t="str">
        <f t="shared" si="16"/>
        <v>Switch</v>
      </c>
      <c r="M321" s="412">
        <f t="shared" si="15"/>
        <v>1</v>
      </c>
      <c r="N321" s="412">
        <f t="shared" si="17"/>
        <v>1</v>
      </c>
      <c r="O321" s="412">
        <f>All_Detail_v2[[#This Row],[Qty. Success]]</f>
        <v>1</v>
      </c>
      <c r="P321" s="230">
        <f>IF(All_Detail_v2[[#This Row],[Qty]]=0,1,(M321+N321+O321)/(All_Detail_v2[[#This Row],[Qty]]*3))</f>
        <v>1</v>
      </c>
      <c r="Q321" s="195"/>
      <c r="R321" s="414">
        <f>All_Detail_v2[[#This Row],[Scheduled Date]]</f>
        <v>46080</v>
      </c>
      <c r="S321" s="414">
        <f>All_Detail_v2[[#This Row],[Install Date]]</f>
        <v>46080</v>
      </c>
    </row>
    <row r="322" spans="1:19">
      <c r="A322">
        <v>318</v>
      </c>
      <c r="B322" s="687" t="s">
        <v>541</v>
      </c>
      <c r="C322" s="688" t="s">
        <v>552</v>
      </c>
      <c r="D322" s="688" t="s">
        <v>560</v>
      </c>
      <c r="E322" s="689" t="s">
        <v>370</v>
      </c>
      <c r="F322" s="689">
        <v>1</v>
      </c>
      <c r="G322" s="689">
        <v>1</v>
      </c>
      <c r="H322" s="695">
        <v>46080</v>
      </c>
      <c r="I322" s="695">
        <v>46080</v>
      </c>
      <c r="J322" s="689" t="s">
        <v>368</v>
      </c>
      <c r="K322" t="str">
        <f t="shared" si="16"/>
        <v>Switch</v>
      </c>
      <c r="M322" s="412">
        <f t="shared" ref="M322:M385" si="18">O322</f>
        <v>1</v>
      </c>
      <c r="N322" s="412">
        <f t="shared" si="17"/>
        <v>1</v>
      </c>
      <c r="O322" s="412">
        <f>All_Detail_v2[[#This Row],[Qty. Success]]</f>
        <v>1</v>
      </c>
      <c r="P322" s="230">
        <f>IF(All_Detail_v2[[#This Row],[Qty]]=0,1,(M322+N322+O322)/(All_Detail_v2[[#This Row],[Qty]]*3))</f>
        <v>1</v>
      </c>
      <c r="Q322" s="195"/>
      <c r="R322" s="414">
        <f>All_Detail_v2[[#This Row],[Scheduled Date]]</f>
        <v>46080</v>
      </c>
      <c r="S322" s="414">
        <f>All_Detail_v2[[#This Row],[Install Date]]</f>
        <v>46080</v>
      </c>
    </row>
    <row r="323" spans="1:19">
      <c r="A323">
        <v>319</v>
      </c>
      <c r="B323" s="687" t="s">
        <v>541</v>
      </c>
      <c r="C323" s="688" t="s">
        <v>552</v>
      </c>
      <c r="D323" s="688" t="s">
        <v>561</v>
      </c>
      <c r="E323" s="689" t="s">
        <v>370</v>
      </c>
      <c r="F323" s="689">
        <v>1</v>
      </c>
      <c r="G323" s="689">
        <v>1</v>
      </c>
      <c r="H323" s="695">
        <v>46080</v>
      </c>
      <c r="I323" s="695">
        <v>46080</v>
      </c>
      <c r="J323" s="689" t="s">
        <v>368</v>
      </c>
      <c r="K323" t="str">
        <f t="shared" ref="K323:K386" si="19">IF(ISNUMBER(SEARCH("Access Point",E323)),"AP",IF(OR(ISNUMBER(SEARCH("Switch",E323)),ISNUMBER(SEARCH("Control Type",E323))),"Switch","Infra"))</f>
        <v>Switch</v>
      </c>
      <c r="M323" s="412">
        <f t="shared" si="18"/>
        <v>1</v>
      </c>
      <c r="N323" s="412">
        <f t="shared" si="17"/>
        <v>1</v>
      </c>
      <c r="O323" s="412">
        <f>All_Detail_v2[[#This Row],[Qty. Success]]</f>
        <v>1</v>
      </c>
      <c r="P323" s="230">
        <f>IF(All_Detail_v2[[#This Row],[Qty]]=0,1,(M323+N323+O323)/(All_Detail_v2[[#This Row],[Qty]]*3))</f>
        <v>1</v>
      </c>
      <c r="Q323" s="195"/>
      <c r="R323" s="414">
        <f>All_Detail_v2[[#This Row],[Scheduled Date]]</f>
        <v>46080</v>
      </c>
      <c r="S323" s="414">
        <f>All_Detail_v2[[#This Row],[Install Date]]</f>
        <v>46080</v>
      </c>
    </row>
    <row r="324" spans="1:19">
      <c r="A324">
        <v>320</v>
      </c>
      <c r="B324" s="687" t="s">
        <v>541</v>
      </c>
      <c r="C324" s="688" t="s">
        <v>552</v>
      </c>
      <c r="D324" s="688" t="s">
        <v>562</v>
      </c>
      <c r="E324" s="689" t="s">
        <v>370</v>
      </c>
      <c r="F324" s="689">
        <v>4</v>
      </c>
      <c r="G324" s="689">
        <v>4</v>
      </c>
      <c r="H324" s="695">
        <v>46079</v>
      </c>
      <c r="I324" s="695">
        <v>46079</v>
      </c>
      <c r="J324" s="689" t="s">
        <v>368</v>
      </c>
      <c r="K324" t="str">
        <f t="shared" si="19"/>
        <v>Switch</v>
      </c>
      <c r="M324" s="412">
        <f t="shared" si="18"/>
        <v>4</v>
      </c>
      <c r="N324" s="412">
        <f t="shared" si="17"/>
        <v>4</v>
      </c>
      <c r="O324" s="412">
        <f>All_Detail_v2[[#This Row],[Qty. Success]]</f>
        <v>4</v>
      </c>
      <c r="P324" s="230">
        <f>IF(All_Detail_v2[[#This Row],[Qty]]=0,1,(M324+N324+O324)/(All_Detail_v2[[#This Row],[Qty]]*3))</f>
        <v>1</v>
      </c>
      <c r="Q324" s="195"/>
      <c r="R324" s="414">
        <f>All_Detail_v2[[#This Row],[Scheduled Date]]</f>
        <v>46079</v>
      </c>
      <c r="S324" s="414">
        <f>All_Detail_v2[[#This Row],[Install Date]]</f>
        <v>46079</v>
      </c>
    </row>
    <row r="325" spans="1:19">
      <c r="A325">
        <v>321</v>
      </c>
      <c r="B325" s="687" t="s">
        <v>541</v>
      </c>
      <c r="C325" s="688" t="s">
        <v>552</v>
      </c>
      <c r="D325" s="688" t="s">
        <v>562</v>
      </c>
      <c r="E325" s="689" t="s">
        <v>375</v>
      </c>
      <c r="F325" s="689">
        <v>1</v>
      </c>
      <c r="G325" s="689">
        <v>1</v>
      </c>
      <c r="H325" s="695">
        <v>46079</v>
      </c>
      <c r="I325" s="695">
        <v>46079</v>
      </c>
      <c r="J325" s="689" t="s">
        <v>368</v>
      </c>
      <c r="K325" t="str">
        <f t="shared" si="19"/>
        <v>Switch</v>
      </c>
      <c r="M325" s="412">
        <f t="shared" si="18"/>
        <v>1</v>
      </c>
      <c r="N325" s="412">
        <f t="shared" si="17"/>
        <v>1</v>
      </c>
      <c r="O325" s="412">
        <f>All_Detail_v2[[#This Row],[Qty. Success]]</f>
        <v>1</v>
      </c>
      <c r="P325" s="230">
        <f>IF(All_Detail_v2[[#This Row],[Qty]]=0,1,(M325+N325+O325)/(All_Detail_v2[[#This Row],[Qty]]*3))</f>
        <v>1</v>
      </c>
      <c r="Q325" s="195"/>
      <c r="R325" s="414">
        <f>All_Detail_v2[[#This Row],[Scheduled Date]]</f>
        <v>46079</v>
      </c>
      <c r="S325" s="414">
        <f>All_Detail_v2[[#This Row],[Install Date]]</f>
        <v>46079</v>
      </c>
    </row>
    <row r="326" spans="1:19">
      <c r="A326">
        <v>322</v>
      </c>
      <c r="B326" s="687" t="s">
        <v>541</v>
      </c>
      <c r="C326" s="688" t="s">
        <v>552</v>
      </c>
      <c r="D326" s="688" t="s">
        <v>563</v>
      </c>
      <c r="E326" s="689" t="s">
        <v>370</v>
      </c>
      <c r="F326" s="689">
        <v>4</v>
      </c>
      <c r="G326" s="689">
        <v>4</v>
      </c>
      <c r="H326" s="695">
        <v>46078</v>
      </c>
      <c r="I326" s="695">
        <v>46078</v>
      </c>
      <c r="J326" s="689" t="s">
        <v>368</v>
      </c>
      <c r="K326" t="str">
        <f t="shared" si="19"/>
        <v>Switch</v>
      </c>
      <c r="M326" s="412">
        <f t="shared" si="18"/>
        <v>4</v>
      </c>
      <c r="N326" s="412">
        <f t="shared" ref="N326:N389" si="20">O326</f>
        <v>4</v>
      </c>
      <c r="O326" s="412">
        <f>All_Detail_v2[[#This Row],[Qty. Success]]</f>
        <v>4</v>
      </c>
      <c r="P326" s="230">
        <f>IF(All_Detail_v2[[#This Row],[Qty]]=0,1,(M326+N326+O326)/(All_Detail_v2[[#This Row],[Qty]]*3))</f>
        <v>1</v>
      </c>
      <c r="Q326" s="195"/>
      <c r="R326" s="414">
        <f>All_Detail_v2[[#This Row],[Scheduled Date]]</f>
        <v>46078</v>
      </c>
      <c r="S326" s="414">
        <f>All_Detail_v2[[#This Row],[Install Date]]</f>
        <v>46078</v>
      </c>
    </row>
    <row r="327" spans="1:19">
      <c r="A327">
        <v>323</v>
      </c>
      <c r="B327" s="687" t="s">
        <v>541</v>
      </c>
      <c r="C327" s="688" t="s">
        <v>552</v>
      </c>
      <c r="D327" s="688" t="s">
        <v>564</v>
      </c>
      <c r="E327" s="689" t="s">
        <v>370</v>
      </c>
      <c r="F327" s="689">
        <v>5</v>
      </c>
      <c r="G327" s="689">
        <v>5</v>
      </c>
      <c r="H327" s="695">
        <v>46079</v>
      </c>
      <c r="I327" s="695">
        <v>46079</v>
      </c>
      <c r="J327" s="689" t="s">
        <v>368</v>
      </c>
      <c r="K327" t="str">
        <f t="shared" si="19"/>
        <v>Switch</v>
      </c>
      <c r="M327" s="412">
        <f t="shared" si="18"/>
        <v>5</v>
      </c>
      <c r="N327" s="412">
        <f t="shared" si="20"/>
        <v>5</v>
      </c>
      <c r="O327" s="412">
        <f>All_Detail_v2[[#This Row],[Qty. Success]]</f>
        <v>5</v>
      </c>
      <c r="P327" s="230">
        <f>IF(All_Detail_v2[[#This Row],[Qty]]=0,1,(M327+N327+O327)/(All_Detail_v2[[#This Row],[Qty]]*3))</f>
        <v>1</v>
      </c>
      <c r="Q327" s="195"/>
      <c r="R327" s="414">
        <f>All_Detail_v2[[#This Row],[Scheduled Date]]</f>
        <v>46079</v>
      </c>
      <c r="S327" s="414">
        <f>All_Detail_v2[[#This Row],[Install Date]]</f>
        <v>46079</v>
      </c>
    </row>
    <row r="328" spans="1:19">
      <c r="A328">
        <v>324</v>
      </c>
      <c r="B328" s="687" t="s">
        <v>541</v>
      </c>
      <c r="C328" s="688" t="s">
        <v>552</v>
      </c>
      <c r="D328" s="688" t="s">
        <v>563</v>
      </c>
      <c r="E328" s="689" t="s">
        <v>370</v>
      </c>
      <c r="F328" s="689">
        <v>1</v>
      </c>
      <c r="G328" s="689"/>
      <c r="H328" s="695"/>
      <c r="I328" s="695">
        <v>46174</v>
      </c>
      <c r="J328" s="689" t="s">
        <v>398</v>
      </c>
      <c r="K328" t="str">
        <f t="shared" si="19"/>
        <v>Switch</v>
      </c>
      <c r="M328" s="412">
        <f t="shared" si="18"/>
        <v>0</v>
      </c>
      <c r="N328" s="412">
        <f t="shared" si="20"/>
        <v>0</v>
      </c>
      <c r="O328" s="412">
        <f>All_Detail_v2[[#This Row],[Qty. Success]]</f>
        <v>0</v>
      </c>
      <c r="P328" s="230">
        <f>IF(All_Detail_v2[[#This Row],[Qty]]=0,1,(M328+N328+O328)/(All_Detail_v2[[#This Row],[Qty]]*3))</f>
        <v>0</v>
      </c>
      <c r="Q328" s="195"/>
      <c r="R328" s="414">
        <f>All_Detail_v2[[#This Row],[Scheduled Date]]</f>
        <v>46174</v>
      </c>
      <c r="S328" s="414">
        <f>All_Detail_v2[[#This Row],[Install Date]]</f>
        <v>0</v>
      </c>
    </row>
    <row r="329" spans="1:19">
      <c r="A329">
        <v>325</v>
      </c>
      <c r="B329" s="687" t="s">
        <v>541</v>
      </c>
      <c r="C329" s="688" t="s">
        <v>565</v>
      </c>
      <c r="D329" s="689" t="s">
        <v>566</v>
      </c>
      <c r="E329" s="689" t="s">
        <v>370</v>
      </c>
      <c r="F329" s="689">
        <v>3</v>
      </c>
      <c r="G329" s="689">
        <v>3</v>
      </c>
      <c r="H329" s="695">
        <v>46084</v>
      </c>
      <c r="I329" s="695">
        <v>46084</v>
      </c>
      <c r="J329" s="689" t="s">
        <v>368</v>
      </c>
      <c r="K329" t="str">
        <f t="shared" si="19"/>
        <v>Switch</v>
      </c>
      <c r="M329" s="412">
        <f t="shared" si="18"/>
        <v>3</v>
      </c>
      <c r="N329" s="412">
        <f t="shared" si="20"/>
        <v>3</v>
      </c>
      <c r="O329" s="412">
        <f>All_Detail_v2[[#This Row],[Qty. Success]]</f>
        <v>3</v>
      </c>
      <c r="P329" s="230">
        <f>IF(All_Detail_v2[[#This Row],[Qty]]=0,1,(M329+N329+O329)/(All_Detail_v2[[#This Row],[Qty]]*3))</f>
        <v>1</v>
      </c>
      <c r="Q329" s="195"/>
      <c r="R329" s="414">
        <f>All_Detail_v2[[#This Row],[Scheduled Date]]</f>
        <v>46084</v>
      </c>
      <c r="S329" s="414">
        <f>All_Detail_v2[[#This Row],[Install Date]]</f>
        <v>46084</v>
      </c>
    </row>
    <row r="330" spans="1:19">
      <c r="A330">
        <v>326</v>
      </c>
      <c r="B330" s="687" t="s">
        <v>541</v>
      </c>
      <c r="C330" s="688" t="s">
        <v>565</v>
      </c>
      <c r="D330" s="689" t="s">
        <v>566</v>
      </c>
      <c r="E330" s="689" t="s">
        <v>410</v>
      </c>
      <c r="F330" s="689">
        <v>2</v>
      </c>
      <c r="G330" s="689">
        <v>2</v>
      </c>
      <c r="H330" s="695">
        <v>46084</v>
      </c>
      <c r="I330" s="695">
        <v>46084</v>
      </c>
      <c r="J330" s="689" t="s">
        <v>368</v>
      </c>
      <c r="K330" t="str">
        <f t="shared" si="19"/>
        <v>Switch</v>
      </c>
      <c r="M330" s="412">
        <f t="shared" si="18"/>
        <v>2</v>
      </c>
      <c r="N330" s="412">
        <f t="shared" si="20"/>
        <v>2</v>
      </c>
      <c r="O330" s="412">
        <f>All_Detail_v2[[#This Row],[Qty. Success]]</f>
        <v>2</v>
      </c>
      <c r="P330" s="230">
        <f>IF(All_Detail_v2[[#This Row],[Qty]]=0,1,(M330+N330+O330)/(All_Detail_v2[[#This Row],[Qty]]*3))</f>
        <v>1</v>
      </c>
      <c r="Q330" s="195"/>
      <c r="R330" s="414">
        <f>All_Detail_v2[[#This Row],[Scheduled Date]]</f>
        <v>46084</v>
      </c>
      <c r="S330" s="414">
        <f>All_Detail_v2[[#This Row],[Install Date]]</f>
        <v>46084</v>
      </c>
    </row>
    <row r="331" spans="1:19">
      <c r="A331">
        <v>327</v>
      </c>
      <c r="B331" s="687" t="s">
        <v>541</v>
      </c>
      <c r="C331" s="688" t="s">
        <v>565</v>
      </c>
      <c r="D331" s="689" t="s">
        <v>566</v>
      </c>
      <c r="E331" s="689" t="s">
        <v>567</v>
      </c>
      <c r="F331" s="689">
        <v>2</v>
      </c>
      <c r="G331" s="689">
        <v>2</v>
      </c>
      <c r="H331" s="695">
        <v>46063</v>
      </c>
      <c r="I331" s="695">
        <v>46063</v>
      </c>
      <c r="J331" s="689" t="s">
        <v>368</v>
      </c>
      <c r="K331" t="str">
        <f t="shared" si="19"/>
        <v>Switch</v>
      </c>
      <c r="M331" s="412">
        <f t="shared" si="18"/>
        <v>2</v>
      </c>
      <c r="N331" s="412">
        <f t="shared" si="20"/>
        <v>2</v>
      </c>
      <c r="O331" s="412">
        <f>All_Detail_v2[[#This Row],[Qty. Success]]</f>
        <v>2</v>
      </c>
      <c r="P331" s="230">
        <f>IF(All_Detail_v2[[#This Row],[Qty]]=0,1,(M331+N331+O331)/(All_Detail_v2[[#This Row],[Qty]]*3))</f>
        <v>1</v>
      </c>
      <c r="Q331" s="195"/>
      <c r="R331" s="414">
        <f>All_Detail_v2[[#This Row],[Scheduled Date]]</f>
        <v>46063</v>
      </c>
      <c r="S331" s="414">
        <f>All_Detail_v2[[#This Row],[Install Date]]</f>
        <v>46063</v>
      </c>
    </row>
    <row r="332" spans="1:19">
      <c r="A332">
        <v>328</v>
      </c>
      <c r="B332" s="687" t="s">
        <v>541</v>
      </c>
      <c r="C332" s="688" t="s">
        <v>565</v>
      </c>
      <c r="D332" s="689" t="s">
        <v>566</v>
      </c>
      <c r="E332" s="689" t="s">
        <v>421</v>
      </c>
      <c r="F332" s="689">
        <v>2</v>
      </c>
      <c r="G332" s="689">
        <v>2</v>
      </c>
      <c r="H332" s="695">
        <v>46063</v>
      </c>
      <c r="I332" s="695">
        <v>46063</v>
      </c>
      <c r="J332" s="689" t="s">
        <v>368</v>
      </c>
      <c r="K332" t="str">
        <f t="shared" si="19"/>
        <v>Infra</v>
      </c>
      <c r="L332" s="634" t="s">
        <v>422</v>
      </c>
      <c r="M332" s="412">
        <f t="shared" si="18"/>
        <v>2</v>
      </c>
      <c r="N332" s="412">
        <f t="shared" si="20"/>
        <v>2</v>
      </c>
      <c r="O332" s="412">
        <f>All_Detail_v2[[#This Row],[Qty. Success]]</f>
        <v>2</v>
      </c>
      <c r="P332" s="230">
        <f>IF(All_Detail_v2[[#This Row],[Qty]]=0,1,(M332+N332+O332)/(All_Detail_v2[[#This Row],[Qty]]*3))</f>
        <v>1</v>
      </c>
      <c r="Q332" s="195"/>
      <c r="R332" s="414">
        <f>All_Detail_v2[[#This Row],[Scheduled Date]]</f>
        <v>46063</v>
      </c>
      <c r="S332" s="414">
        <f>All_Detail_v2[[#This Row],[Install Date]]</f>
        <v>46063</v>
      </c>
    </row>
    <row r="333" spans="1:19">
      <c r="A333">
        <v>329</v>
      </c>
      <c r="B333" s="687" t="s">
        <v>541</v>
      </c>
      <c r="C333" s="688" t="s">
        <v>565</v>
      </c>
      <c r="D333" s="689" t="s">
        <v>568</v>
      </c>
      <c r="E333" s="689" t="s">
        <v>370</v>
      </c>
      <c r="F333" s="689">
        <v>4</v>
      </c>
      <c r="G333" s="689">
        <v>4</v>
      </c>
      <c r="H333" s="695">
        <v>46084</v>
      </c>
      <c r="I333" s="695">
        <v>46084</v>
      </c>
      <c r="J333" s="689" t="s">
        <v>368</v>
      </c>
      <c r="K333" t="str">
        <f t="shared" si="19"/>
        <v>Switch</v>
      </c>
      <c r="M333" s="412">
        <f t="shared" si="18"/>
        <v>4</v>
      </c>
      <c r="N333" s="412">
        <f t="shared" si="20"/>
        <v>4</v>
      </c>
      <c r="O333" s="412">
        <f>All_Detail_v2[[#This Row],[Qty. Success]]</f>
        <v>4</v>
      </c>
      <c r="P333" s="230">
        <f>IF(All_Detail_v2[[#This Row],[Qty]]=0,1,(M333+N333+O333)/(All_Detail_v2[[#This Row],[Qty]]*3))</f>
        <v>1</v>
      </c>
      <c r="Q333" s="195"/>
      <c r="R333" s="414">
        <f>All_Detail_v2[[#This Row],[Scheduled Date]]</f>
        <v>46084</v>
      </c>
      <c r="S333" s="414">
        <f>All_Detail_v2[[#This Row],[Install Date]]</f>
        <v>46084</v>
      </c>
    </row>
    <row r="334" spans="1:19">
      <c r="A334">
        <v>330</v>
      </c>
      <c r="B334" s="687" t="s">
        <v>541</v>
      </c>
      <c r="C334" s="688" t="s">
        <v>565</v>
      </c>
      <c r="D334" s="689" t="s">
        <v>568</v>
      </c>
      <c r="E334" s="689" t="s">
        <v>375</v>
      </c>
      <c r="F334" s="689">
        <v>3</v>
      </c>
      <c r="G334" s="689">
        <v>3</v>
      </c>
      <c r="H334" s="695">
        <v>46084</v>
      </c>
      <c r="I334" s="695">
        <v>46084</v>
      </c>
      <c r="J334" s="689" t="s">
        <v>368</v>
      </c>
      <c r="K334" t="str">
        <f t="shared" si="19"/>
        <v>Switch</v>
      </c>
      <c r="M334" s="412">
        <f t="shared" si="18"/>
        <v>3</v>
      </c>
      <c r="N334" s="412">
        <f t="shared" si="20"/>
        <v>3</v>
      </c>
      <c r="O334" s="412">
        <f>All_Detail_v2[[#This Row],[Qty. Success]]</f>
        <v>3</v>
      </c>
      <c r="P334" s="230">
        <f>IF(All_Detail_v2[[#This Row],[Qty]]=0,1,(M334+N334+O334)/(All_Detail_v2[[#This Row],[Qty]]*3))</f>
        <v>1</v>
      </c>
      <c r="Q334" s="195"/>
      <c r="R334" s="414">
        <f>All_Detail_v2[[#This Row],[Scheduled Date]]</f>
        <v>46084</v>
      </c>
      <c r="S334" s="414">
        <f>All_Detail_v2[[#This Row],[Install Date]]</f>
        <v>46084</v>
      </c>
    </row>
    <row r="335" spans="1:19">
      <c r="A335">
        <v>331</v>
      </c>
      <c r="B335" s="687" t="s">
        <v>541</v>
      </c>
      <c r="C335" s="688" t="s">
        <v>565</v>
      </c>
      <c r="D335" s="689" t="s">
        <v>569</v>
      </c>
      <c r="E335" s="689" t="s">
        <v>370</v>
      </c>
      <c r="F335" s="689">
        <v>1</v>
      </c>
      <c r="G335" s="689">
        <v>1</v>
      </c>
      <c r="H335" s="695">
        <v>46084</v>
      </c>
      <c r="I335" s="695">
        <v>46084</v>
      </c>
      <c r="J335" s="689" t="s">
        <v>368</v>
      </c>
      <c r="K335" t="str">
        <f t="shared" si="19"/>
        <v>Switch</v>
      </c>
      <c r="M335" s="412">
        <f t="shared" si="18"/>
        <v>1</v>
      </c>
      <c r="N335" s="412">
        <f t="shared" si="20"/>
        <v>1</v>
      </c>
      <c r="O335" s="412">
        <f>All_Detail_v2[[#This Row],[Qty. Success]]</f>
        <v>1</v>
      </c>
      <c r="P335" s="230">
        <f>IF(All_Detail_v2[[#This Row],[Qty]]=0,1,(M335+N335+O335)/(All_Detail_v2[[#This Row],[Qty]]*3))</f>
        <v>1</v>
      </c>
      <c r="Q335" s="195"/>
      <c r="R335" s="414">
        <f>All_Detail_v2[[#This Row],[Scheduled Date]]</f>
        <v>46084</v>
      </c>
      <c r="S335" s="414">
        <f>All_Detail_v2[[#This Row],[Install Date]]</f>
        <v>46084</v>
      </c>
    </row>
    <row r="336" spans="1:19">
      <c r="A336">
        <v>332</v>
      </c>
      <c r="B336" s="687" t="s">
        <v>541</v>
      </c>
      <c r="C336" s="688" t="s">
        <v>570</v>
      </c>
      <c r="D336" s="689" t="s">
        <v>571</v>
      </c>
      <c r="E336" s="689" t="s">
        <v>370</v>
      </c>
      <c r="F336" s="689">
        <v>1</v>
      </c>
      <c r="G336" s="689">
        <v>1</v>
      </c>
      <c r="H336" s="695">
        <v>46082</v>
      </c>
      <c r="I336" s="695">
        <v>46082</v>
      </c>
      <c r="J336" s="689" t="s">
        <v>368</v>
      </c>
      <c r="K336" t="str">
        <f t="shared" si="19"/>
        <v>Switch</v>
      </c>
      <c r="M336" s="412">
        <f t="shared" si="18"/>
        <v>1</v>
      </c>
      <c r="N336" s="412">
        <f t="shared" si="20"/>
        <v>1</v>
      </c>
      <c r="O336" s="412">
        <f>All_Detail_v2[[#This Row],[Qty. Success]]</f>
        <v>1</v>
      </c>
      <c r="P336" s="230">
        <f>IF(All_Detail_v2[[#This Row],[Qty]]=0,1,(M336+N336+O336)/(All_Detail_v2[[#This Row],[Qty]]*3))</f>
        <v>1</v>
      </c>
      <c r="Q336" s="195"/>
      <c r="R336" s="414">
        <f>All_Detail_v2[[#This Row],[Scheduled Date]]</f>
        <v>46082</v>
      </c>
      <c r="S336" s="414">
        <f>All_Detail_v2[[#This Row],[Install Date]]</f>
        <v>46082</v>
      </c>
    </row>
    <row r="337" spans="1:19">
      <c r="A337">
        <v>333</v>
      </c>
      <c r="B337" s="687" t="s">
        <v>541</v>
      </c>
      <c r="C337" s="688" t="s">
        <v>570</v>
      </c>
      <c r="D337" s="689" t="s">
        <v>572</v>
      </c>
      <c r="E337" s="689" t="s">
        <v>410</v>
      </c>
      <c r="F337" s="689">
        <v>2</v>
      </c>
      <c r="G337" s="689">
        <v>2</v>
      </c>
      <c r="H337" s="695">
        <v>46081</v>
      </c>
      <c r="I337" s="695">
        <v>46081</v>
      </c>
      <c r="J337" s="689" t="s">
        <v>368</v>
      </c>
      <c r="K337" t="str">
        <f t="shared" si="19"/>
        <v>Switch</v>
      </c>
      <c r="M337" s="412">
        <f t="shared" si="18"/>
        <v>2</v>
      </c>
      <c r="N337" s="412">
        <f t="shared" si="20"/>
        <v>2</v>
      </c>
      <c r="O337" s="412">
        <f>All_Detail_v2[[#This Row],[Qty. Success]]</f>
        <v>2</v>
      </c>
      <c r="P337" s="230">
        <f>IF(All_Detail_v2[[#This Row],[Qty]]=0,1,(M337+N337+O337)/(All_Detail_v2[[#This Row],[Qty]]*3))</f>
        <v>1</v>
      </c>
      <c r="Q337" s="195"/>
      <c r="R337" s="414">
        <f>All_Detail_v2[[#This Row],[Scheduled Date]]</f>
        <v>46081</v>
      </c>
      <c r="S337" s="414">
        <f>All_Detail_v2[[#This Row],[Install Date]]</f>
        <v>46081</v>
      </c>
    </row>
    <row r="338" spans="1:19">
      <c r="A338">
        <v>334</v>
      </c>
      <c r="B338" s="687" t="s">
        <v>541</v>
      </c>
      <c r="C338" s="688" t="s">
        <v>570</v>
      </c>
      <c r="D338" s="689" t="s">
        <v>573</v>
      </c>
      <c r="E338" s="689" t="s">
        <v>370</v>
      </c>
      <c r="F338" s="689">
        <v>7</v>
      </c>
      <c r="G338" s="689">
        <v>7</v>
      </c>
      <c r="H338" s="695">
        <v>46081</v>
      </c>
      <c r="I338" s="695">
        <v>46081</v>
      </c>
      <c r="J338" s="689" t="s">
        <v>368</v>
      </c>
      <c r="K338" t="str">
        <f t="shared" si="19"/>
        <v>Switch</v>
      </c>
      <c r="M338" s="412">
        <f t="shared" si="18"/>
        <v>7</v>
      </c>
      <c r="N338" s="412">
        <f t="shared" si="20"/>
        <v>7</v>
      </c>
      <c r="O338" s="412">
        <f>All_Detail_v2[[#This Row],[Qty. Success]]</f>
        <v>7</v>
      </c>
      <c r="P338" s="230">
        <f>IF(All_Detail_v2[[#This Row],[Qty]]=0,1,(M338+N338+O338)/(All_Detail_v2[[#This Row],[Qty]]*3))</f>
        <v>1</v>
      </c>
      <c r="Q338" s="195"/>
      <c r="R338" s="414">
        <f>All_Detail_v2[[#This Row],[Scheduled Date]]</f>
        <v>46081</v>
      </c>
      <c r="S338" s="414">
        <f>All_Detail_v2[[#This Row],[Install Date]]</f>
        <v>46081</v>
      </c>
    </row>
    <row r="339" spans="1:19">
      <c r="A339">
        <v>335</v>
      </c>
      <c r="B339" s="687" t="s">
        <v>541</v>
      </c>
      <c r="C339" s="688" t="s">
        <v>570</v>
      </c>
      <c r="D339" s="689" t="s">
        <v>574</v>
      </c>
      <c r="E339" s="689" t="s">
        <v>370</v>
      </c>
      <c r="F339" s="689">
        <v>4</v>
      </c>
      <c r="G339" s="689">
        <v>4</v>
      </c>
      <c r="H339" s="695">
        <v>46081</v>
      </c>
      <c r="I339" s="695">
        <v>46081</v>
      </c>
      <c r="J339" s="689" t="s">
        <v>368</v>
      </c>
      <c r="K339" t="str">
        <f t="shared" si="19"/>
        <v>Switch</v>
      </c>
      <c r="M339" s="412">
        <f t="shared" si="18"/>
        <v>4</v>
      </c>
      <c r="N339" s="412">
        <f t="shared" si="20"/>
        <v>4</v>
      </c>
      <c r="O339" s="412">
        <f>All_Detail_v2[[#This Row],[Qty. Success]]</f>
        <v>4</v>
      </c>
      <c r="P339" s="230">
        <f>IF(All_Detail_v2[[#This Row],[Qty]]=0,1,(M339+N339+O339)/(All_Detail_v2[[#This Row],[Qty]]*3))</f>
        <v>1</v>
      </c>
      <c r="Q339" s="195"/>
      <c r="R339" s="414">
        <f>All_Detail_v2[[#This Row],[Scheduled Date]]</f>
        <v>46081</v>
      </c>
      <c r="S339" s="414">
        <f>All_Detail_v2[[#This Row],[Install Date]]</f>
        <v>46081</v>
      </c>
    </row>
    <row r="340" spans="1:19">
      <c r="A340">
        <v>336</v>
      </c>
      <c r="B340" s="687" t="s">
        <v>541</v>
      </c>
      <c r="C340" s="688" t="s">
        <v>575</v>
      </c>
      <c r="D340" s="689" t="s">
        <v>571</v>
      </c>
      <c r="E340" s="689" t="s">
        <v>370</v>
      </c>
      <c r="F340" s="689">
        <v>8</v>
      </c>
      <c r="G340" s="689">
        <v>8</v>
      </c>
      <c r="H340" s="695">
        <v>46082</v>
      </c>
      <c r="I340" s="695">
        <v>46082</v>
      </c>
      <c r="J340" s="689" t="s">
        <v>368</v>
      </c>
      <c r="K340" t="str">
        <f t="shared" si="19"/>
        <v>Switch</v>
      </c>
      <c r="M340" s="412">
        <f t="shared" si="18"/>
        <v>8</v>
      </c>
      <c r="N340" s="412">
        <f t="shared" si="20"/>
        <v>8</v>
      </c>
      <c r="O340" s="412">
        <f>All_Detail_v2[[#This Row],[Qty. Success]]</f>
        <v>8</v>
      </c>
      <c r="P340" s="230">
        <f>IF(All_Detail_v2[[#This Row],[Qty]]=0,1,(M340+N340+O340)/(All_Detail_v2[[#This Row],[Qty]]*3))</f>
        <v>1</v>
      </c>
      <c r="Q340" s="195"/>
      <c r="R340" s="414">
        <f>All_Detail_v2[[#This Row],[Scheduled Date]]</f>
        <v>46082</v>
      </c>
      <c r="S340" s="414">
        <f>All_Detail_v2[[#This Row],[Install Date]]</f>
        <v>46082</v>
      </c>
    </row>
    <row r="341" spans="1:19">
      <c r="A341">
        <v>337</v>
      </c>
      <c r="B341" s="687" t="s">
        <v>541</v>
      </c>
      <c r="C341" s="688" t="s">
        <v>575</v>
      </c>
      <c r="D341" s="689" t="s">
        <v>576</v>
      </c>
      <c r="E341" s="689" t="s">
        <v>410</v>
      </c>
      <c r="F341" s="689">
        <v>2</v>
      </c>
      <c r="G341" s="689">
        <v>2</v>
      </c>
      <c r="H341" s="695">
        <v>46082</v>
      </c>
      <c r="I341" s="695">
        <v>46082</v>
      </c>
      <c r="J341" s="689" t="s">
        <v>368</v>
      </c>
      <c r="K341" t="str">
        <f t="shared" si="19"/>
        <v>Switch</v>
      </c>
      <c r="M341" s="412">
        <f t="shared" si="18"/>
        <v>2</v>
      </c>
      <c r="N341" s="412">
        <f t="shared" si="20"/>
        <v>2</v>
      </c>
      <c r="O341" s="412">
        <f>All_Detail_v2[[#This Row],[Qty. Success]]</f>
        <v>2</v>
      </c>
      <c r="P341" s="230">
        <f>IF(All_Detail_v2[[#This Row],[Qty]]=0,1,(M341+N341+O341)/(All_Detail_v2[[#This Row],[Qty]]*3))</f>
        <v>1</v>
      </c>
      <c r="Q341" s="195"/>
      <c r="R341" s="414">
        <f>All_Detail_v2[[#This Row],[Scheduled Date]]</f>
        <v>46082</v>
      </c>
      <c r="S341" s="414">
        <f>All_Detail_v2[[#This Row],[Install Date]]</f>
        <v>46082</v>
      </c>
    </row>
    <row r="342" spans="1:19">
      <c r="A342">
        <v>338</v>
      </c>
      <c r="B342" s="687" t="s">
        <v>541</v>
      </c>
      <c r="C342" s="688" t="s">
        <v>575</v>
      </c>
      <c r="D342" s="689" t="s">
        <v>577</v>
      </c>
      <c r="E342" s="689" t="s">
        <v>370</v>
      </c>
      <c r="F342" s="689">
        <v>1</v>
      </c>
      <c r="G342" s="689">
        <v>1</v>
      </c>
      <c r="H342" s="695">
        <v>46082</v>
      </c>
      <c r="I342" s="695">
        <v>46082</v>
      </c>
      <c r="J342" s="689" t="s">
        <v>368</v>
      </c>
      <c r="K342" t="str">
        <f t="shared" si="19"/>
        <v>Switch</v>
      </c>
      <c r="M342" s="412">
        <f t="shared" si="18"/>
        <v>1</v>
      </c>
      <c r="N342" s="412">
        <f t="shared" si="20"/>
        <v>1</v>
      </c>
      <c r="O342" s="412">
        <f>All_Detail_v2[[#This Row],[Qty. Success]]</f>
        <v>1</v>
      </c>
      <c r="P342" s="230">
        <f>IF(All_Detail_v2[[#This Row],[Qty]]=0,1,(M342+N342+O342)/(All_Detail_v2[[#This Row],[Qty]]*3))</f>
        <v>1</v>
      </c>
      <c r="Q342" s="195"/>
      <c r="R342" s="414">
        <f>All_Detail_v2[[#This Row],[Scheduled Date]]</f>
        <v>46082</v>
      </c>
      <c r="S342" s="414">
        <f>All_Detail_v2[[#This Row],[Install Date]]</f>
        <v>46082</v>
      </c>
    </row>
    <row r="343" spans="1:19">
      <c r="A343">
        <v>339</v>
      </c>
      <c r="B343" s="687" t="s">
        <v>541</v>
      </c>
      <c r="C343" s="688" t="s">
        <v>578</v>
      </c>
      <c r="D343" s="689" t="s">
        <v>579</v>
      </c>
      <c r="E343" s="689" t="s">
        <v>410</v>
      </c>
      <c r="F343" s="689">
        <v>2</v>
      </c>
      <c r="G343" s="689">
        <v>2</v>
      </c>
      <c r="H343" s="695">
        <v>46084</v>
      </c>
      <c r="I343" s="695">
        <v>46084</v>
      </c>
      <c r="J343" s="689" t="s">
        <v>368</v>
      </c>
      <c r="K343" t="str">
        <f t="shared" si="19"/>
        <v>Switch</v>
      </c>
      <c r="M343" s="412">
        <f t="shared" si="18"/>
        <v>2</v>
      </c>
      <c r="N343" s="412">
        <f t="shared" si="20"/>
        <v>2</v>
      </c>
      <c r="O343" s="412">
        <f>All_Detail_v2[[#This Row],[Qty. Success]]</f>
        <v>2</v>
      </c>
      <c r="P343" s="230">
        <f>IF(All_Detail_v2[[#This Row],[Qty]]=0,1,(M343+N343+O343)/(All_Detail_v2[[#This Row],[Qty]]*3))</f>
        <v>1</v>
      </c>
      <c r="Q343" s="195"/>
      <c r="R343" s="414">
        <f>All_Detail_v2[[#This Row],[Scheduled Date]]</f>
        <v>46084</v>
      </c>
      <c r="S343" s="414">
        <f>All_Detail_v2[[#This Row],[Install Date]]</f>
        <v>46084</v>
      </c>
    </row>
    <row r="344" spans="1:19">
      <c r="A344">
        <v>340</v>
      </c>
      <c r="B344" s="687" t="s">
        <v>541</v>
      </c>
      <c r="C344" s="688" t="s">
        <v>578</v>
      </c>
      <c r="D344" s="689" t="s">
        <v>580</v>
      </c>
      <c r="E344" s="689" t="s">
        <v>370</v>
      </c>
      <c r="F344" s="689">
        <v>4</v>
      </c>
      <c r="G344" s="689">
        <v>4</v>
      </c>
      <c r="H344" s="695">
        <v>46084</v>
      </c>
      <c r="I344" s="695">
        <v>46084</v>
      </c>
      <c r="J344" s="689" t="s">
        <v>368</v>
      </c>
      <c r="K344" t="str">
        <f t="shared" si="19"/>
        <v>Switch</v>
      </c>
      <c r="M344" s="412">
        <f t="shared" si="18"/>
        <v>4</v>
      </c>
      <c r="N344" s="412">
        <f t="shared" si="20"/>
        <v>4</v>
      </c>
      <c r="O344" s="412">
        <f>All_Detail_v2[[#This Row],[Qty. Success]]</f>
        <v>4</v>
      </c>
      <c r="P344" s="230">
        <f>IF(All_Detail_v2[[#This Row],[Qty]]=0,1,(M344+N344+O344)/(All_Detail_v2[[#This Row],[Qty]]*3))</f>
        <v>1</v>
      </c>
      <c r="Q344" s="195"/>
      <c r="R344" s="414">
        <f>All_Detail_v2[[#This Row],[Scheduled Date]]</f>
        <v>46084</v>
      </c>
      <c r="S344" s="414">
        <f>All_Detail_v2[[#This Row],[Install Date]]</f>
        <v>46084</v>
      </c>
    </row>
    <row r="345" spans="1:19">
      <c r="A345">
        <v>341</v>
      </c>
      <c r="B345" s="687" t="s">
        <v>541</v>
      </c>
      <c r="C345" s="688" t="s">
        <v>578</v>
      </c>
      <c r="D345" s="688" t="s">
        <v>581</v>
      </c>
      <c r="E345" s="689" t="s">
        <v>370</v>
      </c>
      <c r="F345" s="689">
        <v>1</v>
      </c>
      <c r="G345" s="689">
        <v>1</v>
      </c>
      <c r="H345" s="695">
        <v>46084</v>
      </c>
      <c r="I345" s="695">
        <v>46084</v>
      </c>
      <c r="J345" s="689" t="s">
        <v>368</v>
      </c>
      <c r="K345" t="str">
        <f t="shared" si="19"/>
        <v>Switch</v>
      </c>
      <c r="L345" s="633" t="s">
        <v>582</v>
      </c>
      <c r="M345" s="412">
        <f t="shared" si="18"/>
        <v>1</v>
      </c>
      <c r="N345" s="412">
        <f t="shared" si="20"/>
        <v>1</v>
      </c>
      <c r="O345" s="412">
        <f>All_Detail_v2[[#This Row],[Qty. Success]]</f>
        <v>1</v>
      </c>
      <c r="P345" s="230">
        <f>IF(All_Detail_v2[[#This Row],[Qty]]=0,1,(M345+N345+O345)/(All_Detail_v2[[#This Row],[Qty]]*3))</f>
        <v>1</v>
      </c>
      <c r="Q345" s="195"/>
      <c r="R345" s="414">
        <f>All_Detail_v2[[#This Row],[Scheduled Date]]</f>
        <v>46084</v>
      </c>
      <c r="S345" s="414">
        <f>All_Detail_v2[[#This Row],[Install Date]]</f>
        <v>46084</v>
      </c>
    </row>
    <row r="346" spans="1:19">
      <c r="A346">
        <v>342</v>
      </c>
      <c r="B346" s="687" t="s">
        <v>541</v>
      </c>
      <c r="C346" s="688" t="s">
        <v>583</v>
      </c>
      <c r="D346" s="689" t="s">
        <v>584</v>
      </c>
      <c r="E346" s="689" t="s">
        <v>370</v>
      </c>
      <c r="F346" s="689">
        <v>2</v>
      </c>
      <c r="G346" s="689">
        <v>2</v>
      </c>
      <c r="H346" s="695">
        <v>46084</v>
      </c>
      <c r="I346" s="695">
        <v>46084</v>
      </c>
      <c r="J346" s="689" t="s">
        <v>368</v>
      </c>
      <c r="K346" t="str">
        <f t="shared" si="19"/>
        <v>Switch</v>
      </c>
      <c r="M346" s="412">
        <f t="shared" si="18"/>
        <v>2</v>
      </c>
      <c r="N346" s="412">
        <f t="shared" si="20"/>
        <v>2</v>
      </c>
      <c r="O346" s="412">
        <f>All_Detail_v2[[#This Row],[Qty. Success]]</f>
        <v>2</v>
      </c>
      <c r="P346" s="230">
        <f>IF(All_Detail_v2[[#This Row],[Qty]]=0,1,(M346+N346+O346)/(All_Detail_v2[[#This Row],[Qty]]*3))</f>
        <v>1</v>
      </c>
      <c r="Q346" s="195"/>
      <c r="R346" s="414">
        <f>All_Detail_v2[[#This Row],[Scheduled Date]]</f>
        <v>46084</v>
      </c>
      <c r="S346" s="414">
        <f>All_Detail_v2[[#This Row],[Install Date]]</f>
        <v>46084</v>
      </c>
    </row>
    <row r="347" spans="1:19">
      <c r="A347">
        <v>343</v>
      </c>
      <c r="B347" s="687" t="s">
        <v>541</v>
      </c>
      <c r="C347" s="688" t="s">
        <v>583</v>
      </c>
      <c r="D347" s="688" t="s">
        <v>585</v>
      </c>
      <c r="E347" s="689" t="s">
        <v>370</v>
      </c>
      <c r="F347" s="689">
        <v>2</v>
      </c>
      <c r="G347" s="689">
        <v>2</v>
      </c>
      <c r="H347" s="695">
        <v>46084</v>
      </c>
      <c r="I347" s="695">
        <v>46084</v>
      </c>
      <c r="J347" s="689" t="s">
        <v>368</v>
      </c>
      <c r="K347" t="str">
        <f t="shared" si="19"/>
        <v>Switch</v>
      </c>
      <c r="L347" s="633" t="s">
        <v>582</v>
      </c>
      <c r="M347" s="412">
        <f t="shared" si="18"/>
        <v>2</v>
      </c>
      <c r="N347" s="412">
        <f t="shared" si="20"/>
        <v>2</v>
      </c>
      <c r="O347" s="412">
        <f>All_Detail_v2[[#This Row],[Qty. Success]]</f>
        <v>2</v>
      </c>
      <c r="P347" s="230">
        <f>IF(All_Detail_v2[[#This Row],[Qty]]=0,1,(M347+N347+O347)/(All_Detail_v2[[#This Row],[Qty]]*3))</f>
        <v>1</v>
      </c>
      <c r="Q347" s="195"/>
      <c r="R347" s="414">
        <f>All_Detail_v2[[#This Row],[Scheduled Date]]</f>
        <v>46084</v>
      </c>
      <c r="S347" s="414">
        <f>All_Detail_v2[[#This Row],[Install Date]]</f>
        <v>46084</v>
      </c>
    </row>
    <row r="348" spans="1:19">
      <c r="A348">
        <v>344</v>
      </c>
      <c r="B348" s="687" t="s">
        <v>541</v>
      </c>
      <c r="C348" s="688" t="s">
        <v>586</v>
      </c>
      <c r="D348" s="689" t="s">
        <v>587</v>
      </c>
      <c r="E348" s="689" t="s">
        <v>370</v>
      </c>
      <c r="F348" s="689">
        <v>3</v>
      </c>
      <c r="G348" s="689">
        <v>3</v>
      </c>
      <c r="H348" s="695">
        <v>46086</v>
      </c>
      <c r="I348" s="695">
        <v>46086</v>
      </c>
      <c r="J348" s="689" t="s">
        <v>368</v>
      </c>
      <c r="K348" t="str">
        <f t="shared" si="19"/>
        <v>Switch</v>
      </c>
      <c r="M348" s="412">
        <f t="shared" si="18"/>
        <v>3</v>
      </c>
      <c r="N348" s="412">
        <f t="shared" si="20"/>
        <v>3</v>
      </c>
      <c r="O348" s="412">
        <f>All_Detail_v2[[#This Row],[Qty. Success]]</f>
        <v>3</v>
      </c>
      <c r="P348" s="230">
        <f>IF(All_Detail_v2[[#This Row],[Qty]]=0,1,(M348+N348+O348)/(All_Detail_v2[[#This Row],[Qty]]*3))</f>
        <v>1</v>
      </c>
      <c r="Q348" s="195"/>
      <c r="R348" s="414">
        <f>All_Detail_v2[[#This Row],[Scheduled Date]]</f>
        <v>46086</v>
      </c>
      <c r="S348" s="414">
        <f>All_Detail_v2[[#This Row],[Install Date]]</f>
        <v>46086</v>
      </c>
    </row>
    <row r="349" spans="1:19">
      <c r="A349">
        <v>345</v>
      </c>
      <c r="B349" s="687" t="s">
        <v>541</v>
      </c>
      <c r="C349" s="689" t="s">
        <v>588</v>
      </c>
      <c r="D349" s="689" t="s">
        <v>41</v>
      </c>
      <c r="E349" s="689" t="s">
        <v>364</v>
      </c>
      <c r="F349" s="689">
        <v>1</v>
      </c>
      <c r="G349" s="689"/>
      <c r="H349" s="695"/>
      <c r="I349" s="695">
        <v>46104</v>
      </c>
      <c r="J349" s="689" t="s">
        <v>365</v>
      </c>
      <c r="K349" t="str">
        <f t="shared" si="19"/>
        <v>AP</v>
      </c>
      <c r="M349" s="412">
        <f t="shared" si="18"/>
        <v>0</v>
      </c>
      <c r="N349" s="412">
        <f t="shared" si="20"/>
        <v>0</v>
      </c>
      <c r="O349" s="412">
        <f>All_Detail_v2[[#This Row],[Qty. Success]]</f>
        <v>0</v>
      </c>
      <c r="P349" s="230">
        <f>IF(All_Detail_v2[[#This Row],[Qty]]=0,1,(M349+N349+O349)/(All_Detail_v2[[#This Row],[Qty]]*3))</f>
        <v>0</v>
      </c>
      <c r="Q349" s="195"/>
      <c r="R349" s="414">
        <f>All_Detail_v2[[#This Row],[Scheduled Date]]</f>
        <v>46104</v>
      </c>
      <c r="S349" s="414">
        <f>All_Detail_v2[[#This Row],[Install Date]]</f>
        <v>0</v>
      </c>
    </row>
    <row r="350" spans="1:19">
      <c r="A350">
        <v>346</v>
      </c>
      <c r="B350" s="687" t="s">
        <v>541</v>
      </c>
      <c r="C350" s="689" t="s">
        <v>588</v>
      </c>
      <c r="D350" s="689" t="s">
        <v>589</v>
      </c>
      <c r="E350" s="689" t="s">
        <v>370</v>
      </c>
      <c r="F350" s="689">
        <v>2</v>
      </c>
      <c r="G350" s="689"/>
      <c r="H350" s="695"/>
      <c r="I350" s="695">
        <v>46104</v>
      </c>
      <c r="J350" s="689" t="s">
        <v>365</v>
      </c>
      <c r="K350" t="str">
        <f t="shared" si="19"/>
        <v>Switch</v>
      </c>
      <c r="M350" s="412">
        <f t="shared" si="18"/>
        <v>0</v>
      </c>
      <c r="N350" s="412">
        <f t="shared" si="20"/>
        <v>0</v>
      </c>
      <c r="O350" s="412">
        <f>All_Detail_v2[[#This Row],[Qty. Success]]</f>
        <v>0</v>
      </c>
      <c r="P350" s="230">
        <f>IF(All_Detail_v2[[#This Row],[Qty]]=0,1,(M350+N350+O350)/(All_Detail_v2[[#This Row],[Qty]]*3))</f>
        <v>0</v>
      </c>
      <c r="Q350" s="195"/>
      <c r="R350" s="414">
        <f>All_Detail_v2[[#This Row],[Scheduled Date]]</f>
        <v>46104</v>
      </c>
      <c r="S350" s="414">
        <f>All_Detail_v2[[#This Row],[Install Date]]</f>
        <v>0</v>
      </c>
    </row>
    <row r="351" spans="1:19">
      <c r="A351">
        <v>347</v>
      </c>
      <c r="B351" s="687" t="s">
        <v>541</v>
      </c>
      <c r="C351" s="688" t="s">
        <v>590</v>
      </c>
      <c r="D351" s="689" t="s">
        <v>591</v>
      </c>
      <c r="E351" s="689" t="s">
        <v>370</v>
      </c>
      <c r="F351" s="689">
        <v>2</v>
      </c>
      <c r="G351" s="689">
        <v>2</v>
      </c>
      <c r="H351" s="695">
        <v>46095</v>
      </c>
      <c r="I351" s="695">
        <v>46095</v>
      </c>
      <c r="J351" s="689" t="s">
        <v>368</v>
      </c>
      <c r="K351" t="str">
        <f t="shared" si="19"/>
        <v>Switch</v>
      </c>
      <c r="L351" s="633" t="s">
        <v>592</v>
      </c>
      <c r="M351" s="412">
        <f t="shared" si="18"/>
        <v>2</v>
      </c>
      <c r="N351" s="412">
        <f t="shared" si="20"/>
        <v>2</v>
      </c>
      <c r="O351" s="412">
        <f>All_Detail_v2[[#This Row],[Qty. Success]]</f>
        <v>2</v>
      </c>
      <c r="P351" s="230">
        <f>IF(All_Detail_v2[[#This Row],[Qty]]=0,1,(M351+N351+O351)/(All_Detail_v2[[#This Row],[Qty]]*3))</f>
        <v>1</v>
      </c>
      <c r="Q351" s="195"/>
      <c r="R351" s="414">
        <f>All_Detail_v2[[#This Row],[Scheduled Date]]</f>
        <v>46095</v>
      </c>
      <c r="S351" s="414">
        <f>All_Detail_v2[[#This Row],[Install Date]]</f>
        <v>46095</v>
      </c>
    </row>
    <row r="352" spans="1:19">
      <c r="A352">
        <v>348</v>
      </c>
      <c r="B352" s="687" t="s">
        <v>541</v>
      </c>
      <c r="C352" s="688" t="s">
        <v>590</v>
      </c>
      <c r="D352" s="689" t="s">
        <v>591</v>
      </c>
      <c r="E352" s="689" t="s">
        <v>410</v>
      </c>
      <c r="F352" s="689">
        <v>1</v>
      </c>
      <c r="G352" s="689">
        <v>2</v>
      </c>
      <c r="H352" s="695">
        <v>46095</v>
      </c>
      <c r="I352" s="695">
        <v>46095</v>
      </c>
      <c r="J352" s="689" t="s">
        <v>368</v>
      </c>
      <c r="K352" t="str">
        <f t="shared" si="19"/>
        <v>Switch</v>
      </c>
      <c r="L352" s="633" t="s">
        <v>593</v>
      </c>
      <c r="M352" s="412">
        <f t="shared" si="18"/>
        <v>2</v>
      </c>
      <c r="N352" s="412">
        <f t="shared" si="20"/>
        <v>2</v>
      </c>
      <c r="O352" s="412">
        <f>All_Detail_v2[[#This Row],[Qty. Success]]</f>
        <v>2</v>
      </c>
      <c r="P352" s="230">
        <f>IF(All_Detail_v2[[#This Row],[Qty]]=0,1,(M352+N352+O352)/(All_Detail_v2[[#This Row],[Qty]]*3))</f>
        <v>2</v>
      </c>
      <c r="Q352" s="195"/>
      <c r="R352" s="414">
        <f>All_Detail_v2[[#This Row],[Scheduled Date]]</f>
        <v>46095</v>
      </c>
      <c r="S352" s="414">
        <f>All_Detail_v2[[#This Row],[Install Date]]</f>
        <v>46095</v>
      </c>
    </row>
    <row r="353" spans="1:19">
      <c r="A353">
        <v>349</v>
      </c>
      <c r="B353" s="687" t="s">
        <v>541</v>
      </c>
      <c r="C353" s="688" t="s">
        <v>594</v>
      </c>
      <c r="D353" s="689" t="s">
        <v>595</v>
      </c>
      <c r="E353" s="689" t="s">
        <v>370</v>
      </c>
      <c r="F353" s="689">
        <v>1</v>
      </c>
      <c r="G353" s="689">
        <v>1</v>
      </c>
      <c r="H353" s="695">
        <v>46080</v>
      </c>
      <c r="I353" s="695">
        <v>46080</v>
      </c>
      <c r="J353" s="689" t="s">
        <v>368</v>
      </c>
      <c r="K353" t="str">
        <f t="shared" si="19"/>
        <v>Switch</v>
      </c>
      <c r="M353" s="412">
        <f t="shared" si="18"/>
        <v>1</v>
      </c>
      <c r="N353" s="412">
        <f t="shared" si="20"/>
        <v>1</v>
      </c>
      <c r="O353" s="412">
        <f>All_Detail_v2[[#This Row],[Qty. Success]]</f>
        <v>1</v>
      </c>
      <c r="P353" s="230">
        <f>IF(All_Detail_v2[[#This Row],[Qty]]=0,1,(M353+N353+O353)/(All_Detail_v2[[#This Row],[Qty]]*3))</f>
        <v>1</v>
      </c>
      <c r="Q353" s="195"/>
      <c r="R353" s="414">
        <f>All_Detail_v2[[#This Row],[Scheduled Date]]</f>
        <v>46080</v>
      </c>
      <c r="S353" s="414">
        <f>All_Detail_v2[[#This Row],[Install Date]]</f>
        <v>46080</v>
      </c>
    </row>
    <row r="354" spans="1:19">
      <c r="A354">
        <v>350</v>
      </c>
      <c r="B354" s="687" t="s">
        <v>541</v>
      </c>
      <c r="C354" s="688" t="s">
        <v>594</v>
      </c>
      <c r="D354" s="689" t="s">
        <v>596</v>
      </c>
      <c r="E354" s="689" t="s">
        <v>370</v>
      </c>
      <c r="F354" s="689">
        <v>2</v>
      </c>
      <c r="G354" s="689">
        <v>2</v>
      </c>
      <c r="H354" s="695">
        <v>46080</v>
      </c>
      <c r="I354" s="695">
        <v>46080</v>
      </c>
      <c r="J354" s="689" t="s">
        <v>368</v>
      </c>
      <c r="K354" t="str">
        <f t="shared" si="19"/>
        <v>Switch</v>
      </c>
      <c r="M354" s="412">
        <f t="shared" si="18"/>
        <v>2</v>
      </c>
      <c r="N354" s="412">
        <f t="shared" si="20"/>
        <v>2</v>
      </c>
      <c r="O354" s="412">
        <f>All_Detail_v2[[#This Row],[Qty. Success]]</f>
        <v>2</v>
      </c>
      <c r="P354" s="230">
        <f>IF(All_Detail_v2[[#This Row],[Qty]]=0,1,(M354+N354+O354)/(All_Detail_v2[[#This Row],[Qty]]*3))</f>
        <v>1</v>
      </c>
      <c r="Q354" s="195"/>
      <c r="R354" s="414">
        <f>All_Detail_v2[[#This Row],[Scheduled Date]]</f>
        <v>46080</v>
      </c>
      <c r="S354" s="414">
        <f>All_Detail_v2[[#This Row],[Install Date]]</f>
        <v>46080</v>
      </c>
    </row>
    <row r="355" spans="1:19">
      <c r="A355">
        <v>351</v>
      </c>
      <c r="B355" s="687" t="s">
        <v>541</v>
      </c>
      <c r="C355" s="688" t="s">
        <v>597</v>
      </c>
      <c r="D355" s="689" t="s">
        <v>598</v>
      </c>
      <c r="E355" s="689" t="s">
        <v>370</v>
      </c>
      <c r="F355" s="689">
        <v>2</v>
      </c>
      <c r="G355" s="689">
        <v>2</v>
      </c>
      <c r="H355" s="695">
        <v>46095</v>
      </c>
      <c r="I355" s="695">
        <v>46095</v>
      </c>
      <c r="J355" s="689" t="s">
        <v>368</v>
      </c>
      <c r="K355" t="str">
        <f t="shared" si="19"/>
        <v>Switch</v>
      </c>
      <c r="M355" s="412">
        <f t="shared" si="18"/>
        <v>2</v>
      </c>
      <c r="N355" s="412">
        <f t="shared" si="20"/>
        <v>2</v>
      </c>
      <c r="O355" s="412">
        <f>All_Detail_v2[[#This Row],[Qty. Success]]</f>
        <v>2</v>
      </c>
      <c r="P355" s="230">
        <f>IF(All_Detail_v2[[#This Row],[Qty]]=0,1,(M355+N355+O355)/(All_Detail_v2[[#This Row],[Qty]]*3))</f>
        <v>1</v>
      </c>
      <c r="Q355" s="195"/>
      <c r="R355" s="414">
        <f>All_Detail_v2[[#This Row],[Scheduled Date]]</f>
        <v>46095</v>
      </c>
      <c r="S355" s="414">
        <f>All_Detail_v2[[#This Row],[Install Date]]</f>
        <v>46095</v>
      </c>
    </row>
    <row r="356" spans="1:19">
      <c r="A356">
        <v>352</v>
      </c>
      <c r="B356" s="687" t="s">
        <v>541</v>
      </c>
      <c r="C356" s="689" t="s">
        <v>599</v>
      </c>
      <c r="D356" s="689" t="s">
        <v>600</v>
      </c>
      <c r="E356" s="689" t="s">
        <v>370</v>
      </c>
      <c r="F356" s="689">
        <v>2</v>
      </c>
      <c r="G356" s="689"/>
      <c r="H356" s="695"/>
      <c r="I356" s="695">
        <v>46104</v>
      </c>
      <c r="J356" s="689" t="s">
        <v>365</v>
      </c>
      <c r="K356" t="str">
        <f t="shared" si="19"/>
        <v>Switch</v>
      </c>
      <c r="M356" s="412">
        <f t="shared" si="18"/>
        <v>0</v>
      </c>
      <c r="N356" s="412">
        <f t="shared" si="20"/>
        <v>0</v>
      </c>
      <c r="O356" s="412">
        <f>All_Detail_v2[[#This Row],[Qty. Success]]</f>
        <v>0</v>
      </c>
      <c r="P356" s="230">
        <f>IF(All_Detail_v2[[#This Row],[Qty]]=0,1,(M356+N356+O356)/(All_Detail_v2[[#This Row],[Qty]]*3))</f>
        <v>0</v>
      </c>
      <c r="Q356" s="195"/>
      <c r="R356" s="414">
        <f>All_Detail_v2[[#This Row],[Scheduled Date]]</f>
        <v>46104</v>
      </c>
      <c r="S356" s="414">
        <f>All_Detail_v2[[#This Row],[Install Date]]</f>
        <v>0</v>
      </c>
    </row>
    <row r="357" spans="1:19">
      <c r="A357">
        <v>353</v>
      </c>
      <c r="B357" s="687" t="s">
        <v>541</v>
      </c>
      <c r="C357" s="689" t="s">
        <v>601</v>
      </c>
      <c r="D357" s="689" t="s">
        <v>602</v>
      </c>
      <c r="E357" s="689" t="s">
        <v>370</v>
      </c>
      <c r="F357" s="689">
        <v>2</v>
      </c>
      <c r="G357" s="689"/>
      <c r="H357" s="695"/>
      <c r="I357" s="695">
        <v>46104</v>
      </c>
      <c r="J357" s="689" t="s">
        <v>365</v>
      </c>
      <c r="K357" t="str">
        <f t="shared" si="19"/>
        <v>Switch</v>
      </c>
      <c r="M357" s="412">
        <f t="shared" si="18"/>
        <v>0</v>
      </c>
      <c r="N357" s="412">
        <f t="shared" si="20"/>
        <v>0</v>
      </c>
      <c r="O357" s="412">
        <f>All_Detail_v2[[#This Row],[Qty. Success]]</f>
        <v>0</v>
      </c>
      <c r="P357" s="230">
        <f>IF(All_Detail_v2[[#This Row],[Qty]]=0,1,(M357+N357+O357)/(All_Detail_v2[[#This Row],[Qty]]*3))</f>
        <v>0</v>
      </c>
      <c r="Q357" s="195"/>
      <c r="R357" s="414">
        <f>All_Detail_v2[[#This Row],[Scheduled Date]]</f>
        <v>46104</v>
      </c>
      <c r="S357" s="414">
        <f>All_Detail_v2[[#This Row],[Install Date]]</f>
        <v>0</v>
      </c>
    </row>
    <row r="358" spans="1:19">
      <c r="A358">
        <v>354</v>
      </c>
      <c r="B358" s="687" t="s">
        <v>541</v>
      </c>
      <c r="C358" s="688" t="s">
        <v>603</v>
      </c>
      <c r="D358" s="689" t="s">
        <v>604</v>
      </c>
      <c r="E358" s="689" t="s">
        <v>370</v>
      </c>
      <c r="F358" s="689">
        <v>2</v>
      </c>
      <c r="G358" s="689"/>
      <c r="H358" s="695"/>
      <c r="I358" s="695">
        <v>46104</v>
      </c>
      <c r="J358" s="689" t="s">
        <v>365</v>
      </c>
      <c r="K358" t="str">
        <f t="shared" si="19"/>
        <v>Switch</v>
      </c>
      <c r="M358" s="412">
        <f t="shared" si="18"/>
        <v>0</v>
      </c>
      <c r="N358" s="412">
        <f t="shared" si="20"/>
        <v>0</v>
      </c>
      <c r="O358" s="412">
        <f>All_Detail_v2[[#This Row],[Qty. Success]]</f>
        <v>0</v>
      </c>
      <c r="P358" s="230">
        <f>IF(All_Detail_v2[[#This Row],[Qty]]=0,1,(M358+N358+O358)/(All_Detail_v2[[#This Row],[Qty]]*3))</f>
        <v>0</v>
      </c>
      <c r="Q358" s="195"/>
      <c r="R358" s="414">
        <f>All_Detail_v2[[#This Row],[Scheduled Date]]</f>
        <v>46104</v>
      </c>
      <c r="S358" s="414">
        <f>All_Detail_v2[[#This Row],[Install Date]]</f>
        <v>0</v>
      </c>
    </row>
    <row r="359" spans="1:19">
      <c r="A359">
        <v>355</v>
      </c>
      <c r="B359" s="687" t="s">
        <v>541</v>
      </c>
      <c r="C359" s="689" t="s">
        <v>605</v>
      </c>
      <c r="D359" s="689" t="s">
        <v>606</v>
      </c>
      <c r="E359" s="689" t="s">
        <v>370</v>
      </c>
      <c r="F359" s="689">
        <v>2</v>
      </c>
      <c r="G359" s="689"/>
      <c r="H359" s="695"/>
      <c r="I359" s="695">
        <v>46104</v>
      </c>
      <c r="J359" s="689" t="s">
        <v>365</v>
      </c>
      <c r="K359" t="str">
        <f t="shared" si="19"/>
        <v>Switch</v>
      </c>
      <c r="M359" s="412">
        <f t="shared" si="18"/>
        <v>0</v>
      </c>
      <c r="N359" s="412">
        <f t="shared" si="20"/>
        <v>0</v>
      </c>
      <c r="O359" s="412">
        <f>All_Detail_v2[[#This Row],[Qty. Success]]</f>
        <v>0</v>
      </c>
      <c r="P359" s="230">
        <f>IF(All_Detail_v2[[#This Row],[Qty]]=0,1,(M359+N359+O359)/(All_Detail_v2[[#This Row],[Qty]]*3))</f>
        <v>0</v>
      </c>
      <c r="Q359" s="195"/>
      <c r="R359" s="414">
        <f>All_Detail_v2[[#This Row],[Scheduled Date]]</f>
        <v>46104</v>
      </c>
      <c r="S359" s="414">
        <f>All_Detail_v2[[#This Row],[Install Date]]</f>
        <v>0</v>
      </c>
    </row>
    <row r="360" spans="1:19">
      <c r="A360">
        <v>356</v>
      </c>
      <c r="B360" s="687" t="s">
        <v>541</v>
      </c>
      <c r="C360" s="689" t="s">
        <v>607</v>
      </c>
      <c r="D360" s="689" t="s">
        <v>566</v>
      </c>
      <c r="E360" s="689" t="s">
        <v>410</v>
      </c>
      <c r="F360" s="689">
        <v>2</v>
      </c>
      <c r="G360" s="689"/>
      <c r="H360" s="695"/>
      <c r="I360" s="695">
        <v>46104</v>
      </c>
      <c r="J360" s="689" t="s">
        <v>365</v>
      </c>
      <c r="K360" t="str">
        <f t="shared" si="19"/>
        <v>Switch</v>
      </c>
      <c r="L360" s="633" t="s">
        <v>608</v>
      </c>
      <c r="M360" s="412">
        <f t="shared" si="18"/>
        <v>0</v>
      </c>
      <c r="N360" s="412">
        <f t="shared" si="20"/>
        <v>0</v>
      </c>
      <c r="O360" s="412">
        <f>All_Detail_v2[[#This Row],[Qty. Success]]</f>
        <v>0</v>
      </c>
      <c r="P360" s="230">
        <f>IF(All_Detail_v2[[#This Row],[Qty]]=0,1,(M360+N360+O360)/(All_Detail_v2[[#This Row],[Qty]]*3))</f>
        <v>0</v>
      </c>
      <c r="Q360" s="195"/>
      <c r="R360" s="414">
        <f>All_Detail_v2[[#This Row],[Scheduled Date]]</f>
        <v>46104</v>
      </c>
      <c r="S360" s="414">
        <f>All_Detail_v2[[#This Row],[Install Date]]</f>
        <v>0</v>
      </c>
    </row>
    <row r="361" spans="1:19">
      <c r="A361">
        <v>357</v>
      </c>
      <c r="B361" s="687" t="s">
        <v>541</v>
      </c>
      <c r="C361" s="689" t="s">
        <v>609</v>
      </c>
      <c r="D361" s="689" t="s">
        <v>610</v>
      </c>
      <c r="E361" s="689" t="s">
        <v>370</v>
      </c>
      <c r="F361" s="689">
        <v>2</v>
      </c>
      <c r="G361" s="689"/>
      <c r="H361" s="695"/>
      <c r="I361" s="695">
        <v>46104</v>
      </c>
      <c r="J361" s="689" t="s">
        <v>365</v>
      </c>
      <c r="K361" t="str">
        <f t="shared" si="19"/>
        <v>Switch</v>
      </c>
      <c r="M361" s="412">
        <f t="shared" si="18"/>
        <v>0</v>
      </c>
      <c r="N361" s="412">
        <f t="shared" si="20"/>
        <v>0</v>
      </c>
      <c r="O361" s="412">
        <f>All_Detail_v2[[#This Row],[Qty. Success]]</f>
        <v>0</v>
      </c>
      <c r="P361" s="230">
        <f>IF(All_Detail_v2[[#This Row],[Qty]]=0,1,(M361+N361+O361)/(All_Detail_v2[[#This Row],[Qty]]*3))</f>
        <v>0</v>
      </c>
      <c r="Q361" s="195"/>
      <c r="R361" s="414">
        <f>All_Detail_v2[[#This Row],[Scheduled Date]]</f>
        <v>46104</v>
      </c>
      <c r="S361" s="414">
        <f>All_Detail_v2[[#This Row],[Install Date]]</f>
        <v>0</v>
      </c>
    </row>
    <row r="362" spans="1:19">
      <c r="A362">
        <v>358</v>
      </c>
      <c r="B362" s="687" t="s">
        <v>541</v>
      </c>
      <c r="C362" s="688" t="s">
        <v>611</v>
      </c>
      <c r="D362" s="689" t="s">
        <v>485</v>
      </c>
      <c r="E362" s="689" t="s">
        <v>549</v>
      </c>
      <c r="F362" s="689">
        <v>2</v>
      </c>
      <c r="G362" s="689"/>
      <c r="H362" s="695"/>
      <c r="I362" s="695">
        <v>46104</v>
      </c>
      <c r="J362" s="689" t="s">
        <v>365</v>
      </c>
      <c r="K362" t="str">
        <f t="shared" si="19"/>
        <v>Infra</v>
      </c>
      <c r="M362" s="412">
        <f t="shared" si="18"/>
        <v>0</v>
      </c>
      <c r="N362" s="412">
        <f t="shared" si="20"/>
        <v>0</v>
      </c>
      <c r="O362" s="412">
        <f>All_Detail_v2[[#This Row],[Qty. Success]]</f>
        <v>0</v>
      </c>
      <c r="P362" s="230">
        <f>IF(All_Detail_v2[[#This Row],[Qty]]=0,1,(M362+N362+O362)/(All_Detail_v2[[#This Row],[Qty]]*3))</f>
        <v>0</v>
      </c>
      <c r="Q362" s="195"/>
      <c r="R362" s="414">
        <f>All_Detail_v2[[#This Row],[Scheduled Date]]</f>
        <v>46104</v>
      </c>
      <c r="S362" s="414">
        <f>All_Detail_v2[[#This Row],[Install Date]]</f>
        <v>0</v>
      </c>
    </row>
    <row r="363" spans="1:19">
      <c r="A363">
        <v>359</v>
      </c>
      <c r="B363" s="687" t="s">
        <v>541</v>
      </c>
      <c r="C363" s="688" t="s">
        <v>612</v>
      </c>
      <c r="D363" s="689" t="s">
        <v>613</v>
      </c>
      <c r="E363" s="689" t="s">
        <v>370</v>
      </c>
      <c r="F363" s="689">
        <v>1</v>
      </c>
      <c r="G363" s="689">
        <v>1</v>
      </c>
      <c r="H363" s="695">
        <v>46079</v>
      </c>
      <c r="I363" s="695">
        <v>46079</v>
      </c>
      <c r="J363" s="689" t="s">
        <v>368</v>
      </c>
      <c r="K363" t="str">
        <f t="shared" si="19"/>
        <v>Switch</v>
      </c>
      <c r="M363" s="412">
        <f t="shared" si="18"/>
        <v>1</v>
      </c>
      <c r="N363" s="412">
        <f t="shared" si="20"/>
        <v>1</v>
      </c>
      <c r="O363" s="412">
        <f>All_Detail_v2[[#This Row],[Qty. Success]]</f>
        <v>1</v>
      </c>
      <c r="P363" s="230">
        <f>IF(All_Detail_v2[[#This Row],[Qty]]=0,1,(M363+N363+O363)/(All_Detail_v2[[#This Row],[Qty]]*3))</f>
        <v>1</v>
      </c>
      <c r="Q363" s="195"/>
      <c r="R363" s="414">
        <f>All_Detail_v2[[#This Row],[Scheduled Date]]</f>
        <v>46079</v>
      </c>
      <c r="S363" s="414">
        <f>All_Detail_v2[[#This Row],[Install Date]]</f>
        <v>46079</v>
      </c>
    </row>
    <row r="364" spans="1:19">
      <c r="A364">
        <v>360</v>
      </c>
      <c r="B364" s="687" t="s">
        <v>541</v>
      </c>
      <c r="C364" s="688" t="s">
        <v>614</v>
      </c>
      <c r="D364" s="689" t="s">
        <v>615</v>
      </c>
      <c r="E364" s="689" t="s">
        <v>370</v>
      </c>
      <c r="F364" s="689">
        <v>1</v>
      </c>
      <c r="G364" s="689">
        <v>1</v>
      </c>
      <c r="H364" s="695">
        <v>46095</v>
      </c>
      <c r="I364" s="695">
        <v>46095</v>
      </c>
      <c r="J364" s="689" t="s">
        <v>368</v>
      </c>
      <c r="K364" t="str">
        <f t="shared" si="19"/>
        <v>Switch</v>
      </c>
      <c r="M364" s="412">
        <f t="shared" si="18"/>
        <v>1</v>
      </c>
      <c r="N364" s="412">
        <f t="shared" si="20"/>
        <v>1</v>
      </c>
      <c r="O364" s="412">
        <f>All_Detail_v2[[#This Row],[Qty. Success]]</f>
        <v>1</v>
      </c>
      <c r="P364" s="230">
        <f>IF(All_Detail_v2[[#This Row],[Qty]]=0,1,(M364+N364+O364)/(All_Detail_v2[[#This Row],[Qty]]*3))</f>
        <v>1</v>
      </c>
      <c r="Q364" s="195"/>
      <c r="R364" s="414">
        <f>All_Detail_v2[[#This Row],[Scheduled Date]]</f>
        <v>46095</v>
      </c>
      <c r="S364" s="414">
        <f>All_Detail_v2[[#This Row],[Install Date]]</f>
        <v>46095</v>
      </c>
    </row>
    <row r="365" spans="1:19">
      <c r="A365">
        <v>361</v>
      </c>
      <c r="B365" s="687" t="s">
        <v>541</v>
      </c>
      <c r="C365" s="688" t="s">
        <v>616</v>
      </c>
      <c r="D365" s="689" t="s">
        <v>617</v>
      </c>
      <c r="E365" s="689" t="s">
        <v>370</v>
      </c>
      <c r="F365" s="689">
        <v>1</v>
      </c>
      <c r="G365" s="689">
        <v>1</v>
      </c>
      <c r="H365" s="695">
        <v>46079</v>
      </c>
      <c r="I365" s="695">
        <v>46079</v>
      </c>
      <c r="J365" s="689" t="s">
        <v>368</v>
      </c>
      <c r="K365" t="str">
        <f t="shared" si="19"/>
        <v>Switch</v>
      </c>
      <c r="M365" s="412">
        <f t="shared" si="18"/>
        <v>1</v>
      </c>
      <c r="N365" s="412">
        <f t="shared" si="20"/>
        <v>1</v>
      </c>
      <c r="O365" s="412">
        <f>All_Detail_v2[[#This Row],[Qty. Success]]</f>
        <v>1</v>
      </c>
      <c r="P365" s="230">
        <f>IF(All_Detail_v2[[#This Row],[Qty]]=0,1,(M365+N365+O365)/(All_Detail_v2[[#This Row],[Qty]]*3))</f>
        <v>1</v>
      </c>
      <c r="Q365" s="195"/>
      <c r="R365" s="414">
        <f>All_Detail_v2[[#This Row],[Scheduled Date]]</f>
        <v>46079</v>
      </c>
      <c r="S365" s="414">
        <f>All_Detail_v2[[#This Row],[Install Date]]</f>
        <v>46079</v>
      </c>
    </row>
    <row r="366" spans="1:19">
      <c r="A366">
        <v>362</v>
      </c>
      <c r="B366" s="687" t="s">
        <v>541</v>
      </c>
      <c r="C366" s="688" t="s">
        <v>618</v>
      </c>
      <c r="D366" s="689" t="s">
        <v>619</v>
      </c>
      <c r="E366" s="689" t="s">
        <v>370</v>
      </c>
      <c r="F366" s="689">
        <v>1</v>
      </c>
      <c r="G366" s="689">
        <v>1</v>
      </c>
      <c r="H366" s="695">
        <v>46095</v>
      </c>
      <c r="I366" s="695">
        <v>46095</v>
      </c>
      <c r="J366" s="689" t="s">
        <v>368</v>
      </c>
      <c r="K366" t="str">
        <f t="shared" si="19"/>
        <v>Switch</v>
      </c>
      <c r="L366" s="633" t="s">
        <v>395</v>
      </c>
      <c r="M366" s="412">
        <f t="shared" si="18"/>
        <v>1</v>
      </c>
      <c r="N366" s="412">
        <f t="shared" si="20"/>
        <v>1</v>
      </c>
      <c r="O366" s="412">
        <f>All_Detail_v2[[#This Row],[Qty. Success]]</f>
        <v>1</v>
      </c>
      <c r="P366" s="230">
        <f>IF(All_Detail_v2[[#This Row],[Qty]]=0,1,(M366+N366+O366)/(All_Detail_v2[[#This Row],[Qty]]*3))</f>
        <v>1</v>
      </c>
      <c r="Q366" s="195"/>
      <c r="R366" s="414">
        <f>All_Detail_v2[[#This Row],[Scheduled Date]]</f>
        <v>46095</v>
      </c>
      <c r="S366" s="414">
        <f>All_Detail_v2[[#This Row],[Install Date]]</f>
        <v>46095</v>
      </c>
    </row>
    <row r="367" spans="1:19">
      <c r="A367">
        <v>363</v>
      </c>
      <c r="B367" s="687" t="s">
        <v>541</v>
      </c>
      <c r="C367" s="688" t="s">
        <v>620</v>
      </c>
      <c r="D367" s="689" t="s">
        <v>621</v>
      </c>
      <c r="E367" s="689" t="s">
        <v>370</v>
      </c>
      <c r="F367" s="689">
        <v>1</v>
      </c>
      <c r="G367" s="689">
        <v>1</v>
      </c>
      <c r="H367" s="695">
        <v>46079</v>
      </c>
      <c r="I367" s="695">
        <v>46079</v>
      </c>
      <c r="J367" s="689" t="s">
        <v>368</v>
      </c>
      <c r="K367" t="str">
        <f t="shared" si="19"/>
        <v>Switch</v>
      </c>
      <c r="M367" s="412">
        <f t="shared" si="18"/>
        <v>1</v>
      </c>
      <c r="N367" s="412">
        <f t="shared" si="20"/>
        <v>1</v>
      </c>
      <c r="O367" s="412">
        <f>All_Detail_v2[[#This Row],[Qty. Success]]</f>
        <v>1</v>
      </c>
      <c r="P367" s="230">
        <f>IF(All_Detail_v2[[#This Row],[Qty]]=0,1,(M367+N367+O367)/(All_Detail_v2[[#This Row],[Qty]]*3))</f>
        <v>1</v>
      </c>
      <c r="Q367" s="195"/>
      <c r="R367" s="414">
        <f>All_Detail_v2[[#This Row],[Scheduled Date]]</f>
        <v>46079</v>
      </c>
      <c r="S367" s="414">
        <f>All_Detail_v2[[#This Row],[Install Date]]</f>
        <v>46079</v>
      </c>
    </row>
    <row r="368" spans="1:19">
      <c r="A368">
        <v>364</v>
      </c>
      <c r="B368" s="687" t="s">
        <v>541</v>
      </c>
      <c r="C368" s="688" t="s">
        <v>622</v>
      </c>
      <c r="D368" s="689" t="s">
        <v>623</v>
      </c>
      <c r="E368" s="689" t="s">
        <v>370</v>
      </c>
      <c r="F368" s="689">
        <v>1</v>
      </c>
      <c r="G368" s="689">
        <v>1</v>
      </c>
      <c r="H368" s="695">
        <v>46080</v>
      </c>
      <c r="I368" s="695">
        <v>46080</v>
      </c>
      <c r="J368" s="689" t="s">
        <v>368</v>
      </c>
      <c r="K368" t="str">
        <f t="shared" si="19"/>
        <v>Switch</v>
      </c>
      <c r="M368" s="412">
        <f t="shared" si="18"/>
        <v>1</v>
      </c>
      <c r="N368" s="412">
        <f t="shared" si="20"/>
        <v>1</v>
      </c>
      <c r="O368" s="412">
        <f>All_Detail_v2[[#This Row],[Qty. Success]]</f>
        <v>1</v>
      </c>
      <c r="P368" s="230">
        <f>IF(All_Detail_v2[[#This Row],[Qty]]=0,1,(M368+N368+O368)/(All_Detail_v2[[#This Row],[Qty]]*3))</f>
        <v>1</v>
      </c>
      <c r="Q368" s="195"/>
      <c r="R368" s="414">
        <f>All_Detail_v2[[#This Row],[Scheduled Date]]</f>
        <v>46080</v>
      </c>
      <c r="S368" s="414">
        <f>All_Detail_v2[[#This Row],[Install Date]]</f>
        <v>46080</v>
      </c>
    </row>
    <row r="369" spans="1:19">
      <c r="A369">
        <v>365</v>
      </c>
      <c r="B369" s="687" t="s">
        <v>541</v>
      </c>
      <c r="C369" s="688" t="s">
        <v>624</v>
      </c>
      <c r="D369" s="689" t="s">
        <v>625</v>
      </c>
      <c r="E369" s="689" t="s">
        <v>370</v>
      </c>
      <c r="F369" s="689">
        <v>1</v>
      </c>
      <c r="G369" s="689">
        <v>1</v>
      </c>
      <c r="H369" s="695">
        <v>46080</v>
      </c>
      <c r="I369" s="695">
        <v>46080</v>
      </c>
      <c r="J369" s="689" t="s">
        <v>368</v>
      </c>
      <c r="K369" t="str">
        <f t="shared" si="19"/>
        <v>Switch</v>
      </c>
      <c r="M369" s="412">
        <f t="shared" si="18"/>
        <v>1</v>
      </c>
      <c r="N369" s="412">
        <f t="shared" si="20"/>
        <v>1</v>
      </c>
      <c r="O369" s="412">
        <f>All_Detail_v2[[#This Row],[Qty. Success]]</f>
        <v>1</v>
      </c>
      <c r="P369" s="230">
        <f>IF(All_Detail_v2[[#This Row],[Qty]]=0,1,(M369+N369+O369)/(All_Detail_v2[[#This Row],[Qty]]*3))</f>
        <v>1</v>
      </c>
      <c r="Q369" s="195"/>
      <c r="R369" s="414">
        <f>All_Detail_v2[[#This Row],[Scheduled Date]]</f>
        <v>46080</v>
      </c>
      <c r="S369" s="414">
        <f>All_Detail_v2[[#This Row],[Install Date]]</f>
        <v>46080</v>
      </c>
    </row>
    <row r="370" spans="1:19">
      <c r="A370">
        <v>366</v>
      </c>
      <c r="B370" s="687" t="s">
        <v>541</v>
      </c>
      <c r="C370" s="688" t="s">
        <v>626</v>
      </c>
      <c r="D370" s="689" t="s">
        <v>627</v>
      </c>
      <c r="E370" s="689" t="s">
        <v>370</v>
      </c>
      <c r="F370" s="689">
        <v>1</v>
      </c>
      <c r="G370" s="689">
        <v>1</v>
      </c>
      <c r="H370" s="695">
        <v>46080</v>
      </c>
      <c r="I370" s="695">
        <v>46080</v>
      </c>
      <c r="J370" s="689" t="s">
        <v>368</v>
      </c>
      <c r="K370" t="str">
        <f t="shared" si="19"/>
        <v>Switch</v>
      </c>
      <c r="M370" s="412">
        <f t="shared" si="18"/>
        <v>1</v>
      </c>
      <c r="N370" s="412">
        <f t="shared" si="20"/>
        <v>1</v>
      </c>
      <c r="O370" s="412">
        <f>All_Detail_v2[[#This Row],[Qty. Success]]</f>
        <v>1</v>
      </c>
      <c r="P370" s="230">
        <f>IF(All_Detail_v2[[#This Row],[Qty]]=0,1,(M370+N370+O370)/(All_Detail_v2[[#This Row],[Qty]]*3))</f>
        <v>1</v>
      </c>
      <c r="Q370" s="195"/>
      <c r="R370" s="414">
        <f>All_Detail_v2[[#This Row],[Scheduled Date]]</f>
        <v>46080</v>
      </c>
      <c r="S370" s="414">
        <f>All_Detail_v2[[#This Row],[Install Date]]</f>
        <v>46080</v>
      </c>
    </row>
    <row r="371" spans="1:19">
      <c r="A371">
        <v>367</v>
      </c>
      <c r="B371" s="687" t="s">
        <v>541</v>
      </c>
      <c r="C371" s="688" t="s">
        <v>628</v>
      </c>
      <c r="D371" s="689" t="s">
        <v>629</v>
      </c>
      <c r="E371" s="689" t="s">
        <v>370</v>
      </c>
      <c r="F371" s="689">
        <v>1</v>
      </c>
      <c r="G371" s="689">
        <v>1</v>
      </c>
      <c r="H371" s="695">
        <v>46080</v>
      </c>
      <c r="I371" s="695">
        <v>46080</v>
      </c>
      <c r="J371" s="689" t="s">
        <v>368</v>
      </c>
      <c r="K371" t="str">
        <f t="shared" si="19"/>
        <v>Switch</v>
      </c>
      <c r="M371" s="412">
        <f t="shared" si="18"/>
        <v>1</v>
      </c>
      <c r="N371" s="412">
        <f t="shared" si="20"/>
        <v>1</v>
      </c>
      <c r="O371" s="412">
        <f>All_Detail_v2[[#This Row],[Qty. Success]]</f>
        <v>1</v>
      </c>
      <c r="P371" s="230">
        <f>IF(All_Detail_v2[[#This Row],[Qty]]=0,1,(M371+N371+O371)/(All_Detail_v2[[#This Row],[Qty]]*3))</f>
        <v>1</v>
      </c>
      <c r="Q371" s="195"/>
      <c r="R371" s="414">
        <f>All_Detail_v2[[#This Row],[Scheduled Date]]</f>
        <v>46080</v>
      </c>
      <c r="S371" s="414">
        <f>All_Detail_v2[[#This Row],[Install Date]]</f>
        <v>46080</v>
      </c>
    </row>
    <row r="372" spans="1:19">
      <c r="A372">
        <v>368</v>
      </c>
      <c r="B372" s="687" t="s">
        <v>541</v>
      </c>
      <c r="C372" s="688" t="s">
        <v>630</v>
      </c>
      <c r="D372" s="689" t="s">
        <v>631</v>
      </c>
      <c r="E372" s="689" t="s">
        <v>370</v>
      </c>
      <c r="F372" s="689">
        <v>1</v>
      </c>
      <c r="G372" s="689">
        <v>1</v>
      </c>
      <c r="H372" s="695">
        <v>46080</v>
      </c>
      <c r="I372" s="695">
        <v>46080</v>
      </c>
      <c r="J372" s="689" t="s">
        <v>368</v>
      </c>
      <c r="K372" t="str">
        <f t="shared" si="19"/>
        <v>Switch</v>
      </c>
      <c r="M372" s="412">
        <f t="shared" si="18"/>
        <v>1</v>
      </c>
      <c r="N372" s="412">
        <f t="shared" si="20"/>
        <v>1</v>
      </c>
      <c r="O372" s="412">
        <f>All_Detail_v2[[#This Row],[Qty. Success]]</f>
        <v>1</v>
      </c>
      <c r="P372" s="230">
        <f>IF(All_Detail_v2[[#This Row],[Qty]]=0,1,(M372+N372+O372)/(All_Detail_v2[[#This Row],[Qty]]*3))</f>
        <v>1</v>
      </c>
      <c r="Q372" s="195"/>
      <c r="R372" s="414">
        <f>All_Detail_v2[[#This Row],[Scheduled Date]]</f>
        <v>46080</v>
      </c>
      <c r="S372" s="414">
        <f>All_Detail_v2[[#This Row],[Install Date]]</f>
        <v>46080</v>
      </c>
    </row>
    <row r="373" spans="1:19">
      <c r="A373">
        <v>369</v>
      </c>
      <c r="B373" s="687" t="s">
        <v>541</v>
      </c>
      <c r="C373" s="688" t="s">
        <v>632</v>
      </c>
      <c r="D373" s="689" t="s">
        <v>633</v>
      </c>
      <c r="E373" s="689" t="s">
        <v>370</v>
      </c>
      <c r="F373" s="689">
        <v>1</v>
      </c>
      <c r="G373" s="689">
        <v>1</v>
      </c>
      <c r="H373" s="695">
        <v>46079</v>
      </c>
      <c r="I373" s="695">
        <v>46079</v>
      </c>
      <c r="J373" s="689" t="s">
        <v>368</v>
      </c>
      <c r="K373" t="str">
        <f t="shared" si="19"/>
        <v>Switch</v>
      </c>
      <c r="M373" s="412">
        <f t="shared" si="18"/>
        <v>1</v>
      </c>
      <c r="N373" s="412">
        <f t="shared" si="20"/>
        <v>1</v>
      </c>
      <c r="O373" s="412">
        <f>All_Detail_v2[[#This Row],[Qty. Success]]</f>
        <v>1</v>
      </c>
      <c r="P373" s="230">
        <f>IF(All_Detail_v2[[#This Row],[Qty]]=0,1,(M373+N373+O373)/(All_Detail_v2[[#This Row],[Qty]]*3))</f>
        <v>1</v>
      </c>
      <c r="Q373" s="195"/>
      <c r="R373" s="414">
        <f>All_Detail_v2[[#This Row],[Scheduled Date]]</f>
        <v>46079</v>
      </c>
      <c r="S373" s="414">
        <f>All_Detail_v2[[#This Row],[Install Date]]</f>
        <v>46079</v>
      </c>
    </row>
    <row r="374" spans="1:19">
      <c r="A374">
        <v>370</v>
      </c>
      <c r="B374" s="687" t="s">
        <v>541</v>
      </c>
      <c r="C374" s="688" t="s">
        <v>634</v>
      </c>
      <c r="D374" s="689" t="s">
        <v>635</v>
      </c>
      <c r="E374" s="689" t="s">
        <v>370</v>
      </c>
      <c r="F374" s="689">
        <v>1</v>
      </c>
      <c r="G374" s="689">
        <v>1</v>
      </c>
      <c r="H374" s="695">
        <v>46095</v>
      </c>
      <c r="I374" s="695">
        <v>46095</v>
      </c>
      <c r="J374" s="689" t="s">
        <v>368</v>
      </c>
      <c r="K374" t="str">
        <f t="shared" si="19"/>
        <v>Switch</v>
      </c>
      <c r="M374" s="412">
        <f t="shared" si="18"/>
        <v>1</v>
      </c>
      <c r="N374" s="412">
        <f t="shared" si="20"/>
        <v>1</v>
      </c>
      <c r="O374" s="412">
        <f>All_Detail_v2[[#This Row],[Qty. Success]]</f>
        <v>1</v>
      </c>
      <c r="P374" s="7">
        <f>IF(All_Detail_v2[[#This Row],[Qty]]=0,1,(M374+N374+O374)/(All_Detail_v2[[#This Row],[Qty]]*3))</f>
        <v>1</v>
      </c>
      <c r="Q374" s="195"/>
      <c r="R374" s="414">
        <f>All_Detail_v2[[#This Row],[Scheduled Date]]</f>
        <v>46095</v>
      </c>
      <c r="S374" s="414">
        <f>All_Detail_v2[[#This Row],[Install Date]]</f>
        <v>46095</v>
      </c>
    </row>
    <row r="375" spans="1:19">
      <c r="A375">
        <v>371</v>
      </c>
      <c r="B375" s="687" t="s">
        <v>636</v>
      </c>
      <c r="C375" s="688" t="s">
        <v>637</v>
      </c>
      <c r="D375" s="689" t="s">
        <v>41</v>
      </c>
      <c r="E375" s="689" t="s">
        <v>364</v>
      </c>
      <c r="F375" s="689">
        <v>44</v>
      </c>
      <c r="G375" s="689"/>
      <c r="H375" s="695"/>
      <c r="I375" s="695">
        <v>46139</v>
      </c>
      <c r="J375" s="689" t="s">
        <v>365</v>
      </c>
      <c r="K375" t="str">
        <f t="shared" si="19"/>
        <v>AP</v>
      </c>
      <c r="M375" s="412">
        <f t="shared" si="18"/>
        <v>0</v>
      </c>
      <c r="N375" s="412">
        <f t="shared" si="20"/>
        <v>0</v>
      </c>
      <c r="O375" s="412">
        <f>All_Detail_v2[[#This Row],[Qty. Success]]</f>
        <v>0</v>
      </c>
      <c r="P375" s="230">
        <f>IF(All_Detail_v2[[#This Row],[Qty]]=0,1,(M375+N375+O375)/(All_Detail_v2[[#This Row],[Qty]]*3))</f>
        <v>0</v>
      </c>
      <c r="Q375" s="195"/>
      <c r="R375" s="414">
        <f>All_Detail_v2[[#This Row],[Scheduled Date]]</f>
        <v>46139</v>
      </c>
      <c r="S375" s="414">
        <f>All_Detail_v2[[#This Row],[Install Date]]</f>
        <v>0</v>
      </c>
    </row>
    <row r="376" spans="1:19">
      <c r="A376">
        <v>372</v>
      </c>
      <c r="B376" s="687" t="s">
        <v>636</v>
      </c>
      <c r="C376" s="688" t="s">
        <v>637</v>
      </c>
      <c r="D376" s="689" t="s">
        <v>638</v>
      </c>
      <c r="E376" s="689" t="s">
        <v>370</v>
      </c>
      <c r="F376" s="689">
        <v>3</v>
      </c>
      <c r="G376" s="689"/>
      <c r="H376" s="695"/>
      <c r="I376" s="695">
        <v>46142</v>
      </c>
      <c r="J376" s="689" t="s">
        <v>365</v>
      </c>
      <c r="K376" t="str">
        <f t="shared" si="19"/>
        <v>Switch</v>
      </c>
      <c r="M376" s="412">
        <f t="shared" si="18"/>
        <v>0</v>
      </c>
      <c r="N376" s="412">
        <f t="shared" si="20"/>
        <v>0</v>
      </c>
      <c r="O376" s="412">
        <f>All_Detail_v2[[#This Row],[Qty. Success]]</f>
        <v>0</v>
      </c>
      <c r="P376" s="230">
        <f>IF(All_Detail_v2[[#This Row],[Qty]]=0,1,(M376+N376+O376)/(All_Detail_v2[[#This Row],[Qty]]*3))</f>
        <v>0</v>
      </c>
      <c r="Q376" s="195"/>
      <c r="R376" s="414">
        <f>All_Detail_v2[[#This Row],[Scheduled Date]]</f>
        <v>46142</v>
      </c>
      <c r="S376" s="414">
        <f>All_Detail_v2[[#This Row],[Install Date]]</f>
        <v>0</v>
      </c>
    </row>
    <row r="377" spans="1:19">
      <c r="A377">
        <v>373</v>
      </c>
      <c r="B377" s="687" t="s">
        <v>636</v>
      </c>
      <c r="C377" s="688" t="s">
        <v>637</v>
      </c>
      <c r="D377" s="689" t="s">
        <v>638</v>
      </c>
      <c r="E377" s="689" t="s">
        <v>375</v>
      </c>
      <c r="F377" s="689">
        <v>2</v>
      </c>
      <c r="G377" s="689"/>
      <c r="H377" s="695"/>
      <c r="I377" s="695">
        <v>46142</v>
      </c>
      <c r="J377" s="689" t="s">
        <v>365</v>
      </c>
      <c r="K377" t="str">
        <f t="shared" si="19"/>
        <v>Switch</v>
      </c>
      <c r="M377" s="412">
        <f t="shared" si="18"/>
        <v>0</v>
      </c>
      <c r="N377" s="412">
        <f t="shared" si="20"/>
        <v>0</v>
      </c>
      <c r="O377" s="412">
        <f>All_Detail_v2[[#This Row],[Qty. Success]]</f>
        <v>0</v>
      </c>
      <c r="P377" s="230">
        <f>IF(All_Detail_v2[[#This Row],[Qty]]=0,1,(M377+N377+O377)/(All_Detail_v2[[#This Row],[Qty]]*3))</f>
        <v>0</v>
      </c>
      <c r="Q377" s="195"/>
      <c r="R377" s="414">
        <f>All_Detail_v2[[#This Row],[Scheduled Date]]</f>
        <v>46142</v>
      </c>
      <c r="S377" s="414">
        <f>All_Detail_v2[[#This Row],[Install Date]]</f>
        <v>0</v>
      </c>
    </row>
    <row r="378" spans="1:19">
      <c r="A378">
        <v>374</v>
      </c>
      <c r="B378" s="687" t="s">
        <v>636</v>
      </c>
      <c r="C378" s="688" t="s">
        <v>637</v>
      </c>
      <c r="D378" s="689" t="s">
        <v>639</v>
      </c>
      <c r="E378" s="689" t="s">
        <v>370</v>
      </c>
      <c r="F378" s="689">
        <v>3</v>
      </c>
      <c r="G378" s="689"/>
      <c r="H378" s="695"/>
      <c r="I378" s="695">
        <v>46147</v>
      </c>
      <c r="J378" s="689" t="s">
        <v>365</v>
      </c>
      <c r="K378" t="str">
        <f t="shared" si="19"/>
        <v>Switch</v>
      </c>
      <c r="M378" s="412">
        <f t="shared" si="18"/>
        <v>0</v>
      </c>
      <c r="N378" s="412">
        <f t="shared" si="20"/>
        <v>0</v>
      </c>
      <c r="O378" s="412">
        <f>All_Detail_v2[[#This Row],[Qty. Success]]</f>
        <v>0</v>
      </c>
      <c r="P378" s="230">
        <f>IF(All_Detail_v2[[#This Row],[Qty]]=0,1,(M378+N378+O378)/(All_Detail_v2[[#This Row],[Qty]]*3))</f>
        <v>0</v>
      </c>
      <c r="Q378" s="195"/>
      <c r="R378" s="414">
        <f>All_Detail_v2[[#This Row],[Scheduled Date]]</f>
        <v>46147</v>
      </c>
      <c r="S378" s="414">
        <f>All_Detail_v2[[#This Row],[Install Date]]</f>
        <v>0</v>
      </c>
    </row>
    <row r="379" spans="1:19">
      <c r="A379">
        <v>375</v>
      </c>
      <c r="B379" s="687" t="s">
        <v>636</v>
      </c>
      <c r="C379" s="688" t="s">
        <v>637</v>
      </c>
      <c r="D379" s="689" t="s">
        <v>639</v>
      </c>
      <c r="E379" s="689" t="s">
        <v>375</v>
      </c>
      <c r="F379" s="689">
        <v>3</v>
      </c>
      <c r="G379" s="689"/>
      <c r="H379" s="695"/>
      <c r="I379" s="695">
        <v>46147</v>
      </c>
      <c r="J379" s="689" t="s">
        <v>365</v>
      </c>
      <c r="K379" t="str">
        <f t="shared" si="19"/>
        <v>Switch</v>
      </c>
      <c r="M379" s="412">
        <f t="shared" si="18"/>
        <v>0</v>
      </c>
      <c r="N379" s="412">
        <f t="shared" si="20"/>
        <v>0</v>
      </c>
      <c r="O379" s="412">
        <f>All_Detail_v2[[#This Row],[Qty. Success]]</f>
        <v>0</v>
      </c>
      <c r="P379" s="230">
        <f>IF(All_Detail_v2[[#This Row],[Qty]]=0,1,(M379+N379+O379)/(All_Detail_v2[[#This Row],[Qty]]*3))</f>
        <v>0</v>
      </c>
      <c r="Q379" s="195"/>
      <c r="R379" s="414">
        <f>All_Detail_v2[[#This Row],[Scheduled Date]]</f>
        <v>46147</v>
      </c>
      <c r="S379" s="414">
        <f>All_Detail_v2[[#This Row],[Install Date]]</f>
        <v>0</v>
      </c>
    </row>
    <row r="380" spans="1:19">
      <c r="A380">
        <v>376</v>
      </c>
      <c r="B380" s="687" t="s">
        <v>636</v>
      </c>
      <c r="C380" s="688" t="s">
        <v>637</v>
      </c>
      <c r="D380" s="689" t="s">
        <v>640</v>
      </c>
      <c r="E380" s="689" t="s">
        <v>370</v>
      </c>
      <c r="F380" s="689">
        <v>3</v>
      </c>
      <c r="G380" s="689"/>
      <c r="H380" s="695"/>
      <c r="I380" s="695">
        <v>46147</v>
      </c>
      <c r="J380" s="689" t="s">
        <v>365</v>
      </c>
      <c r="K380" t="str">
        <f t="shared" si="19"/>
        <v>Switch</v>
      </c>
      <c r="M380" s="412">
        <f t="shared" si="18"/>
        <v>0</v>
      </c>
      <c r="N380" s="412">
        <f t="shared" si="20"/>
        <v>0</v>
      </c>
      <c r="O380" s="412">
        <f>All_Detail_v2[[#This Row],[Qty. Success]]</f>
        <v>0</v>
      </c>
      <c r="P380" s="230">
        <f>IF(All_Detail_v2[[#This Row],[Qty]]=0,1,(M380+N380+O380)/(All_Detail_v2[[#This Row],[Qty]]*3))</f>
        <v>0</v>
      </c>
      <c r="Q380" s="195"/>
      <c r="R380" s="414">
        <f>All_Detail_v2[[#This Row],[Scheduled Date]]</f>
        <v>46147</v>
      </c>
      <c r="S380" s="414">
        <f>All_Detail_v2[[#This Row],[Install Date]]</f>
        <v>0</v>
      </c>
    </row>
    <row r="381" spans="1:19">
      <c r="A381">
        <v>377</v>
      </c>
      <c r="B381" s="687" t="s">
        <v>636</v>
      </c>
      <c r="C381" s="688" t="s">
        <v>637</v>
      </c>
      <c r="D381" s="689" t="s">
        <v>640</v>
      </c>
      <c r="E381" s="689" t="s">
        <v>375</v>
      </c>
      <c r="F381" s="689">
        <v>3</v>
      </c>
      <c r="G381" s="689"/>
      <c r="H381" s="695"/>
      <c r="I381" s="695">
        <v>46147</v>
      </c>
      <c r="J381" s="689" t="s">
        <v>365</v>
      </c>
      <c r="K381" t="str">
        <f t="shared" si="19"/>
        <v>Switch</v>
      </c>
      <c r="M381" s="412">
        <f t="shared" si="18"/>
        <v>0</v>
      </c>
      <c r="N381" s="412">
        <f t="shared" si="20"/>
        <v>0</v>
      </c>
      <c r="O381" s="412">
        <f>All_Detail_v2[[#This Row],[Qty. Success]]</f>
        <v>0</v>
      </c>
      <c r="P381" s="230">
        <f>IF(All_Detail_v2[[#This Row],[Qty]]=0,1,(M381+N381+O381)/(All_Detail_v2[[#This Row],[Qty]]*3))</f>
        <v>0</v>
      </c>
      <c r="Q381" s="195"/>
      <c r="R381" s="414">
        <f>All_Detail_v2[[#This Row],[Scheduled Date]]</f>
        <v>46147</v>
      </c>
      <c r="S381" s="414">
        <f>All_Detail_v2[[#This Row],[Install Date]]</f>
        <v>0</v>
      </c>
    </row>
    <row r="382" spans="1:19">
      <c r="A382">
        <v>378</v>
      </c>
      <c r="B382" s="687" t="s">
        <v>636</v>
      </c>
      <c r="C382" s="688" t="s">
        <v>637</v>
      </c>
      <c r="D382" s="689" t="s">
        <v>641</v>
      </c>
      <c r="E382" s="689" t="s">
        <v>370</v>
      </c>
      <c r="F382" s="689">
        <v>3</v>
      </c>
      <c r="G382" s="689"/>
      <c r="H382" s="695"/>
      <c r="I382" s="695">
        <v>46148</v>
      </c>
      <c r="J382" s="689" t="s">
        <v>365</v>
      </c>
      <c r="K382" t="str">
        <f t="shared" si="19"/>
        <v>Switch</v>
      </c>
      <c r="M382" s="412">
        <f t="shared" si="18"/>
        <v>0</v>
      </c>
      <c r="N382" s="412">
        <f t="shared" si="20"/>
        <v>0</v>
      </c>
      <c r="O382" s="412">
        <f>All_Detail_v2[[#This Row],[Qty. Success]]</f>
        <v>0</v>
      </c>
      <c r="P382" s="230">
        <f>IF(All_Detail_v2[[#This Row],[Qty]]=0,1,(M382+N382+O382)/(All_Detail_v2[[#This Row],[Qty]]*3))</f>
        <v>0</v>
      </c>
      <c r="Q382" s="195"/>
      <c r="R382" s="414">
        <f>All_Detail_v2[[#This Row],[Scheduled Date]]</f>
        <v>46148</v>
      </c>
      <c r="S382" s="414">
        <f>All_Detail_v2[[#This Row],[Install Date]]</f>
        <v>0</v>
      </c>
    </row>
    <row r="383" spans="1:19">
      <c r="A383">
        <v>379</v>
      </c>
      <c r="B383" s="687" t="s">
        <v>636</v>
      </c>
      <c r="C383" s="688" t="s">
        <v>637</v>
      </c>
      <c r="D383" s="689" t="s">
        <v>641</v>
      </c>
      <c r="E383" s="689" t="s">
        <v>375</v>
      </c>
      <c r="F383" s="689">
        <v>3</v>
      </c>
      <c r="G383" s="689"/>
      <c r="H383" s="695"/>
      <c r="I383" s="695">
        <v>46148</v>
      </c>
      <c r="J383" s="689" t="s">
        <v>365</v>
      </c>
      <c r="K383" t="str">
        <f t="shared" si="19"/>
        <v>Switch</v>
      </c>
      <c r="M383" s="412">
        <f t="shared" si="18"/>
        <v>0</v>
      </c>
      <c r="N383" s="412">
        <f t="shared" si="20"/>
        <v>0</v>
      </c>
      <c r="O383" s="412">
        <f>All_Detail_v2[[#This Row],[Qty. Success]]</f>
        <v>0</v>
      </c>
      <c r="P383" s="230">
        <f>IF(All_Detail_v2[[#This Row],[Qty]]=0,1,(M383+N383+O383)/(All_Detail_v2[[#This Row],[Qty]]*3))</f>
        <v>0</v>
      </c>
      <c r="Q383" s="195"/>
      <c r="R383" s="414">
        <f>All_Detail_v2[[#This Row],[Scheduled Date]]</f>
        <v>46148</v>
      </c>
      <c r="S383" s="414">
        <f>All_Detail_v2[[#This Row],[Install Date]]</f>
        <v>0</v>
      </c>
    </row>
    <row r="384" spans="1:19">
      <c r="A384">
        <v>380</v>
      </c>
      <c r="B384" s="687" t="s">
        <v>636</v>
      </c>
      <c r="C384" s="688" t="s">
        <v>637</v>
      </c>
      <c r="D384" s="689" t="s">
        <v>642</v>
      </c>
      <c r="E384" s="689" t="s">
        <v>370</v>
      </c>
      <c r="F384" s="689">
        <v>3</v>
      </c>
      <c r="G384" s="689"/>
      <c r="H384" s="695"/>
      <c r="I384" s="695">
        <v>46148</v>
      </c>
      <c r="J384" s="689" t="s">
        <v>365</v>
      </c>
      <c r="K384" t="str">
        <f t="shared" si="19"/>
        <v>Switch</v>
      </c>
      <c r="M384" s="412">
        <f t="shared" si="18"/>
        <v>0</v>
      </c>
      <c r="N384" s="412">
        <f t="shared" si="20"/>
        <v>0</v>
      </c>
      <c r="O384" s="412">
        <f>All_Detail_v2[[#This Row],[Qty. Success]]</f>
        <v>0</v>
      </c>
      <c r="P384" s="230">
        <f>IF(All_Detail_v2[[#This Row],[Qty]]=0,1,(M384+N384+O384)/(All_Detail_v2[[#This Row],[Qty]]*3))</f>
        <v>0</v>
      </c>
      <c r="Q384" s="195"/>
      <c r="R384" s="414">
        <f>All_Detail_v2[[#This Row],[Scheduled Date]]</f>
        <v>46148</v>
      </c>
      <c r="S384" s="414">
        <f>All_Detail_v2[[#This Row],[Install Date]]</f>
        <v>0</v>
      </c>
    </row>
    <row r="385" spans="1:19">
      <c r="A385">
        <v>381</v>
      </c>
      <c r="B385" s="687" t="s">
        <v>636</v>
      </c>
      <c r="C385" s="688" t="s">
        <v>637</v>
      </c>
      <c r="D385" s="689" t="s">
        <v>642</v>
      </c>
      <c r="E385" s="689" t="s">
        <v>375</v>
      </c>
      <c r="F385" s="689">
        <v>3</v>
      </c>
      <c r="G385" s="689"/>
      <c r="H385" s="695"/>
      <c r="I385" s="695">
        <v>46148</v>
      </c>
      <c r="J385" s="689" t="s">
        <v>365</v>
      </c>
      <c r="K385" t="str">
        <f t="shared" si="19"/>
        <v>Switch</v>
      </c>
      <c r="M385" s="412">
        <f t="shared" si="18"/>
        <v>0</v>
      </c>
      <c r="N385" s="412">
        <f t="shared" si="20"/>
        <v>0</v>
      </c>
      <c r="O385" s="412">
        <f>All_Detail_v2[[#This Row],[Qty. Success]]</f>
        <v>0</v>
      </c>
      <c r="P385" s="230">
        <f>IF(All_Detail_v2[[#This Row],[Qty]]=0,1,(M385+N385+O385)/(All_Detail_v2[[#This Row],[Qty]]*3))</f>
        <v>0</v>
      </c>
      <c r="Q385" s="195"/>
      <c r="R385" s="414">
        <f>All_Detail_v2[[#This Row],[Scheduled Date]]</f>
        <v>46148</v>
      </c>
      <c r="S385" s="414">
        <f>All_Detail_v2[[#This Row],[Install Date]]</f>
        <v>0</v>
      </c>
    </row>
    <row r="386" spans="1:19">
      <c r="A386">
        <v>382</v>
      </c>
      <c r="B386" s="687" t="s">
        <v>636</v>
      </c>
      <c r="C386" s="688" t="s">
        <v>637</v>
      </c>
      <c r="D386" s="689" t="s">
        <v>643</v>
      </c>
      <c r="E386" s="689" t="s">
        <v>370</v>
      </c>
      <c r="F386" s="689">
        <v>3</v>
      </c>
      <c r="G386" s="689"/>
      <c r="H386" s="695"/>
      <c r="I386" s="695">
        <v>46149</v>
      </c>
      <c r="J386" s="689" t="s">
        <v>365</v>
      </c>
      <c r="K386" t="str">
        <f t="shared" si="19"/>
        <v>Switch</v>
      </c>
      <c r="M386" s="412">
        <f t="shared" ref="M386:M449" si="21">O386</f>
        <v>0</v>
      </c>
      <c r="N386" s="412">
        <f t="shared" si="20"/>
        <v>0</v>
      </c>
      <c r="O386" s="412">
        <f>All_Detail_v2[[#This Row],[Qty. Success]]</f>
        <v>0</v>
      </c>
      <c r="P386" s="230">
        <f>IF(All_Detail_v2[[#This Row],[Qty]]=0,1,(M386+N386+O386)/(All_Detail_v2[[#This Row],[Qty]]*3))</f>
        <v>0</v>
      </c>
      <c r="Q386" s="195"/>
      <c r="R386" s="414">
        <f>All_Detail_v2[[#This Row],[Scheduled Date]]</f>
        <v>46149</v>
      </c>
      <c r="S386" s="414">
        <f>All_Detail_v2[[#This Row],[Install Date]]</f>
        <v>0</v>
      </c>
    </row>
    <row r="387" spans="1:19">
      <c r="A387">
        <v>383</v>
      </c>
      <c r="B387" s="687" t="s">
        <v>636</v>
      </c>
      <c r="C387" s="688" t="s">
        <v>637</v>
      </c>
      <c r="D387" s="689" t="s">
        <v>643</v>
      </c>
      <c r="E387" s="689" t="s">
        <v>375</v>
      </c>
      <c r="F387" s="689">
        <v>3</v>
      </c>
      <c r="G387" s="689"/>
      <c r="H387" s="695"/>
      <c r="I387" s="695">
        <v>46149</v>
      </c>
      <c r="J387" s="689" t="s">
        <v>365</v>
      </c>
      <c r="K387" t="str">
        <f t="shared" ref="K387:K450" si="22">IF(ISNUMBER(SEARCH("Access Point",E387)),"AP",IF(OR(ISNUMBER(SEARCH("Switch",E387)),ISNUMBER(SEARCH("Control Type",E387))),"Switch","Infra"))</f>
        <v>Switch</v>
      </c>
      <c r="M387" s="412">
        <f t="shared" si="21"/>
        <v>0</v>
      </c>
      <c r="N387" s="412">
        <f t="shared" si="20"/>
        <v>0</v>
      </c>
      <c r="O387" s="412">
        <f>All_Detail_v2[[#This Row],[Qty. Success]]</f>
        <v>0</v>
      </c>
      <c r="P387" s="230">
        <f>IF(All_Detail_v2[[#This Row],[Qty]]=0,1,(M387+N387+O387)/(All_Detail_v2[[#This Row],[Qty]]*3))</f>
        <v>0</v>
      </c>
      <c r="Q387" s="195"/>
      <c r="R387" s="414">
        <f>All_Detail_v2[[#This Row],[Scheduled Date]]</f>
        <v>46149</v>
      </c>
      <c r="S387" s="414">
        <f>All_Detail_v2[[#This Row],[Install Date]]</f>
        <v>0</v>
      </c>
    </row>
    <row r="388" spans="1:19">
      <c r="A388">
        <v>384</v>
      </c>
      <c r="B388" s="687" t="s">
        <v>636</v>
      </c>
      <c r="C388" s="688" t="s">
        <v>637</v>
      </c>
      <c r="D388" s="689" t="s">
        <v>644</v>
      </c>
      <c r="E388" s="689" t="s">
        <v>370</v>
      </c>
      <c r="F388" s="689">
        <v>3</v>
      </c>
      <c r="G388" s="689"/>
      <c r="H388" s="695"/>
      <c r="I388" s="695">
        <v>46149</v>
      </c>
      <c r="J388" s="689" t="s">
        <v>365</v>
      </c>
      <c r="K388" t="str">
        <f t="shared" si="22"/>
        <v>Switch</v>
      </c>
      <c r="M388" s="412">
        <f t="shared" si="21"/>
        <v>0</v>
      </c>
      <c r="N388" s="412">
        <f t="shared" si="20"/>
        <v>0</v>
      </c>
      <c r="O388" s="412">
        <f>All_Detail_v2[[#This Row],[Qty. Success]]</f>
        <v>0</v>
      </c>
      <c r="P388" s="230">
        <f>IF(All_Detail_v2[[#This Row],[Qty]]=0,1,(M388+N388+O388)/(All_Detail_v2[[#This Row],[Qty]]*3))</f>
        <v>0</v>
      </c>
      <c r="Q388" s="195"/>
      <c r="R388" s="414">
        <f>All_Detail_v2[[#This Row],[Scheduled Date]]</f>
        <v>46149</v>
      </c>
      <c r="S388" s="414">
        <f>All_Detail_v2[[#This Row],[Install Date]]</f>
        <v>0</v>
      </c>
    </row>
    <row r="389" spans="1:19">
      <c r="A389">
        <v>385</v>
      </c>
      <c r="B389" s="687" t="s">
        <v>636</v>
      </c>
      <c r="C389" s="688" t="s">
        <v>637</v>
      </c>
      <c r="D389" s="689" t="s">
        <v>644</v>
      </c>
      <c r="E389" s="689" t="s">
        <v>375</v>
      </c>
      <c r="F389" s="689">
        <v>3</v>
      </c>
      <c r="G389" s="689"/>
      <c r="H389" s="695"/>
      <c r="I389" s="695">
        <v>46149</v>
      </c>
      <c r="J389" s="689" t="s">
        <v>365</v>
      </c>
      <c r="K389" t="str">
        <f t="shared" si="22"/>
        <v>Switch</v>
      </c>
      <c r="M389" s="412">
        <f t="shared" si="21"/>
        <v>0</v>
      </c>
      <c r="N389" s="412">
        <f t="shared" si="20"/>
        <v>0</v>
      </c>
      <c r="O389" s="412">
        <f>All_Detail_v2[[#This Row],[Qty. Success]]</f>
        <v>0</v>
      </c>
      <c r="P389" s="230">
        <f>IF(All_Detail_v2[[#This Row],[Qty]]=0,1,(M389+N389+O389)/(All_Detail_v2[[#This Row],[Qty]]*3))</f>
        <v>0</v>
      </c>
      <c r="Q389" s="195"/>
      <c r="R389" s="414">
        <f>All_Detail_v2[[#This Row],[Scheduled Date]]</f>
        <v>46149</v>
      </c>
      <c r="S389" s="414">
        <f>All_Detail_v2[[#This Row],[Install Date]]</f>
        <v>0</v>
      </c>
    </row>
    <row r="390" spans="1:19">
      <c r="A390">
        <v>386</v>
      </c>
      <c r="B390" s="687" t="s">
        <v>636</v>
      </c>
      <c r="C390" s="688" t="s">
        <v>637</v>
      </c>
      <c r="D390" s="689" t="s">
        <v>645</v>
      </c>
      <c r="E390" s="689" t="s">
        <v>370</v>
      </c>
      <c r="F390" s="689">
        <v>3</v>
      </c>
      <c r="G390" s="689"/>
      <c r="H390" s="695"/>
      <c r="I390" s="695">
        <v>46150</v>
      </c>
      <c r="J390" s="689" t="s">
        <v>365</v>
      </c>
      <c r="K390" t="str">
        <f t="shared" si="22"/>
        <v>Switch</v>
      </c>
      <c r="M390" s="412">
        <f t="shared" si="21"/>
        <v>0</v>
      </c>
      <c r="N390" s="412">
        <f t="shared" ref="N390:N453" si="23">O390</f>
        <v>0</v>
      </c>
      <c r="O390" s="412">
        <f>All_Detail_v2[[#This Row],[Qty. Success]]</f>
        <v>0</v>
      </c>
      <c r="P390" s="230">
        <f>IF(All_Detail_v2[[#This Row],[Qty]]=0,1,(M390+N390+O390)/(All_Detail_v2[[#This Row],[Qty]]*3))</f>
        <v>0</v>
      </c>
      <c r="Q390" s="195"/>
      <c r="R390" s="414">
        <f>All_Detail_v2[[#This Row],[Scheduled Date]]</f>
        <v>46150</v>
      </c>
      <c r="S390" s="414">
        <f>All_Detail_v2[[#This Row],[Install Date]]</f>
        <v>0</v>
      </c>
    </row>
    <row r="391" spans="1:19">
      <c r="A391">
        <v>387</v>
      </c>
      <c r="B391" s="687" t="s">
        <v>636</v>
      </c>
      <c r="C391" s="688" t="s">
        <v>637</v>
      </c>
      <c r="D391" s="689" t="s">
        <v>645</v>
      </c>
      <c r="E391" s="689" t="s">
        <v>375</v>
      </c>
      <c r="F391" s="689">
        <v>3</v>
      </c>
      <c r="G391" s="689"/>
      <c r="H391" s="695"/>
      <c r="I391" s="695">
        <v>46150</v>
      </c>
      <c r="J391" s="689" t="s">
        <v>365</v>
      </c>
      <c r="K391" t="str">
        <f t="shared" si="22"/>
        <v>Switch</v>
      </c>
      <c r="M391" s="412">
        <f t="shared" si="21"/>
        <v>0</v>
      </c>
      <c r="N391" s="412">
        <f t="shared" si="23"/>
        <v>0</v>
      </c>
      <c r="O391" s="412">
        <f>All_Detail_v2[[#This Row],[Qty. Success]]</f>
        <v>0</v>
      </c>
      <c r="P391" s="230">
        <f>IF(All_Detail_v2[[#This Row],[Qty]]=0,1,(M391+N391+O391)/(All_Detail_v2[[#This Row],[Qty]]*3))</f>
        <v>0</v>
      </c>
      <c r="Q391" s="195"/>
      <c r="R391" s="414">
        <f>All_Detail_v2[[#This Row],[Scheduled Date]]</f>
        <v>46150</v>
      </c>
      <c r="S391" s="414">
        <f>All_Detail_v2[[#This Row],[Install Date]]</f>
        <v>0</v>
      </c>
    </row>
    <row r="392" spans="1:19">
      <c r="A392">
        <v>388</v>
      </c>
      <c r="B392" s="687" t="s">
        <v>636</v>
      </c>
      <c r="C392" s="688" t="s">
        <v>637</v>
      </c>
      <c r="D392" s="689" t="s">
        <v>646</v>
      </c>
      <c r="E392" s="689" t="s">
        <v>370</v>
      </c>
      <c r="F392" s="689">
        <v>3</v>
      </c>
      <c r="G392" s="689"/>
      <c r="H392" s="695"/>
      <c r="I392" s="695">
        <v>46150</v>
      </c>
      <c r="J392" s="689" t="s">
        <v>365</v>
      </c>
      <c r="K392" t="str">
        <f t="shared" si="22"/>
        <v>Switch</v>
      </c>
      <c r="M392" s="412">
        <f t="shared" si="21"/>
        <v>0</v>
      </c>
      <c r="N392" s="412">
        <f t="shared" si="23"/>
        <v>0</v>
      </c>
      <c r="O392" s="412">
        <f>All_Detail_v2[[#This Row],[Qty. Success]]</f>
        <v>0</v>
      </c>
      <c r="P392" s="230">
        <f>IF(All_Detail_v2[[#This Row],[Qty]]=0,1,(M392+N392+O392)/(All_Detail_v2[[#This Row],[Qty]]*3))</f>
        <v>0</v>
      </c>
      <c r="Q392" s="195"/>
      <c r="R392" s="414">
        <f>All_Detail_v2[[#This Row],[Scheduled Date]]</f>
        <v>46150</v>
      </c>
      <c r="S392" s="414">
        <f>All_Detail_v2[[#This Row],[Install Date]]</f>
        <v>0</v>
      </c>
    </row>
    <row r="393" spans="1:19">
      <c r="A393">
        <v>389</v>
      </c>
      <c r="B393" s="687" t="s">
        <v>636</v>
      </c>
      <c r="C393" s="688" t="s">
        <v>637</v>
      </c>
      <c r="D393" s="689" t="s">
        <v>646</v>
      </c>
      <c r="E393" s="689" t="s">
        <v>375</v>
      </c>
      <c r="F393" s="689">
        <v>3</v>
      </c>
      <c r="G393" s="689"/>
      <c r="H393" s="695"/>
      <c r="I393" s="695">
        <v>46150</v>
      </c>
      <c r="J393" s="689" t="s">
        <v>365</v>
      </c>
      <c r="K393" t="str">
        <f t="shared" si="22"/>
        <v>Switch</v>
      </c>
      <c r="M393" s="412">
        <f t="shared" si="21"/>
        <v>0</v>
      </c>
      <c r="N393" s="412">
        <f t="shared" si="23"/>
        <v>0</v>
      </c>
      <c r="O393" s="412">
        <f>All_Detail_v2[[#This Row],[Qty. Success]]</f>
        <v>0</v>
      </c>
      <c r="P393" s="230">
        <f>IF(All_Detail_v2[[#This Row],[Qty]]=0,1,(M393+N393+O393)/(All_Detail_v2[[#This Row],[Qty]]*3))</f>
        <v>0</v>
      </c>
      <c r="Q393" s="195"/>
      <c r="R393" s="414">
        <f>All_Detail_v2[[#This Row],[Scheduled Date]]</f>
        <v>46150</v>
      </c>
      <c r="S393" s="414">
        <f>All_Detail_v2[[#This Row],[Install Date]]</f>
        <v>0</v>
      </c>
    </row>
    <row r="394" spans="1:19">
      <c r="A394">
        <v>390</v>
      </c>
      <c r="B394" s="687" t="s">
        <v>636</v>
      </c>
      <c r="C394" s="688" t="s">
        <v>637</v>
      </c>
      <c r="D394" s="689" t="s">
        <v>647</v>
      </c>
      <c r="E394" s="689" t="s">
        <v>370</v>
      </c>
      <c r="F394" s="689">
        <v>3</v>
      </c>
      <c r="G394" s="689"/>
      <c r="H394" s="695"/>
      <c r="I394" s="695">
        <v>46153</v>
      </c>
      <c r="J394" s="689" t="s">
        <v>365</v>
      </c>
      <c r="K394" t="str">
        <f t="shared" si="22"/>
        <v>Switch</v>
      </c>
      <c r="M394" s="412">
        <f t="shared" si="21"/>
        <v>0</v>
      </c>
      <c r="N394" s="412">
        <f t="shared" si="23"/>
        <v>0</v>
      </c>
      <c r="O394" s="412">
        <f>All_Detail_v2[[#This Row],[Qty. Success]]</f>
        <v>0</v>
      </c>
      <c r="P394" s="230">
        <f>IF(All_Detail_v2[[#This Row],[Qty]]=0,1,(M394+N394+O394)/(All_Detail_v2[[#This Row],[Qty]]*3))</f>
        <v>0</v>
      </c>
      <c r="Q394" s="195"/>
      <c r="R394" s="414">
        <f>All_Detail_v2[[#This Row],[Scheduled Date]]</f>
        <v>46153</v>
      </c>
      <c r="S394" s="414">
        <f>All_Detail_v2[[#This Row],[Install Date]]</f>
        <v>0</v>
      </c>
    </row>
    <row r="395" spans="1:19">
      <c r="A395">
        <v>391</v>
      </c>
      <c r="B395" s="687" t="s">
        <v>636</v>
      </c>
      <c r="C395" s="688" t="s">
        <v>637</v>
      </c>
      <c r="D395" s="689" t="s">
        <v>647</v>
      </c>
      <c r="E395" s="689" t="s">
        <v>375</v>
      </c>
      <c r="F395" s="689">
        <v>3</v>
      </c>
      <c r="G395" s="689"/>
      <c r="H395" s="695"/>
      <c r="I395" s="695">
        <v>46153</v>
      </c>
      <c r="J395" s="689" t="s">
        <v>365</v>
      </c>
      <c r="K395" t="str">
        <f t="shared" si="22"/>
        <v>Switch</v>
      </c>
      <c r="M395" s="412">
        <f t="shared" si="21"/>
        <v>0</v>
      </c>
      <c r="N395" s="412">
        <f t="shared" si="23"/>
        <v>0</v>
      </c>
      <c r="O395" s="412">
        <f>All_Detail_v2[[#This Row],[Qty. Success]]</f>
        <v>0</v>
      </c>
      <c r="P395" s="230">
        <f>IF(All_Detail_v2[[#This Row],[Qty]]=0,1,(M395+N395+O395)/(All_Detail_v2[[#This Row],[Qty]]*3))</f>
        <v>0</v>
      </c>
      <c r="Q395" s="195"/>
      <c r="R395" s="414">
        <f>All_Detail_v2[[#This Row],[Scheduled Date]]</f>
        <v>46153</v>
      </c>
      <c r="S395" s="414">
        <f>All_Detail_v2[[#This Row],[Install Date]]</f>
        <v>0</v>
      </c>
    </row>
    <row r="396" spans="1:19">
      <c r="A396">
        <v>392</v>
      </c>
      <c r="B396" s="687" t="s">
        <v>636</v>
      </c>
      <c r="C396" s="688" t="s">
        <v>637</v>
      </c>
      <c r="D396" s="689" t="s">
        <v>648</v>
      </c>
      <c r="E396" s="689" t="s">
        <v>370</v>
      </c>
      <c r="F396" s="689">
        <v>1</v>
      </c>
      <c r="G396" s="689"/>
      <c r="H396" s="695"/>
      <c r="I396" s="695">
        <v>46153</v>
      </c>
      <c r="J396" s="689" t="s">
        <v>365</v>
      </c>
      <c r="K396" t="str">
        <f t="shared" si="22"/>
        <v>Switch</v>
      </c>
      <c r="M396" s="412">
        <f t="shared" si="21"/>
        <v>0</v>
      </c>
      <c r="N396" s="412">
        <f t="shared" si="23"/>
        <v>0</v>
      </c>
      <c r="O396" s="412">
        <f>All_Detail_v2[[#This Row],[Qty. Success]]</f>
        <v>0</v>
      </c>
      <c r="P396" s="230">
        <f>IF(All_Detail_v2[[#This Row],[Qty]]=0,1,(M396+N396+O396)/(All_Detail_v2[[#This Row],[Qty]]*3))</f>
        <v>0</v>
      </c>
      <c r="Q396" s="195"/>
      <c r="R396" s="414">
        <f>All_Detail_v2[[#This Row],[Scheduled Date]]</f>
        <v>46153</v>
      </c>
      <c r="S396" s="414">
        <f>All_Detail_v2[[#This Row],[Install Date]]</f>
        <v>0</v>
      </c>
    </row>
    <row r="397" spans="1:19">
      <c r="A397">
        <v>393</v>
      </c>
      <c r="B397" s="687" t="s">
        <v>636</v>
      </c>
      <c r="C397" s="688" t="s">
        <v>637</v>
      </c>
      <c r="D397" s="689" t="s">
        <v>648</v>
      </c>
      <c r="E397" s="689" t="s">
        <v>375</v>
      </c>
      <c r="F397" s="689">
        <v>1</v>
      </c>
      <c r="G397" s="689"/>
      <c r="H397" s="695"/>
      <c r="I397" s="695">
        <v>46153</v>
      </c>
      <c r="J397" s="689" t="s">
        <v>365</v>
      </c>
      <c r="K397" t="str">
        <f t="shared" si="22"/>
        <v>Switch</v>
      </c>
      <c r="M397" s="412">
        <f t="shared" si="21"/>
        <v>0</v>
      </c>
      <c r="N397" s="412">
        <f t="shared" si="23"/>
        <v>0</v>
      </c>
      <c r="O397" s="412">
        <f>All_Detail_v2[[#This Row],[Qty. Success]]</f>
        <v>0</v>
      </c>
      <c r="P397" s="230">
        <f>IF(All_Detail_v2[[#This Row],[Qty]]=0,1,(M397+N397+O397)/(All_Detail_v2[[#This Row],[Qty]]*3))</f>
        <v>0</v>
      </c>
      <c r="Q397" s="195"/>
      <c r="R397" s="414">
        <f>All_Detail_v2[[#This Row],[Scheduled Date]]</f>
        <v>46153</v>
      </c>
      <c r="S397" s="414">
        <f>All_Detail_v2[[#This Row],[Install Date]]</f>
        <v>0</v>
      </c>
    </row>
    <row r="398" spans="1:19">
      <c r="A398">
        <v>394</v>
      </c>
      <c r="B398" s="687" t="s">
        <v>636</v>
      </c>
      <c r="C398" s="688" t="s">
        <v>637</v>
      </c>
      <c r="D398" s="689" t="s">
        <v>649</v>
      </c>
      <c r="E398" s="689" t="s">
        <v>370</v>
      </c>
      <c r="F398" s="689">
        <v>1</v>
      </c>
      <c r="G398" s="689"/>
      <c r="H398" s="695"/>
      <c r="I398" s="695">
        <v>46153</v>
      </c>
      <c r="J398" s="689" t="s">
        <v>365</v>
      </c>
      <c r="K398" t="str">
        <f t="shared" si="22"/>
        <v>Switch</v>
      </c>
      <c r="M398" s="412">
        <f t="shared" si="21"/>
        <v>0</v>
      </c>
      <c r="N398" s="412">
        <f t="shared" si="23"/>
        <v>0</v>
      </c>
      <c r="O398" s="412">
        <f>All_Detail_v2[[#This Row],[Qty. Success]]</f>
        <v>0</v>
      </c>
      <c r="P398" s="230">
        <f>IF(All_Detail_v2[[#This Row],[Qty]]=0,1,(M398+N398+O398)/(All_Detail_v2[[#This Row],[Qty]]*3))</f>
        <v>0</v>
      </c>
      <c r="Q398" s="195"/>
      <c r="R398" s="414">
        <f>All_Detail_v2[[#This Row],[Scheduled Date]]</f>
        <v>46153</v>
      </c>
      <c r="S398" s="414">
        <f>All_Detail_v2[[#This Row],[Install Date]]</f>
        <v>0</v>
      </c>
    </row>
    <row r="399" spans="1:19">
      <c r="A399">
        <v>395</v>
      </c>
      <c r="B399" s="687" t="s">
        <v>636</v>
      </c>
      <c r="C399" s="688" t="s">
        <v>637</v>
      </c>
      <c r="D399" s="689" t="s">
        <v>649</v>
      </c>
      <c r="E399" s="689" t="s">
        <v>375</v>
      </c>
      <c r="F399" s="689">
        <v>1</v>
      </c>
      <c r="G399" s="689"/>
      <c r="H399" s="695"/>
      <c r="I399" s="695">
        <v>46153</v>
      </c>
      <c r="J399" s="689" t="s">
        <v>365</v>
      </c>
      <c r="K399" t="str">
        <f t="shared" si="22"/>
        <v>Switch</v>
      </c>
      <c r="M399" s="412">
        <f t="shared" si="21"/>
        <v>0</v>
      </c>
      <c r="N399" s="412">
        <f t="shared" si="23"/>
        <v>0</v>
      </c>
      <c r="O399" s="412">
        <f>All_Detail_v2[[#This Row],[Qty. Success]]</f>
        <v>0</v>
      </c>
      <c r="P399" s="230">
        <f>IF(All_Detail_v2[[#This Row],[Qty]]=0,1,(M399+N399+O399)/(All_Detail_v2[[#This Row],[Qty]]*3))</f>
        <v>0</v>
      </c>
      <c r="Q399" s="195"/>
      <c r="R399" s="414">
        <f>All_Detail_v2[[#This Row],[Scheduled Date]]</f>
        <v>46153</v>
      </c>
      <c r="S399" s="414">
        <f>All_Detail_v2[[#This Row],[Install Date]]</f>
        <v>0</v>
      </c>
    </row>
    <row r="400" spans="1:19">
      <c r="A400">
        <v>396</v>
      </c>
      <c r="B400" s="687" t="s">
        <v>636</v>
      </c>
      <c r="C400" s="688" t="s">
        <v>637</v>
      </c>
      <c r="D400" s="689" t="s">
        <v>649</v>
      </c>
      <c r="E400" s="689" t="s">
        <v>410</v>
      </c>
      <c r="F400" s="689">
        <v>1</v>
      </c>
      <c r="G400" s="689"/>
      <c r="H400" s="695"/>
      <c r="I400" s="695">
        <v>46153</v>
      </c>
      <c r="J400" s="689" t="s">
        <v>365</v>
      </c>
      <c r="K400" t="str">
        <f t="shared" si="22"/>
        <v>Switch</v>
      </c>
      <c r="M400" s="412">
        <f t="shared" si="21"/>
        <v>0</v>
      </c>
      <c r="N400" s="412">
        <f t="shared" si="23"/>
        <v>0</v>
      </c>
      <c r="O400" s="412">
        <f>All_Detail_v2[[#This Row],[Qty. Success]]</f>
        <v>0</v>
      </c>
      <c r="P400" s="230">
        <f>IF(All_Detail_v2[[#This Row],[Qty]]=0,1,(M400+N400+O400)/(All_Detail_v2[[#This Row],[Qty]]*3))</f>
        <v>0</v>
      </c>
      <c r="Q400" s="195"/>
      <c r="R400" s="414">
        <f>All_Detail_v2[[#This Row],[Scheduled Date]]</f>
        <v>46153</v>
      </c>
      <c r="S400" s="414">
        <f>All_Detail_v2[[#This Row],[Install Date]]</f>
        <v>0</v>
      </c>
    </row>
    <row r="401" spans="1:19">
      <c r="A401">
        <v>397</v>
      </c>
      <c r="B401" s="687" t="s">
        <v>636</v>
      </c>
      <c r="C401" s="688" t="s">
        <v>637</v>
      </c>
      <c r="D401" s="689" t="s">
        <v>650</v>
      </c>
      <c r="E401" s="689" t="s">
        <v>370</v>
      </c>
      <c r="F401" s="689">
        <v>3</v>
      </c>
      <c r="G401" s="689"/>
      <c r="H401" s="695"/>
      <c r="I401" s="695">
        <v>46155</v>
      </c>
      <c r="J401" s="689" t="s">
        <v>365</v>
      </c>
      <c r="K401" t="str">
        <f t="shared" si="22"/>
        <v>Switch</v>
      </c>
      <c r="M401" s="412">
        <f t="shared" si="21"/>
        <v>0</v>
      </c>
      <c r="N401" s="412">
        <f t="shared" si="23"/>
        <v>0</v>
      </c>
      <c r="O401" s="412">
        <f>All_Detail_v2[[#This Row],[Qty. Success]]</f>
        <v>0</v>
      </c>
      <c r="P401" s="230">
        <f>IF(All_Detail_v2[[#This Row],[Qty]]=0,1,(M401+N401+O401)/(All_Detail_v2[[#This Row],[Qty]]*3))</f>
        <v>0</v>
      </c>
      <c r="Q401" s="195"/>
      <c r="R401" s="414">
        <f>All_Detail_v2[[#This Row],[Scheduled Date]]</f>
        <v>46155</v>
      </c>
      <c r="S401" s="414">
        <f>All_Detail_v2[[#This Row],[Install Date]]</f>
        <v>0</v>
      </c>
    </row>
    <row r="402" spans="1:19">
      <c r="A402">
        <v>398</v>
      </c>
      <c r="B402" s="687" t="s">
        <v>636</v>
      </c>
      <c r="C402" s="688" t="s">
        <v>637</v>
      </c>
      <c r="D402" s="689" t="s">
        <v>650</v>
      </c>
      <c r="E402" s="689" t="s">
        <v>375</v>
      </c>
      <c r="F402" s="689">
        <v>1</v>
      </c>
      <c r="G402" s="689"/>
      <c r="H402" s="695"/>
      <c r="I402" s="695">
        <v>46155</v>
      </c>
      <c r="J402" s="689" t="s">
        <v>365</v>
      </c>
      <c r="K402" t="str">
        <f t="shared" si="22"/>
        <v>Switch</v>
      </c>
      <c r="M402" s="412">
        <f t="shared" si="21"/>
        <v>0</v>
      </c>
      <c r="N402" s="412">
        <f t="shared" si="23"/>
        <v>0</v>
      </c>
      <c r="O402" s="412">
        <f>All_Detail_v2[[#This Row],[Qty. Success]]</f>
        <v>0</v>
      </c>
      <c r="P402" s="230">
        <f>IF(All_Detail_v2[[#This Row],[Qty]]=0,1,(M402+N402+O402)/(All_Detail_v2[[#This Row],[Qty]]*3))</f>
        <v>0</v>
      </c>
      <c r="Q402" s="195"/>
      <c r="R402" s="414">
        <f>All_Detail_v2[[#This Row],[Scheduled Date]]</f>
        <v>46155</v>
      </c>
      <c r="S402" s="414">
        <f>All_Detail_v2[[#This Row],[Install Date]]</f>
        <v>0</v>
      </c>
    </row>
    <row r="403" spans="1:19">
      <c r="A403">
        <v>399</v>
      </c>
      <c r="B403" s="687" t="s">
        <v>636</v>
      </c>
      <c r="C403" s="688" t="s">
        <v>637</v>
      </c>
      <c r="D403" s="689" t="s">
        <v>650</v>
      </c>
      <c r="E403" s="689" t="s">
        <v>412</v>
      </c>
      <c r="F403" s="689">
        <v>1</v>
      </c>
      <c r="G403" s="689"/>
      <c r="H403" s="695"/>
      <c r="I403" s="695">
        <v>46155</v>
      </c>
      <c r="J403" s="689" t="s">
        <v>365</v>
      </c>
      <c r="K403" t="str">
        <f t="shared" si="22"/>
        <v>Switch</v>
      </c>
      <c r="M403" s="412">
        <f t="shared" si="21"/>
        <v>0</v>
      </c>
      <c r="N403" s="412">
        <f t="shared" si="23"/>
        <v>0</v>
      </c>
      <c r="O403" s="412">
        <f>All_Detail_v2[[#This Row],[Qty. Success]]</f>
        <v>0</v>
      </c>
      <c r="P403" s="230">
        <f>IF(All_Detail_v2[[#This Row],[Qty]]=0,1,(M403+N403+O403)/(All_Detail_v2[[#This Row],[Qty]]*3))</f>
        <v>0</v>
      </c>
      <c r="Q403" s="195"/>
      <c r="R403" s="414">
        <f>All_Detail_v2[[#This Row],[Scheduled Date]]</f>
        <v>46155</v>
      </c>
      <c r="S403" s="414">
        <f>All_Detail_v2[[#This Row],[Install Date]]</f>
        <v>0</v>
      </c>
    </row>
    <row r="404" spans="1:19">
      <c r="A404">
        <v>400</v>
      </c>
      <c r="B404" s="687" t="s">
        <v>636</v>
      </c>
      <c r="C404" s="688" t="s">
        <v>637</v>
      </c>
      <c r="D404" s="689" t="s">
        <v>650</v>
      </c>
      <c r="E404" s="689" t="s">
        <v>410</v>
      </c>
      <c r="F404" s="689">
        <v>1</v>
      </c>
      <c r="G404" s="689"/>
      <c r="H404" s="695"/>
      <c r="I404" s="695">
        <v>46155</v>
      </c>
      <c r="J404" s="689" t="s">
        <v>365</v>
      </c>
      <c r="K404" t="str">
        <f t="shared" si="22"/>
        <v>Switch</v>
      </c>
      <c r="M404" s="412">
        <f t="shared" si="21"/>
        <v>0</v>
      </c>
      <c r="N404" s="412">
        <f t="shared" si="23"/>
        <v>0</v>
      </c>
      <c r="O404" s="412">
        <f>All_Detail_v2[[#This Row],[Qty. Success]]</f>
        <v>0</v>
      </c>
      <c r="P404" s="230">
        <f>IF(All_Detail_v2[[#This Row],[Qty]]=0,1,(M404+N404+O404)/(All_Detail_v2[[#This Row],[Qty]]*3))</f>
        <v>0</v>
      </c>
      <c r="Q404" s="195"/>
      <c r="R404" s="414">
        <f>All_Detail_v2[[#This Row],[Scheduled Date]]</f>
        <v>46155</v>
      </c>
      <c r="S404" s="414">
        <f>All_Detail_v2[[#This Row],[Install Date]]</f>
        <v>0</v>
      </c>
    </row>
    <row r="405" spans="1:19">
      <c r="A405">
        <v>401</v>
      </c>
      <c r="B405" s="687" t="s">
        <v>636</v>
      </c>
      <c r="C405" s="688" t="s">
        <v>637</v>
      </c>
      <c r="D405" s="689" t="s">
        <v>651</v>
      </c>
      <c r="E405" s="689" t="s">
        <v>370</v>
      </c>
      <c r="F405" s="689">
        <v>1</v>
      </c>
      <c r="G405" s="689"/>
      <c r="H405" s="695"/>
      <c r="I405" s="695">
        <v>46155</v>
      </c>
      <c r="J405" s="689" t="s">
        <v>365</v>
      </c>
      <c r="K405" t="str">
        <f t="shared" si="22"/>
        <v>Switch</v>
      </c>
      <c r="M405" s="412">
        <f t="shared" si="21"/>
        <v>0</v>
      </c>
      <c r="N405" s="412">
        <f t="shared" si="23"/>
        <v>0</v>
      </c>
      <c r="O405" s="412">
        <f>All_Detail_v2[[#This Row],[Qty. Success]]</f>
        <v>0</v>
      </c>
      <c r="P405" s="230">
        <f>IF(All_Detail_v2[[#This Row],[Qty]]=0,1,(M405+N405+O405)/(All_Detail_v2[[#This Row],[Qty]]*3))</f>
        <v>0</v>
      </c>
      <c r="Q405" s="195"/>
      <c r="R405" s="414">
        <f>All_Detail_v2[[#This Row],[Scheduled Date]]</f>
        <v>46155</v>
      </c>
      <c r="S405" s="414">
        <f>All_Detail_v2[[#This Row],[Install Date]]</f>
        <v>0</v>
      </c>
    </row>
    <row r="406" spans="1:19">
      <c r="A406">
        <v>402</v>
      </c>
      <c r="B406" s="687" t="s">
        <v>636</v>
      </c>
      <c r="C406" s="688" t="s">
        <v>637</v>
      </c>
      <c r="D406" s="689" t="s">
        <v>651</v>
      </c>
      <c r="E406" s="689" t="s">
        <v>375</v>
      </c>
      <c r="F406" s="689">
        <v>1</v>
      </c>
      <c r="G406" s="689"/>
      <c r="H406" s="695"/>
      <c r="I406" s="695">
        <v>46155</v>
      </c>
      <c r="J406" s="689" t="s">
        <v>365</v>
      </c>
      <c r="K406" t="str">
        <f t="shared" si="22"/>
        <v>Switch</v>
      </c>
      <c r="M406" s="412">
        <f t="shared" si="21"/>
        <v>0</v>
      </c>
      <c r="N406" s="412">
        <f t="shared" si="23"/>
        <v>0</v>
      </c>
      <c r="O406" s="412">
        <f>All_Detail_v2[[#This Row],[Qty. Success]]</f>
        <v>0</v>
      </c>
      <c r="P406" s="230">
        <f>IF(All_Detail_v2[[#This Row],[Qty]]=0,1,(M406+N406+O406)/(All_Detail_v2[[#This Row],[Qty]]*3))</f>
        <v>0</v>
      </c>
      <c r="Q406" s="195"/>
      <c r="R406" s="414">
        <f>All_Detail_v2[[#This Row],[Scheduled Date]]</f>
        <v>46155</v>
      </c>
      <c r="S406" s="414">
        <f>All_Detail_v2[[#This Row],[Install Date]]</f>
        <v>0</v>
      </c>
    </row>
    <row r="407" spans="1:19">
      <c r="A407">
        <v>403</v>
      </c>
      <c r="B407" s="687" t="s">
        <v>636</v>
      </c>
      <c r="C407" s="688" t="s">
        <v>637</v>
      </c>
      <c r="D407" s="689" t="s">
        <v>651</v>
      </c>
      <c r="E407" s="689" t="s">
        <v>412</v>
      </c>
      <c r="F407" s="689">
        <v>1</v>
      </c>
      <c r="G407" s="689"/>
      <c r="H407" s="695"/>
      <c r="I407" s="695">
        <v>46155</v>
      </c>
      <c r="J407" s="689" t="s">
        <v>365</v>
      </c>
      <c r="K407" t="str">
        <f t="shared" si="22"/>
        <v>Switch</v>
      </c>
      <c r="M407" s="412">
        <f t="shared" si="21"/>
        <v>0</v>
      </c>
      <c r="N407" s="412">
        <f t="shared" si="23"/>
        <v>0</v>
      </c>
      <c r="O407" s="412">
        <f>All_Detail_v2[[#This Row],[Qty. Success]]</f>
        <v>0</v>
      </c>
      <c r="P407" s="230">
        <f>IF(All_Detail_v2[[#This Row],[Qty]]=0,1,(M407+N407+O407)/(All_Detail_v2[[#This Row],[Qty]]*3))</f>
        <v>0</v>
      </c>
      <c r="Q407" s="195"/>
      <c r="R407" s="414">
        <f>All_Detail_v2[[#This Row],[Scheduled Date]]</f>
        <v>46155</v>
      </c>
      <c r="S407" s="414">
        <f>All_Detail_v2[[#This Row],[Install Date]]</f>
        <v>0</v>
      </c>
    </row>
    <row r="408" spans="1:19">
      <c r="A408">
        <v>404</v>
      </c>
      <c r="B408" s="687" t="s">
        <v>636</v>
      </c>
      <c r="C408" s="688" t="s">
        <v>637</v>
      </c>
      <c r="D408" s="689" t="s">
        <v>651</v>
      </c>
      <c r="E408" s="689" t="s">
        <v>410</v>
      </c>
      <c r="F408" s="689">
        <v>1</v>
      </c>
      <c r="G408" s="689"/>
      <c r="H408" s="695"/>
      <c r="I408" s="695">
        <v>46155</v>
      </c>
      <c r="J408" s="689" t="s">
        <v>365</v>
      </c>
      <c r="K408" t="str">
        <f t="shared" si="22"/>
        <v>Switch</v>
      </c>
      <c r="M408" s="412">
        <f t="shared" si="21"/>
        <v>0</v>
      </c>
      <c r="N408" s="412">
        <f t="shared" si="23"/>
        <v>0</v>
      </c>
      <c r="O408" s="412">
        <f>All_Detail_v2[[#This Row],[Qty. Success]]</f>
        <v>0</v>
      </c>
      <c r="P408" s="230">
        <f>IF(All_Detail_v2[[#This Row],[Qty]]=0,1,(M408+N408+O408)/(All_Detail_v2[[#This Row],[Qty]]*3))</f>
        <v>0</v>
      </c>
      <c r="Q408" s="195"/>
      <c r="R408" s="414">
        <f>All_Detail_v2[[#This Row],[Scheduled Date]]</f>
        <v>46155</v>
      </c>
      <c r="S408" s="414">
        <f>All_Detail_v2[[#This Row],[Install Date]]</f>
        <v>0</v>
      </c>
    </row>
    <row r="409" spans="1:19">
      <c r="A409">
        <v>405</v>
      </c>
      <c r="B409" s="687" t="s">
        <v>636</v>
      </c>
      <c r="C409" s="688" t="s">
        <v>637</v>
      </c>
      <c r="D409" s="689" t="s">
        <v>652</v>
      </c>
      <c r="E409" s="689" t="s">
        <v>370</v>
      </c>
      <c r="F409" s="689">
        <v>1</v>
      </c>
      <c r="G409" s="689"/>
      <c r="H409" s="695"/>
      <c r="I409" s="695">
        <v>46155</v>
      </c>
      <c r="J409" s="689" t="s">
        <v>365</v>
      </c>
      <c r="K409" t="str">
        <f t="shared" si="22"/>
        <v>Switch</v>
      </c>
      <c r="M409" s="412">
        <f t="shared" si="21"/>
        <v>0</v>
      </c>
      <c r="N409" s="412">
        <f t="shared" si="23"/>
        <v>0</v>
      </c>
      <c r="O409" s="412">
        <f>All_Detail_v2[[#This Row],[Qty. Success]]</f>
        <v>0</v>
      </c>
      <c r="P409" s="230">
        <f>IF(All_Detail_v2[[#This Row],[Qty]]=0,1,(M409+N409+O409)/(All_Detail_v2[[#This Row],[Qty]]*3))</f>
        <v>0</v>
      </c>
      <c r="Q409" s="195"/>
      <c r="R409" s="414">
        <f>All_Detail_v2[[#This Row],[Scheduled Date]]</f>
        <v>46155</v>
      </c>
      <c r="S409" s="414">
        <f>All_Detail_v2[[#This Row],[Install Date]]</f>
        <v>0</v>
      </c>
    </row>
    <row r="410" spans="1:19">
      <c r="A410">
        <v>406</v>
      </c>
      <c r="B410" s="687" t="s">
        <v>636</v>
      </c>
      <c r="C410" s="688" t="s">
        <v>637</v>
      </c>
      <c r="D410" s="689" t="s">
        <v>652</v>
      </c>
      <c r="E410" s="689" t="s">
        <v>375</v>
      </c>
      <c r="F410" s="689">
        <v>1</v>
      </c>
      <c r="G410" s="689"/>
      <c r="H410" s="695"/>
      <c r="I410" s="695">
        <v>46155</v>
      </c>
      <c r="J410" s="689" t="s">
        <v>365</v>
      </c>
      <c r="K410" t="str">
        <f t="shared" si="22"/>
        <v>Switch</v>
      </c>
      <c r="M410" s="412">
        <f t="shared" si="21"/>
        <v>0</v>
      </c>
      <c r="N410" s="412">
        <f t="shared" si="23"/>
        <v>0</v>
      </c>
      <c r="O410" s="412">
        <f>All_Detail_v2[[#This Row],[Qty. Success]]</f>
        <v>0</v>
      </c>
      <c r="P410" s="230">
        <f>IF(All_Detail_v2[[#This Row],[Qty]]=0,1,(M410+N410+O410)/(All_Detail_v2[[#This Row],[Qty]]*3))</f>
        <v>0</v>
      </c>
      <c r="Q410" s="195"/>
      <c r="R410" s="414">
        <f>All_Detail_v2[[#This Row],[Scheduled Date]]</f>
        <v>46155</v>
      </c>
      <c r="S410" s="414">
        <f>All_Detail_v2[[#This Row],[Install Date]]</f>
        <v>0</v>
      </c>
    </row>
    <row r="411" spans="1:19">
      <c r="A411">
        <v>407</v>
      </c>
      <c r="B411" s="687" t="s">
        <v>636</v>
      </c>
      <c r="C411" s="688" t="s">
        <v>637</v>
      </c>
      <c r="D411" s="689" t="s">
        <v>652</v>
      </c>
      <c r="E411" s="689" t="s">
        <v>412</v>
      </c>
      <c r="F411" s="689">
        <v>1</v>
      </c>
      <c r="G411" s="689"/>
      <c r="H411" s="695"/>
      <c r="I411" s="695">
        <v>46155</v>
      </c>
      <c r="J411" s="689" t="s">
        <v>365</v>
      </c>
      <c r="K411" t="str">
        <f t="shared" si="22"/>
        <v>Switch</v>
      </c>
      <c r="M411" s="412">
        <f t="shared" si="21"/>
        <v>0</v>
      </c>
      <c r="N411" s="412">
        <f t="shared" si="23"/>
        <v>0</v>
      </c>
      <c r="O411" s="412">
        <f>All_Detail_v2[[#This Row],[Qty. Success]]</f>
        <v>0</v>
      </c>
      <c r="P411" s="230">
        <f>IF(All_Detail_v2[[#This Row],[Qty]]=0,1,(M411+N411+O411)/(All_Detail_v2[[#This Row],[Qty]]*3))</f>
        <v>0</v>
      </c>
      <c r="Q411" s="195"/>
      <c r="R411" s="414">
        <f>All_Detail_v2[[#This Row],[Scheduled Date]]</f>
        <v>46155</v>
      </c>
      <c r="S411" s="414">
        <f>All_Detail_v2[[#This Row],[Install Date]]</f>
        <v>0</v>
      </c>
    </row>
    <row r="412" spans="1:19">
      <c r="A412">
        <v>408</v>
      </c>
      <c r="B412" s="687" t="s">
        <v>636</v>
      </c>
      <c r="C412" s="688" t="s">
        <v>637</v>
      </c>
      <c r="D412" s="689" t="s">
        <v>653</v>
      </c>
      <c r="E412" s="689" t="s">
        <v>370</v>
      </c>
      <c r="F412" s="689">
        <v>1</v>
      </c>
      <c r="G412" s="689"/>
      <c r="H412" s="695"/>
      <c r="I412" s="695">
        <v>46156</v>
      </c>
      <c r="J412" s="689" t="s">
        <v>365</v>
      </c>
      <c r="K412" t="str">
        <f t="shared" si="22"/>
        <v>Switch</v>
      </c>
      <c r="M412" s="412">
        <f t="shared" si="21"/>
        <v>0</v>
      </c>
      <c r="N412" s="412">
        <f t="shared" si="23"/>
        <v>0</v>
      </c>
      <c r="O412" s="412">
        <f>All_Detail_v2[[#This Row],[Qty. Success]]</f>
        <v>0</v>
      </c>
      <c r="P412" s="230">
        <f>IF(All_Detail_v2[[#This Row],[Qty]]=0,1,(M412+N412+O412)/(All_Detail_v2[[#This Row],[Qty]]*3))</f>
        <v>0</v>
      </c>
      <c r="Q412" s="195"/>
      <c r="R412" s="414">
        <f>All_Detail_v2[[#This Row],[Scheduled Date]]</f>
        <v>46156</v>
      </c>
      <c r="S412" s="414">
        <f>All_Detail_v2[[#This Row],[Install Date]]</f>
        <v>0</v>
      </c>
    </row>
    <row r="413" spans="1:19">
      <c r="A413">
        <v>409</v>
      </c>
      <c r="B413" s="687" t="s">
        <v>636</v>
      </c>
      <c r="C413" s="688" t="s">
        <v>637</v>
      </c>
      <c r="D413" s="689" t="s">
        <v>653</v>
      </c>
      <c r="E413" s="689" t="s">
        <v>375</v>
      </c>
      <c r="F413" s="689">
        <v>1</v>
      </c>
      <c r="G413" s="689"/>
      <c r="H413" s="695"/>
      <c r="I413" s="695">
        <v>46156</v>
      </c>
      <c r="J413" s="689" t="s">
        <v>365</v>
      </c>
      <c r="K413" t="str">
        <f t="shared" si="22"/>
        <v>Switch</v>
      </c>
      <c r="M413" s="412">
        <f t="shared" si="21"/>
        <v>0</v>
      </c>
      <c r="N413" s="412">
        <f t="shared" si="23"/>
        <v>0</v>
      </c>
      <c r="O413" s="412">
        <f>All_Detail_v2[[#This Row],[Qty. Success]]</f>
        <v>0</v>
      </c>
      <c r="P413" s="230">
        <f>IF(All_Detail_v2[[#This Row],[Qty]]=0,1,(M413+N413+O413)/(All_Detail_v2[[#This Row],[Qty]]*3))</f>
        <v>0</v>
      </c>
      <c r="Q413" s="195"/>
      <c r="R413" s="414">
        <f>All_Detail_v2[[#This Row],[Scheduled Date]]</f>
        <v>46156</v>
      </c>
      <c r="S413" s="414">
        <f>All_Detail_v2[[#This Row],[Install Date]]</f>
        <v>0</v>
      </c>
    </row>
    <row r="414" spans="1:19">
      <c r="A414">
        <v>410</v>
      </c>
      <c r="B414" s="687" t="s">
        <v>636</v>
      </c>
      <c r="C414" s="688" t="s">
        <v>637</v>
      </c>
      <c r="D414" s="689" t="s">
        <v>654</v>
      </c>
      <c r="E414" s="689" t="s">
        <v>370</v>
      </c>
      <c r="F414" s="689">
        <v>1</v>
      </c>
      <c r="G414" s="689"/>
      <c r="H414" s="695"/>
      <c r="I414" s="695">
        <v>46156</v>
      </c>
      <c r="J414" s="689" t="s">
        <v>365</v>
      </c>
      <c r="K414" t="str">
        <f t="shared" si="22"/>
        <v>Switch</v>
      </c>
      <c r="M414" s="412">
        <f t="shared" si="21"/>
        <v>0</v>
      </c>
      <c r="N414" s="412">
        <f t="shared" si="23"/>
        <v>0</v>
      </c>
      <c r="O414" s="412">
        <f>All_Detail_v2[[#This Row],[Qty. Success]]</f>
        <v>0</v>
      </c>
      <c r="P414" s="230">
        <f>IF(All_Detail_v2[[#This Row],[Qty]]=0,1,(M414+N414+O414)/(All_Detail_v2[[#This Row],[Qty]]*3))</f>
        <v>0</v>
      </c>
      <c r="Q414" s="195"/>
      <c r="R414" s="414">
        <f>All_Detail_v2[[#This Row],[Scheduled Date]]</f>
        <v>46156</v>
      </c>
      <c r="S414" s="414">
        <f>All_Detail_v2[[#This Row],[Install Date]]</f>
        <v>0</v>
      </c>
    </row>
    <row r="415" spans="1:19">
      <c r="A415">
        <v>411</v>
      </c>
      <c r="B415" s="687" t="s">
        <v>636</v>
      </c>
      <c r="C415" s="688" t="s">
        <v>637</v>
      </c>
      <c r="D415" s="689" t="s">
        <v>654</v>
      </c>
      <c r="E415" s="689" t="s">
        <v>375</v>
      </c>
      <c r="F415" s="689">
        <v>1</v>
      </c>
      <c r="G415" s="689"/>
      <c r="H415" s="695"/>
      <c r="I415" s="695">
        <v>46156</v>
      </c>
      <c r="J415" s="689" t="s">
        <v>365</v>
      </c>
      <c r="K415" t="str">
        <f t="shared" si="22"/>
        <v>Switch</v>
      </c>
      <c r="M415" s="412">
        <f t="shared" si="21"/>
        <v>0</v>
      </c>
      <c r="N415" s="412">
        <f t="shared" si="23"/>
        <v>0</v>
      </c>
      <c r="O415" s="412">
        <f>All_Detail_v2[[#This Row],[Qty. Success]]</f>
        <v>0</v>
      </c>
      <c r="P415" s="230">
        <f>IF(All_Detail_v2[[#This Row],[Qty]]=0,1,(M415+N415+O415)/(All_Detail_v2[[#This Row],[Qty]]*3))</f>
        <v>0</v>
      </c>
      <c r="Q415" s="195"/>
      <c r="R415" s="414">
        <f>All_Detail_v2[[#This Row],[Scheduled Date]]</f>
        <v>46156</v>
      </c>
      <c r="S415" s="414">
        <f>All_Detail_v2[[#This Row],[Install Date]]</f>
        <v>0</v>
      </c>
    </row>
    <row r="416" spans="1:19">
      <c r="A416">
        <v>412</v>
      </c>
      <c r="B416" s="687" t="s">
        <v>636</v>
      </c>
      <c r="C416" s="688" t="s">
        <v>637</v>
      </c>
      <c r="D416" s="689" t="s">
        <v>654</v>
      </c>
      <c r="E416" s="689" t="s">
        <v>412</v>
      </c>
      <c r="F416" s="689">
        <v>1</v>
      </c>
      <c r="G416" s="689"/>
      <c r="H416" s="695"/>
      <c r="I416" s="695">
        <v>46156</v>
      </c>
      <c r="J416" s="689" t="s">
        <v>365</v>
      </c>
      <c r="K416" t="str">
        <f t="shared" si="22"/>
        <v>Switch</v>
      </c>
      <c r="M416" s="412">
        <f t="shared" si="21"/>
        <v>0</v>
      </c>
      <c r="N416" s="412">
        <f t="shared" si="23"/>
        <v>0</v>
      </c>
      <c r="O416" s="412">
        <f>All_Detail_v2[[#This Row],[Qty. Success]]</f>
        <v>0</v>
      </c>
      <c r="P416" s="230">
        <f>IF(All_Detail_v2[[#This Row],[Qty]]=0,1,(M416+N416+O416)/(All_Detail_v2[[#This Row],[Qty]]*3))</f>
        <v>0</v>
      </c>
      <c r="Q416" s="195"/>
      <c r="R416" s="414">
        <f>All_Detail_v2[[#This Row],[Scheduled Date]]</f>
        <v>46156</v>
      </c>
      <c r="S416" s="414">
        <f>All_Detail_v2[[#This Row],[Install Date]]</f>
        <v>0</v>
      </c>
    </row>
    <row r="417" spans="1:19">
      <c r="A417">
        <v>413</v>
      </c>
      <c r="B417" s="687" t="s">
        <v>636</v>
      </c>
      <c r="C417" s="688" t="s">
        <v>637</v>
      </c>
      <c r="D417" s="689" t="s">
        <v>655</v>
      </c>
      <c r="E417" s="689" t="s">
        <v>370</v>
      </c>
      <c r="F417" s="689">
        <v>4</v>
      </c>
      <c r="G417" s="689"/>
      <c r="H417" s="695"/>
      <c r="I417" s="695">
        <v>46156</v>
      </c>
      <c r="J417" s="689" t="s">
        <v>365</v>
      </c>
      <c r="K417" t="str">
        <f t="shared" si="22"/>
        <v>Switch</v>
      </c>
      <c r="M417" s="412">
        <f t="shared" si="21"/>
        <v>0</v>
      </c>
      <c r="N417" s="412">
        <f t="shared" si="23"/>
        <v>0</v>
      </c>
      <c r="O417" s="412">
        <f>All_Detail_v2[[#This Row],[Qty. Success]]</f>
        <v>0</v>
      </c>
      <c r="P417" s="230">
        <f>IF(All_Detail_v2[[#This Row],[Qty]]=0,1,(M417+N417+O417)/(All_Detail_v2[[#This Row],[Qty]]*3))</f>
        <v>0</v>
      </c>
      <c r="Q417" s="195"/>
      <c r="R417" s="414">
        <f>All_Detail_v2[[#This Row],[Scheduled Date]]</f>
        <v>46156</v>
      </c>
      <c r="S417" s="414">
        <f>All_Detail_v2[[#This Row],[Install Date]]</f>
        <v>0</v>
      </c>
    </row>
    <row r="418" spans="1:19">
      <c r="A418">
        <v>414</v>
      </c>
      <c r="B418" s="687" t="s">
        <v>636</v>
      </c>
      <c r="C418" s="688" t="s">
        <v>637</v>
      </c>
      <c r="D418" s="689" t="s">
        <v>655</v>
      </c>
      <c r="E418" s="689" t="s">
        <v>375</v>
      </c>
      <c r="F418" s="689">
        <v>3</v>
      </c>
      <c r="G418" s="689"/>
      <c r="H418" s="695"/>
      <c r="I418" s="695">
        <v>46156</v>
      </c>
      <c r="J418" s="689" t="s">
        <v>365</v>
      </c>
      <c r="K418" t="str">
        <f t="shared" si="22"/>
        <v>Switch</v>
      </c>
      <c r="M418" s="412">
        <f t="shared" si="21"/>
        <v>0</v>
      </c>
      <c r="N418" s="412">
        <f t="shared" si="23"/>
        <v>0</v>
      </c>
      <c r="O418" s="412">
        <f>All_Detail_v2[[#This Row],[Qty. Success]]</f>
        <v>0</v>
      </c>
      <c r="P418" s="230">
        <f>IF(All_Detail_v2[[#This Row],[Qty]]=0,1,(M418+N418+O418)/(All_Detail_v2[[#This Row],[Qty]]*3))</f>
        <v>0</v>
      </c>
      <c r="Q418" s="195"/>
      <c r="R418" s="414">
        <f>All_Detail_v2[[#This Row],[Scheduled Date]]</f>
        <v>46156</v>
      </c>
      <c r="S418" s="414">
        <f>All_Detail_v2[[#This Row],[Install Date]]</f>
        <v>0</v>
      </c>
    </row>
    <row r="419" spans="1:19">
      <c r="A419">
        <v>415</v>
      </c>
      <c r="B419" s="687" t="s">
        <v>636</v>
      </c>
      <c r="C419" s="688" t="s">
        <v>637</v>
      </c>
      <c r="D419" s="689" t="s">
        <v>655</v>
      </c>
      <c r="E419" s="689" t="s">
        <v>412</v>
      </c>
      <c r="F419" s="689">
        <v>2</v>
      </c>
      <c r="G419" s="689"/>
      <c r="H419" s="695"/>
      <c r="I419" s="695">
        <v>46156</v>
      </c>
      <c r="J419" s="689" t="s">
        <v>365</v>
      </c>
      <c r="K419" t="str">
        <f t="shared" si="22"/>
        <v>Switch</v>
      </c>
      <c r="M419" s="412">
        <f t="shared" si="21"/>
        <v>0</v>
      </c>
      <c r="N419" s="412">
        <f t="shared" si="23"/>
        <v>0</v>
      </c>
      <c r="O419" s="412">
        <f>All_Detail_v2[[#This Row],[Qty. Success]]</f>
        <v>0</v>
      </c>
      <c r="P419" s="230">
        <f>IF(All_Detail_v2[[#This Row],[Qty]]=0,1,(M419+N419+O419)/(All_Detail_v2[[#This Row],[Qty]]*3))</f>
        <v>0</v>
      </c>
      <c r="Q419" s="195"/>
      <c r="R419" s="414">
        <f>All_Detail_v2[[#This Row],[Scheduled Date]]</f>
        <v>46156</v>
      </c>
      <c r="S419" s="414">
        <f>All_Detail_v2[[#This Row],[Install Date]]</f>
        <v>0</v>
      </c>
    </row>
    <row r="420" spans="1:19">
      <c r="A420">
        <v>416</v>
      </c>
      <c r="B420" s="687" t="s">
        <v>636</v>
      </c>
      <c r="C420" s="688" t="s">
        <v>637</v>
      </c>
      <c r="D420" s="689" t="s">
        <v>656</v>
      </c>
      <c r="E420" s="689" t="s">
        <v>370</v>
      </c>
      <c r="F420" s="689">
        <v>3</v>
      </c>
      <c r="G420" s="689"/>
      <c r="H420" s="695"/>
      <c r="I420" s="695">
        <v>46157</v>
      </c>
      <c r="J420" s="689" t="s">
        <v>365</v>
      </c>
      <c r="K420" t="str">
        <f t="shared" si="22"/>
        <v>Switch</v>
      </c>
      <c r="M420" s="412">
        <f t="shared" si="21"/>
        <v>0</v>
      </c>
      <c r="N420" s="412">
        <f t="shared" si="23"/>
        <v>0</v>
      </c>
      <c r="O420" s="412">
        <f>All_Detail_v2[[#This Row],[Qty. Success]]</f>
        <v>0</v>
      </c>
      <c r="P420" s="230">
        <f>IF(All_Detail_v2[[#This Row],[Qty]]=0,1,(M420+N420+O420)/(All_Detail_v2[[#This Row],[Qty]]*3))</f>
        <v>0</v>
      </c>
      <c r="Q420" s="195"/>
      <c r="R420" s="414">
        <f>All_Detail_v2[[#This Row],[Scheduled Date]]</f>
        <v>46157</v>
      </c>
      <c r="S420" s="414">
        <f>All_Detail_v2[[#This Row],[Install Date]]</f>
        <v>0</v>
      </c>
    </row>
    <row r="421" spans="1:19">
      <c r="A421">
        <v>417</v>
      </c>
      <c r="B421" s="687" t="s">
        <v>636</v>
      </c>
      <c r="C421" s="688" t="s">
        <v>637</v>
      </c>
      <c r="D421" s="689" t="s">
        <v>656</v>
      </c>
      <c r="E421" s="689" t="s">
        <v>375</v>
      </c>
      <c r="F421" s="689">
        <v>1</v>
      </c>
      <c r="G421" s="689"/>
      <c r="H421" s="695"/>
      <c r="I421" s="695">
        <v>46157</v>
      </c>
      <c r="J421" s="689" t="s">
        <v>365</v>
      </c>
      <c r="K421" t="str">
        <f t="shared" si="22"/>
        <v>Switch</v>
      </c>
      <c r="M421" s="412">
        <f t="shared" si="21"/>
        <v>0</v>
      </c>
      <c r="N421" s="412">
        <f t="shared" si="23"/>
        <v>0</v>
      </c>
      <c r="O421" s="412">
        <f>All_Detail_v2[[#This Row],[Qty. Success]]</f>
        <v>0</v>
      </c>
      <c r="P421" s="230">
        <f>IF(All_Detail_v2[[#This Row],[Qty]]=0,1,(M421+N421+O421)/(All_Detail_v2[[#This Row],[Qty]]*3))</f>
        <v>0</v>
      </c>
      <c r="Q421" s="195"/>
      <c r="R421" s="414">
        <f>All_Detail_v2[[#This Row],[Scheduled Date]]</f>
        <v>46157</v>
      </c>
      <c r="S421" s="414">
        <f>All_Detail_v2[[#This Row],[Install Date]]</f>
        <v>0</v>
      </c>
    </row>
    <row r="422" spans="1:19">
      <c r="A422">
        <v>418</v>
      </c>
      <c r="B422" s="687" t="s">
        <v>636</v>
      </c>
      <c r="C422" s="688" t="s">
        <v>637</v>
      </c>
      <c r="D422" s="689" t="s">
        <v>656</v>
      </c>
      <c r="E422" s="689" t="s">
        <v>412</v>
      </c>
      <c r="F422" s="689">
        <v>1</v>
      </c>
      <c r="G422" s="689"/>
      <c r="H422" s="695"/>
      <c r="I422" s="695">
        <v>46157</v>
      </c>
      <c r="J422" s="689" t="s">
        <v>365</v>
      </c>
      <c r="K422" t="str">
        <f t="shared" si="22"/>
        <v>Switch</v>
      </c>
      <c r="M422" s="412">
        <f t="shared" si="21"/>
        <v>0</v>
      </c>
      <c r="N422" s="412">
        <f t="shared" si="23"/>
        <v>0</v>
      </c>
      <c r="O422" s="412">
        <f>All_Detail_v2[[#This Row],[Qty. Success]]</f>
        <v>0</v>
      </c>
      <c r="P422" s="230">
        <f>IF(All_Detail_v2[[#This Row],[Qty]]=0,1,(M422+N422+O422)/(All_Detail_v2[[#This Row],[Qty]]*3))</f>
        <v>0</v>
      </c>
      <c r="Q422" s="195"/>
      <c r="R422" s="414">
        <f>All_Detail_v2[[#This Row],[Scheduled Date]]</f>
        <v>46157</v>
      </c>
      <c r="S422" s="414">
        <f>All_Detail_v2[[#This Row],[Install Date]]</f>
        <v>0</v>
      </c>
    </row>
    <row r="423" spans="1:19">
      <c r="A423">
        <v>419</v>
      </c>
      <c r="B423" s="687" t="s">
        <v>636</v>
      </c>
      <c r="C423" s="688" t="s">
        <v>637</v>
      </c>
      <c r="D423" s="689" t="s">
        <v>656</v>
      </c>
      <c r="E423" s="689" t="s">
        <v>410</v>
      </c>
      <c r="F423" s="689">
        <v>1</v>
      </c>
      <c r="G423" s="689"/>
      <c r="H423" s="695"/>
      <c r="I423" s="695">
        <v>46157</v>
      </c>
      <c r="J423" s="689" t="s">
        <v>365</v>
      </c>
      <c r="K423" t="str">
        <f t="shared" si="22"/>
        <v>Switch</v>
      </c>
      <c r="M423" s="412">
        <f t="shared" si="21"/>
        <v>0</v>
      </c>
      <c r="N423" s="412">
        <f t="shared" si="23"/>
        <v>0</v>
      </c>
      <c r="O423" s="412">
        <f>All_Detail_v2[[#This Row],[Qty. Success]]</f>
        <v>0</v>
      </c>
      <c r="P423" s="230">
        <f>IF(All_Detail_v2[[#This Row],[Qty]]=0,1,(M423+N423+O423)/(All_Detail_v2[[#This Row],[Qty]]*3))</f>
        <v>0</v>
      </c>
      <c r="Q423" s="195"/>
      <c r="R423" s="414">
        <f>All_Detail_v2[[#This Row],[Scheduled Date]]</f>
        <v>46157</v>
      </c>
      <c r="S423" s="414">
        <f>All_Detail_v2[[#This Row],[Install Date]]</f>
        <v>0</v>
      </c>
    </row>
    <row r="424" spans="1:19">
      <c r="A424">
        <v>420</v>
      </c>
      <c r="B424" s="687" t="s">
        <v>636</v>
      </c>
      <c r="C424" s="688" t="s">
        <v>637</v>
      </c>
      <c r="D424" s="689" t="s">
        <v>657</v>
      </c>
      <c r="E424" s="689" t="s">
        <v>370</v>
      </c>
      <c r="F424" s="689">
        <v>3</v>
      </c>
      <c r="G424" s="689"/>
      <c r="H424" s="695"/>
      <c r="I424" s="695">
        <v>46157</v>
      </c>
      <c r="J424" s="689" t="s">
        <v>365</v>
      </c>
      <c r="K424" t="str">
        <f t="shared" si="22"/>
        <v>Switch</v>
      </c>
      <c r="M424" s="412">
        <f t="shared" si="21"/>
        <v>0</v>
      </c>
      <c r="N424" s="412">
        <f t="shared" si="23"/>
        <v>0</v>
      </c>
      <c r="O424" s="412">
        <f>All_Detail_v2[[#This Row],[Qty. Success]]</f>
        <v>0</v>
      </c>
      <c r="P424" s="230">
        <f>IF(All_Detail_v2[[#This Row],[Qty]]=0,1,(M424+N424+O424)/(All_Detail_v2[[#This Row],[Qty]]*3))</f>
        <v>0</v>
      </c>
      <c r="Q424" s="195"/>
      <c r="R424" s="414">
        <f>All_Detail_v2[[#This Row],[Scheduled Date]]</f>
        <v>46157</v>
      </c>
      <c r="S424" s="414">
        <f>All_Detail_v2[[#This Row],[Install Date]]</f>
        <v>0</v>
      </c>
    </row>
    <row r="425" spans="1:19">
      <c r="A425">
        <v>421</v>
      </c>
      <c r="B425" s="687" t="s">
        <v>636</v>
      </c>
      <c r="C425" s="688" t="s">
        <v>637</v>
      </c>
      <c r="D425" s="689" t="s">
        <v>657</v>
      </c>
      <c r="E425" s="689" t="s">
        <v>375</v>
      </c>
      <c r="F425" s="689">
        <v>2</v>
      </c>
      <c r="G425" s="689"/>
      <c r="H425" s="695"/>
      <c r="I425" s="695">
        <v>46157</v>
      </c>
      <c r="J425" s="689" t="s">
        <v>365</v>
      </c>
      <c r="K425" t="str">
        <f t="shared" si="22"/>
        <v>Switch</v>
      </c>
      <c r="M425" s="412">
        <f t="shared" si="21"/>
        <v>0</v>
      </c>
      <c r="N425" s="412">
        <f t="shared" si="23"/>
        <v>0</v>
      </c>
      <c r="O425" s="412">
        <f>All_Detail_v2[[#This Row],[Qty. Success]]</f>
        <v>0</v>
      </c>
      <c r="P425" s="230">
        <f>IF(All_Detail_v2[[#This Row],[Qty]]=0,1,(M425+N425+O425)/(All_Detail_v2[[#This Row],[Qty]]*3))</f>
        <v>0</v>
      </c>
      <c r="Q425" s="195"/>
      <c r="R425" s="414">
        <f>All_Detail_v2[[#This Row],[Scheduled Date]]</f>
        <v>46157</v>
      </c>
      <c r="S425" s="414">
        <f>All_Detail_v2[[#This Row],[Install Date]]</f>
        <v>0</v>
      </c>
    </row>
    <row r="426" spans="1:19">
      <c r="A426">
        <v>422</v>
      </c>
      <c r="B426" s="687" t="s">
        <v>636</v>
      </c>
      <c r="C426" s="688" t="s">
        <v>637</v>
      </c>
      <c r="D426" s="689" t="s">
        <v>657</v>
      </c>
      <c r="E426" s="689" t="s">
        <v>412</v>
      </c>
      <c r="F426" s="689">
        <v>1</v>
      </c>
      <c r="G426" s="689"/>
      <c r="H426" s="695"/>
      <c r="I426" s="695">
        <v>46157</v>
      </c>
      <c r="J426" s="689" t="s">
        <v>365</v>
      </c>
      <c r="K426" t="str">
        <f t="shared" si="22"/>
        <v>Switch</v>
      </c>
      <c r="M426" s="412">
        <f t="shared" si="21"/>
        <v>0</v>
      </c>
      <c r="N426" s="412">
        <f t="shared" si="23"/>
        <v>0</v>
      </c>
      <c r="O426" s="412">
        <f>All_Detail_v2[[#This Row],[Qty. Success]]</f>
        <v>0</v>
      </c>
      <c r="P426" s="230">
        <f>IF(All_Detail_v2[[#This Row],[Qty]]=0,1,(M426+N426+O426)/(All_Detail_v2[[#This Row],[Qty]]*3))</f>
        <v>0</v>
      </c>
      <c r="Q426" s="195"/>
      <c r="R426" s="414">
        <f>All_Detail_v2[[#This Row],[Scheduled Date]]</f>
        <v>46157</v>
      </c>
      <c r="S426" s="414">
        <f>All_Detail_v2[[#This Row],[Install Date]]</f>
        <v>0</v>
      </c>
    </row>
    <row r="427" spans="1:19">
      <c r="A427">
        <v>423</v>
      </c>
      <c r="B427" s="687" t="s">
        <v>636</v>
      </c>
      <c r="C427" s="688" t="s">
        <v>637</v>
      </c>
      <c r="D427" s="689" t="s">
        <v>658</v>
      </c>
      <c r="E427" s="689" t="s">
        <v>370</v>
      </c>
      <c r="F427" s="689">
        <v>2</v>
      </c>
      <c r="G427" s="689"/>
      <c r="H427" s="695"/>
      <c r="I427" s="695">
        <v>46160</v>
      </c>
      <c r="J427" s="689" t="s">
        <v>365</v>
      </c>
      <c r="K427" t="str">
        <f t="shared" si="22"/>
        <v>Switch</v>
      </c>
      <c r="M427" s="412">
        <f t="shared" si="21"/>
        <v>0</v>
      </c>
      <c r="N427" s="412">
        <f t="shared" si="23"/>
        <v>0</v>
      </c>
      <c r="O427" s="412">
        <f>All_Detail_v2[[#This Row],[Qty. Success]]</f>
        <v>0</v>
      </c>
      <c r="P427" s="230">
        <f>IF(All_Detail_v2[[#This Row],[Qty]]=0,1,(M427+N427+O427)/(All_Detail_v2[[#This Row],[Qty]]*3))</f>
        <v>0</v>
      </c>
      <c r="Q427" s="195"/>
      <c r="R427" s="414">
        <f>All_Detail_v2[[#This Row],[Scheduled Date]]</f>
        <v>46160</v>
      </c>
      <c r="S427" s="414">
        <f>All_Detail_v2[[#This Row],[Install Date]]</f>
        <v>0</v>
      </c>
    </row>
    <row r="428" spans="1:19">
      <c r="A428">
        <v>424</v>
      </c>
      <c r="B428" s="687" t="s">
        <v>636</v>
      </c>
      <c r="C428" s="688" t="s">
        <v>637</v>
      </c>
      <c r="D428" s="689" t="s">
        <v>658</v>
      </c>
      <c r="E428" s="689" t="s">
        <v>375</v>
      </c>
      <c r="F428" s="689">
        <v>1</v>
      </c>
      <c r="G428" s="689"/>
      <c r="H428" s="695"/>
      <c r="I428" s="695">
        <v>46160</v>
      </c>
      <c r="J428" s="689" t="s">
        <v>365</v>
      </c>
      <c r="K428" t="str">
        <f t="shared" si="22"/>
        <v>Switch</v>
      </c>
      <c r="M428" s="412">
        <f t="shared" si="21"/>
        <v>0</v>
      </c>
      <c r="N428" s="412">
        <f t="shared" si="23"/>
        <v>0</v>
      </c>
      <c r="O428" s="412">
        <f>All_Detail_v2[[#This Row],[Qty. Success]]</f>
        <v>0</v>
      </c>
      <c r="P428" s="230">
        <f>IF(All_Detail_v2[[#This Row],[Qty]]=0,1,(M428+N428+O428)/(All_Detail_v2[[#This Row],[Qty]]*3))</f>
        <v>0</v>
      </c>
      <c r="Q428" s="195"/>
      <c r="R428" s="414">
        <f>All_Detail_v2[[#This Row],[Scheduled Date]]</f>
        <v>46160</v>
      </c>
      <c r="S428" s="414">
        <f>All_Detail_v2[[#This Row],[Install Date]]</f>
        <v>0</v>
      </c>
    </row>
    <row r="429" spans="1:19">
      <c r="A429">
        <v>425</v>
      </c>
      <c r="B429" s="687" t="s">
        <v>636</v>
      </c>
      <c r="C429" s="688" t="s">
        <v>637</v>
      </c>
      <c r="D429" s="689" t="s">
        <v>658</v>
      </c>
      <c r="E429" s="689" t="s">
        <v>412</v>
      </c>
      <c r="F429" s="689">
        <v>1</v>
      </c>
      <c r="G429" s="689"/>
      <c r="H429" s="695"/>
      <c r="I429" s="695">
        <v>46160</v>
      </c>
      <c r="J429" s="689" t="s">
        <v>365</v>
      </c>
      <c r="K429" t="str">
        <f t="shared" si="22"/>
        <v>Switch</v>
      </c>
      <c r="M429" s="412">
        <f t="shared" si="21"/>
        <v>0</v>
      </c>
      <c r="N429" s="412">
        <f t="shared" si="23"/>
        <v>0</v>
      </c>
      <c r="O429" s="412">
        <f>All_Detail_v2[[#This Row],[Qty. Success]]</f>
        <v>0</v>
      </c>
      <c r="P429" s="230">
        <f>IF(All_Detail_v2[[#This Row],[Qty]]=0,1,(M429+N429+O429)/(All_Detail_v2[[#This Row],[Qty]]*3))</f>
        <v>0</v>
      </c>
      <c r="Q429" s="195"/>
      <c r="R429" s="414">
        <f>All_Detail_v2[[#This Row],[Scheduled Date]]</f>
        <v>46160</v>
      </c>
      <c r="S429" s="414">
        <f>All_Detail_v2[[#This Row],[Install Date]]</f>
        <v>0</v>
      </c>
    </row>
    <row r="430" spans="1:19">
      <c r="A430">
        <v>426</v>
      </c>
      <c r="B430" s="687" t="s">
        <v>636</v>
      </c>
      <c r="C430" s="688" t="s">
        <v>637</v>
      </c>
      <c r="D430" s="689" t="s">
        <v>659</v>
      </c>
      <c r="E430" s="689" t="s">
        <v>370</v>
      </c>
      <c r="F430" s="689">
        <v>1</v>
      </c>
      <c r="G430" s="689"/>
      <c r="H430" s="695"/>
      <c r="I430" s="695">
        <v>46160</v>
      </c>
      <c r="J430" s="689" t="s">
        <v>365</v>
      </c>
      <c r="K430" t="str">
        <f t="shared" si="22"/>
        <v>Switch</v>
      </c>
      <c r="M430" s="412">
        <f t="shared" si="21"/>
        <v>0</v>
      </c>
      <c r="N430" s="412">
        <f t="shared" si="23"/>
        <v>0</v>
      </c>
      <c r="O430" s="412">
        <f>All_Detail_v2[[#This Row],[Qty. Success]]</f>
        <v>0</v>
      </c>
      <c r="P430" s="230">
        <f>IF(All_Detail_v2[[#This Row],[Qty]]=0,1,(M430+N430+O430)/(All_Detail_v2[[#This Row],[Qty]]*3))</f>
        <v>0</v>
      </c>
      <c r="Q430" s="195"/>
      <c r="R430" s="414">
        <f>All_Detail_v2[[#This Row],[Scheduled Date]]</f>
        <v>46160</v>
      </c>
      <c r="S430" s="414">
        <f>All_Detail_v2[[#This Row],[Install Date]]</f>
        <v>0</v>
      </c>
    </row>
    <row r="431" spans="1:19">
      <c r="A431">
        <v>427</v>
      </c>
      <c r="B431" s="687" t="s">
        <v>636</v>
      </c>
      <c r="C431" s="688" t="s">
        <v>637</v>
      </c>
      <c r="D431" s="689" t="s">
        <v>659</v>
      </c>
      <c r="E431" s="689" t="s">
        <v>375</v>
      </c>
      <c r="F431" s="689">
        <v>1</v>
      </c>
      <c r="G431" s="689"/>
      <c r="H431" s="695"/>
      <c r="I431" s="695">
        <v>46160</v>
      </c>
      <c r="J431" s="689" t="s">
        <v>365</v>
      </c>
      <c r="K431" t="str">
        <f t="shared" si="22"/>
        <v>Switch</v>
      </c>
      <c r="M431" s="412">
        <f t="shared" si="21"/>
        <v>0</v>
      </c>
      <c r="N431" s="412">
        <f t="shared" si="23"/>
        <v>0</v>
      </c>
      <c r="O431" s="412">
        <f>All_Detail_v2[[#This Row],[Qty. Success]]</f>
        <v>0</v>
      </c>
      <c r="P431" s="230">
        <f>IF(All_Detail_v2[[#This Row],[Qty]]=0,1,(M431+N431+O431)/(All_Detail_v2[[#This Row],[Qty]]*3))</f>
        <v>0</v>
      </c>
      <c r="Q431" s="195"/>
      <c r="R431" s="414">
        <f>All_Detail_v2[[#This Row],[Scheduled Date]]</f>
        <v>46160</v>
      </c>
      <c r="S431" s="414">
        <f>All_Detail_v2[[#This Row],[Install Date]]</f>
        <v>0</v>
      </c>
    </row>
    <row r="432" spans="1:19">
      <c r="A432">
        <v>428</v>
      </c>
      <c r="B432" s="687" t="s">
        <v>636</v>
      </c>
      <c r="C432" s="688" t="s">
        <v>637</v>
      </c>
      <c r="D432" s="689" t="s">
        <v>659</v>
      </c>
      <c r="E432" s="689" t="s">
        <v>410</v>
      </c>
      <c r="F432" s="689">
        <v>1</v>
      </c>
      <c r="G432" s="689"/>
      <c r="H432" s="695"/>
      <c r="I432" s="695">
        <v>46160</v>
      </c>
      <c r="J432" s="689" t="s">
        <v>365</v>
      </c>
      <c r="K432" t="str">
        <f t="shared" si="22"/>
        <v>Switch</v>
      </c>
      <c r="M432" s="412">
        <f t="shared" si="21"/>
        <v>0</v>
      </c>
      <c r="N432" s="412">
        <f t="shared" si="23"/>
        <v>0</v>
      </c>
      <c r="O432" s="412">
        <f>All_Detail_v2[[#This Row],[Qty. Success]]</f>
        <v>0</v>
      </c>
      <c r="P432" s="230">
        <f>IF(All_Detail_v2[[#This Row],[Qty]]=0,1,(M432+N432+O432)/(All_Detail_v2[[#This Row],[Qty]]*3))</f>
        <v>0</v>
      </c>
      <c r="Q432" s="195"/>
      <c r="R432" s="414">
        <f>All_Detail_v2[[#This Row],[Scheduled Date]]</f>
        <v>46160</v>
      </c>
      <c r="S432" s="414">
        <f>All_Detail_v2[[#This Row],[Install Date]]</f>
        <v>0</v>
      </c>
    </row>
    <row r="433" spans="1:19">
      <c r="A433">
        <v>429</v>
      </c>
      <c r="B433" s="687" t="s">
        <v>636</v>
      </c>
      <c r="C433" s="688" t="s">
        <v>637</v>
      </c>
      <c r="D433" s="689" t="s">
        <v>660</v>
      </c>
      <c r="E433" s="689" t="s">
        <v>370</v>
      </c>
      <c r="F433" s="689">
        <v>1</v>
      </c>
      <c r="G433" s="689"/>
      <c r="H433" s="695"/>
      <c r="I433" s="695">
        <v>46160</v>
      </c>
      <c r="J433" s="689" t="s">
        <v>365</v>
      </c>
      <c r="K433" t="str">
        <f t="shared" si="22"/>
        <v>Switch</v>
      </c>
      <c r="M433" s="412">
        <f t="shared" si="21"/>
        <v>0</v>
      </c>
      <c r="N433" s="412">
        <f t="shared" si="23"/>
        <v>0</v>
      </c>
      <c r="O433" s="412">
        <f>All_Detail_v2[[#This Row],[Qty. Success]]</f>
        <v>0</v>
      </c>
      <c r="P433" s="230">
        <f>IF(All_Detail_v2[[#This Row],[Qty]]=0,1,(M433+N433+O433)/(All_Detail_v2[[#This Row],[Qty]]*3))</f>
        <v>0</v>
      </c>
      <c r="Q433" s="195"/>
      <c r="R433" s="414">
        <f>All_Detail_v2[[#This Row],[Scheduled Date]]</f>
        <v>46160</v>
      </c>
      <c r="S433" s="414">
        <f>All_Detail_v2[[#This Row],[Install Date]]</f>
        <v>0</v>
      </c>
    </row>
    <row r="434" spans="1:19">
      <c r="A434">
        <v>430</v>
      </c>
      <c r="B434" s="687" t="s">
        <v>636</v>
      </c>
      <c r="C434" s="688" t="s">
        <v>637</v>
      </c>
      <c r="D434" s="689" t="s">
        <v>660</v>
      </c>
      <c r="E434" s="689" t="s">
        <v>375</v>
      </c>
      <c r="F434" s="689">
        <v>1</v>
      </c>
      <c r="G434" s="689"/>
      <c r="H434" s="695"/>
      <c r="I434" s="695">
        <v>46160</v>
      </c>
      <c r="J434" s="689" t="s">
        <v>365</v>
      </c>
      <c r="K434" t="str">
        <f t="shared" si="22"/>
        <v>Switch</v>
      </c>
      <c r="M434" s="412">
        <f t="shared" si="21"/>
        <v>0</v>
      </c>
      <c r="N434" s="412">
        <f t="shared" si="23"/>
        <v>0</v>
      </c>
      <c r="O434" s="412">
        <f>All_Detail_v2[[#This Row],[Qty. Success]]</f>
        <v>0</v>
      </c>
      <c r="P434" s="230">
        <f>IF(All_Detail_v2[[#This Row],[Qty]]=0,1,(M434+N434+O434)/(All_Detail_v2[[#This Row],[Qty]]*3))</f>
        <v>0</v>
      </c>
      <c r="Q434" s="195"/>
      <c r="R434" s="414">
        <f>All_Detail_v2[[#This Row],[Scheduled Date]]</f>
        <v>46160</v>
      </c>
      <c r="S434" s="414">
        <f>All_Detail_v2[[#This Row],[Install Date]]</f>
        <v>0</v>
      </c>
    </row>
    <row r="435" spans="1:19">
      <c r="A435">
        <v>431</v>
      </c>
      <c r="B435" s="687" t="s">
        <v>636</v>
      </c>
      <c r="C435" s="688" t="s">
        <v>637</v>
      </c>
      <c r="D435" s="689" t="s">
        <v>661</v>
      </c>
      <c r="E435" s="689" t="s">
        <v>370</v>
      </c>
      <c r="F435" s="689">
        <v>1</v>
      </c>
      <c r="G435" s="689"/>
      <c r="H435" s="695"/>
      <c r="I435" s="695">
        <v>46161</v>
      </c>
      <c r="J435" s="689" t="s">
        <v>365</v>
      </c>
      <c r="K435" t="str">
        <f t="shared" si="22"/>
        <v>Switch</v>
      </c>
      <c r="M435" s="412">
        <f t="shared" si="21"/>
        <v>0</v>
      </c>
      <c r="N435" s="412">
        <f t="shared" si="23"/>
        <v>0</v>
      </c>
      <c r="O435" s="412">
        <f>All_Detail_v2[[#This Row],[Qty. Success]]</f>
        <v>0</v>
      </c>
      <c r="P435" s="230">
        <f>IF(All_Detail_v2[[#This Row],[Qty]]=0,1,(M435+N435+O435)/(All_Detail_v2[[#This Row],[Qty]]*3))</f>
        <v>0</v>
      </c>
      <c r="Q435" s="195"/>
      <c r="R435" s="414">
        <f>All_Detail_v2[[#This Row],[Scheduled Date]]</f>
        <v>46161</v>
      </c>
      <c r="S435" s="414">
        <f>All_Detail_v2[[#This Row],[Install Date]]</f>
        <v>0</v>
      </c>
    </row>
    <row r="436" spans="1:19">
      <c r="A436">
        <v>432</v>
      </c>
      <c r="B436" s="687" t="s">
        <v>636</v>
      </c>
      <c r="C436" s="688" t="s">
        <v>637</v>
      </c>
      <c r="D436" s="689" t="s">
        <v>661</v>
      </c>
      <c r="E436" s="689" t="s">
        <v>375</v>
      </c>
      <c r="F436" s="689">
        <v>1</v>
      </c>
      <c r="G436" s="689"/>
      <c r="H436" s="695"/>
      <c r="I436" s="695">
        <v>46161</v>
      </c>
      <c r="J436" s="689" t="s">
        <v>365</v>
      </c>
      <c r="K436" t="str">
        <f t="shared" si="22"/>
        <v>Switch</v>
      </c>
      <c r="M436" s="412">
        <f t="shared" si="21"/>
        <v>0</v>
      </c>
      <c r="N436" s="412">
        <f t="shared" si="23"/>
        <v>0</v>
      </c>
      <c r="O436" s="412">
        <f>All_Detail_v2[[#This Row],[Qty. Success]]</f>
        <v>0</v>
      </c>
      <c r="P436" s="230">
        <f>IF(All_Detail_v2[[#This Row],[Qty]]=0,1,(M436+N436+O436)/(All_Detail_v2[[#This Row],[Qty]]*3))</f>
        <v>0</v>
      </c>
      <c r="Q436" s="195"/>
      <c r="R436" s="414">
        <f>All_Detail_v2[[#This Row],[Scheduled Date]]</f>
        <v>46161</v>
      </c>
      <c r="S436" s="414">
        <f>All_Detail_v2[[#This Row],[Install Date]]</f>
        <v>0</v>
      </c>
    </row>
    <row r="437" spans="1:19">
      <c r="A437">
        <v>433</v>
      </c>
      <c r="B437" s="687" t="s">
        <v>636</v>
      </c>
      <c r="C437" s="688" t="s">
        <v>637</v>
      </c>
      <c r="D437" s="689" t="s">
        <v>662</v>
      </c>
      <c r="E437" s="689" t="s">
        <v>370</v>
      </c>
      <c r="F437" s="689">
        <v>1</v>
      </c>
      <c r="G437" s="689"/>
      <c r="H437" s="695"/>
      <c r="I437" s="695">
        <v>46161</v>
      </c>
      <c r="J437" s="689" t="s">
        <v>365</v>
      </c>
      <c r="K437" t="str">
        <f t="shared" si="22"/>
        <v>Switch</v>
      </c>
      <c r="M437" s="412">
        <f t="shared" si="21"/>
        <v>0</v>
      </c>
      <c r="N437" s="412">
        <f t="shared" si="23"/>
        <v>0</v>
      </c>
      <c r="O437" s="412">
        <f>All_Detail_v2[[#This Row],[Qty. Success]]</f>
        <v>0</v>
      </c>
      <c r="P437" s="230">
        <f>IF(All_Detail_v2[[#This Row],[Qty]]=0,1,(M437+N437+O437)/(All_Detail_v2[[#This Row],[Qty]]*3))</f>
        <v>0</v>
      </c>
      <c r="Q437" s="195"/>
      <c r="R437" s="414">
        <f>All_Detail_v2[[#This Row],[Scheduled Date]]</f>
        <v>46161</v>
      </c>
      <c r="S437" s="414">
        <f>All_Detail_v2[[#This Row],[Install Date]]</f>
        <v>0</v>
      </c>
    </row>
    <row r="438" spans="1:19">
      <c r="A438">
        <v>434</v>
      </c>
      <c r="B438" s="687" t="s">
        <v>636</v>
      </c>
      <c r="C438" s="688" t="s">
        <v>637</v>
      </c>
      <c r="D438" s="689" t="s">
        <v>662</v>
      </c>
      <c r="E438" s="689" t="s">
        <v>375</v>
      </c>
      <c r="F438" s="689">
        <v>1</v>
      </c>
      <c r="G438" s="689"/>
      <c r="H438" s="695"/>
      <c r="I438" s="695">
        <v>46161</v>
      </c>
      <c r="J438" s="689" t="s">
        <v>365</v>
      </c>
      <c r="K438" t="str">
        <f t="shared" si="22"/>
        <v>Switch</v>
      </c>
      <c r="M438" s="412">
        <f t="shared" si="21"/>
        <v>0</v>
      </c>
      <c r="N438" s="412">
        <f t="shared" si="23"/>
        <v>0</v>
      </c>
      <c r="O438" s="412">
        <f>All_Detail_v2[[#This Row],[Qty. Success]]</f>
        <v>0</v>
      </c>
      <c r="P438" s="230">
        <f>IF(All_Detail_v2[[#This Row],[Qty]]=0,1,(M438+N438+O438)/(All_Detail_v2[[#This Row],[Qty]]*3))</f>
        <v>0</v>
      </c>
      <c r="Q438" s="195"/>
      <c r="R438" s="414">
        <f>All_Detail_v2[[#This Row],[Scheduled Date]]</f>
        <v>46161</v>
      </c>
      <c r="S438" s="414">
        <f>All_Detail_v2[[#This Row],[Install Date]]</f>
        <v>0</v>
      </c>
    </row>
    <row r="439" spans="1:19">
      <c r="A439">
        <v>435</v>
      </c>
      <c r="B439" s="687" t="s">
        <v>636</v>
      </c>
      <c r="C439" s="688" t="s">
        <v>637</v>
      </c>
      <c r="D439" s="689" t="s">
        <v>663</v>
      </c>
      <c r="E439" s="689" t="s">
        <v>370</v>
      </c>
      <c r="F439" s="689">
        <v>1</v>
      </c>
      <c r="G439" s="689"/>
      <c r="H439" s="695"/>
      <c r="I439" s="695">
        <v>46161</v>
      </c>
      <c r="J439" s="689" t="s">
        <v>365</v>
      </c>
      <c r="K439" t="str">
        <f t="shared" si="22"/>
        <v>Switch</v>
      </c>
      <c r="M439" s="412">
        <f t="shared" si="21"/>
        <v>0</v>
      </c>
      <c r="N439" s="412">
        <f t="shared" si="23"/>
        <v>0</v>
      </c>
      <c r="O439" s="412">
        <f>All_Detail_v2[[#This Row],[Qty. Success]]</f>
        <v>0</v>
      </c>
      <c r="P439" s="230">
        <f>IF(All_Detail_v2[[#This Row],[Qty]]=0,1,(M439+N439+O439)/(All_Detail_v2[[#This Row],[Qty]]*3))</f>
        <v>0</v>
      </c>
      <c r="Q439" s="195"/>
      <c r="R439" s="414">
        <f>All_Detail_v2[[#This Row],[Scheduled Date]]</f>
        <v>46161</v>
      </c>
      <c r="S439" s="414">
        <f>All_Detail_v2[[#This Row],[Install Date]]</f>
        <v>0</v>
      </c>
    </row>
    <row r="440" spans="1:19">
      <c r="A440">
        <v>436</v>
      </c>
      <c r="B440" s="687" t="s">
        <v>636</v>
      </c>
      <c r="C440" s="688" t="s">
        <v>637</v>
      </c>
      <c r="D440" s="689" t="s">
        <v>663</v>
      </c>
      <c r="E440" s="689" t="s">
        <v>375</v>
      </c>
      <c r="F440" s="689">
        <v>1</v>
      </c>
      <c r="G440" s="689"/>
      <c r="H440" s="695"/>
      <c r="I440" s="695">
        <v>46161</v>
      </c>
      <c r="J440" s="689" t="s">
        <v>365</v>
      </c>
      <c r="K440" t="str">
        <f t="shared" si="22"/>
        <v>Switch</v>
      </c>
      <c r="M440" s="412">
        <f t="shared" si="21"/>
        <v>0</v>
      </c>
      <c r="N440" s="412">
        <f t="shared" si="23"/>
        <v>0</v>
      </c>
      <c r="O440" s="412">
        <f>All_Detail_v2[[#This Row],[Qty. Success]]</f>
        <v>0</v>
      </c>
      <c r="P440" s="230">
        <f>IF(All_Detail_v2[[#This Row],[Qty]]=0,1,(M440+N440+O440)/(All_Detail_v2[[#This Row],[Qty]]*3))</f>
        <v>0</v>
      </c>
      <c r="Q440" s="195"/>
      <c r="R440" s="414">
        <f>All_Detail_v2[[#This Row],[Scheduled Date]]</f>
        <v>46161</v>
      </c>
      <c r="S440" s="414">
        <f>All_Detail_v2[[#This Row],[Install Date]]</f>
        <v>0</v>
      </c>
    </row>
    <row r="441" spans="1:19">
      <c r="A441">
        <v>437</v>
      </c>
      <c r="B441" s="687" t="s">
        <v>636</v>
      </c>
      <c r="C441" s="688" t="s">
        <v>637</v>
      </c>
      <c r="D441" s="689" t="s">
        <v>664</v>
      </c>
      <c r="E441" s="689" t="s">
        <v>370</v>
      </c>
      <c r="F441" s="689">
        <v>1</v>
      </c>
      <c r="G441" s="689"/>
      <c r="H441" s="695"/>
      <c r="I441" s="695">
        <v>46161</v>
      </c>
      <c r="J441" s="689" t="s">
        <v>365</v>
      </c>
      <c r="K441" t="str">
        <f t="shared" si="22"/>
        <v>Switch</v>
      </c>
      <c r="M441" s="412">
        <f t="shared" si="21"/>
        <v>0</v>
      </c>
      <c r="N441" s="412">
        <f t="shared" si="23"/>
        <v>0</v>
      </c>
      <c r="O441" s="412">
        <f>All_Detail_v2[[#This Row],[Qty. Success]]</f>
        <v>0</v>
      </c>
      <c r="P441" s="230">
        <f>IF(All_Detail_v2[[#This Row],[Qty]]=0,1,(M441+N441+O441)/(All_Detail_v2[[#This Row],[Qty]]*3))</f>
        <v>0</v>
      </c>
      <c r="Q441" s="195"/>
      <c r="R441" s="414">
        <f>All_Detail_v2[[#This Row],[Scheduled Date]]</f>
        <v>46161</v>
      </c>
      <c r="S441" s="414">
        <f>All_Detail_v2[[#This Row],[Install Date]]</f>
        <v>0</v>
      </c>
    </row>
    <row r="442" spans="1:19">
      <c r="A442">
        <v>438</v>
      </c>
      <c r="B442" s="687" t="s">
        <v>636</v>
      </c>
      <c r="C442" s="688" t="s">
        <v>637</v>
      </c>
      <c r="D442" s="689" t="s">
        <v>664</v>
      </c>
      <c r="E442" s="689" t="s">
        <v>375</v>
      </c>
      <c r="F442" s="689">
        <v>1</v>
      </c>
      <c r="G442" s="689"/>
      <c r="H442" s="695"/>
      <c r="I442" s="695">
        <v>46161</v>
      </c>
      <c r="J442" s="689" t="s">
        <v>365</v>
      </c>
      <c r="K442" t="str">
        <f t="shared" si="22"/>
        <v>Switch</v>
      </c>
      <c r="M442" s="412">
        <f t="shared" si="21"/>
        <v>0</v>
      </c>
      <c r="N442" s="412">
        <f t="shared" si="23"/>
        <v>0</v>
      </c>
      <c r="O442" s="412">
        <f>All_Detail_v2[[#This Row],[Qty. Success]]</f>
        <v>0</v>
      </c>
      <c r="P442" s="230">
        <f>IF(All_Detail_v2[[#This Row],[Qty]]=0,1,(M442+N442+O442)/(All_Detail_v2[[#This Row],[Qty]]*3))</f>
        <v>0</v>
      </c>
      <c r="Q442" s="195"/>
      <c r="R442" s="414">
        <f>All_Detail_v2[[#This Row],[Scheduled Date]]</f>
        <v>46161</v>
      </c>
      <c r="S442" s="414">
        <f>All_Detail_v2[[#This Row],[Install Date]]</f>
        <v>0</v>
      </c>
    </row>
    <row r="443" spans="1:19">
      <c r="A443">
        <v>439</v>
      </c>
      <c r="B443" s="687" t="s">
        <v>636</v>
      </c>
      <c r="C443" s="688" t="s">
        <v>637</v>
      </c>
      <c r="D443" s="689" t="s">
        <v>665</v>
      </c>
      <c r="E443" s="689" t="s">
        <v>370</v>
      </c>
      <c r="F443" s="689">
        <v>1</v>
      </c>
      <c r="G443" s="689"/>
      <c r="H443" s="695"/>
      <c r="I443" s="695">
        <v>46161</v>
      </c>
      <c r="J443" s="689" t="s">
        <v>365</v>
      </c>
      <c r="K443" t="str">
        <f t="shared" si="22"/>
        <v>Switch</v>
      </c>
      <c r="M443" s="412">
        <f t="shared" si="21"/>
        <v>0</v>
      </c>
      <c r="N443" s="412">
        <f t="shared" si="23"/>
        <v>0</v>
      </c>
      <c r="O443" s="412">
        <f>All_Detail_v2[[#This Row],[Qty. Success]]</f>
        <v>0</v>
      </c>
      <c r="P443" s="230">
        <f>IF(All_Detail_v2[[#This Row],[Qty]]=0,1,(M443+N443+O443)/(All_Detail_v2[[#This Row],[Qty]]*3))</f>
        <v>0</v>
      </c>
      <c r="Q443" s="195"/>
      <c r="R443" s="414">
        <f>All_Detail_v2[[#This Row],[Scheduled Date]]</f>
        <v>46161</v>
      </c>
      <c r="S443" s="414">
        <f>All_Detail_v2[[#This Row],[Install Date]]</f>
        <v>0</v>
      </c>
    </row>
    <row r="444" spans="1:19">
      <c r="A444">
        <v>440</v>
      </c>
      <c r="B444" s="687" t="s">
        <v>636</v>
      </c>
      <c r="C444" s="688" t="s">
        <v>637</v>
      </c>
      <c r="D444" s="689" t="s">
        <v>665</v>
      </c>
      <c r="E444" s="689" t="s">
        <v>375</v>
      </c>
      <c r="F444" s="689">
        <v>1</v>
      </c>
      <c r="G444" s="689"/>
      <c r="H444" s="695"/>
      <c r="I444" s="695">
        <v>46161</v>
      </c>
      <c r="J444" s="689" t="s">
        <v>365</v>
      </c>
      <c r="K444" t="str">
        <f t="shared" si="22"/>
        <v>Switch</v>
      </c>
      <c r="M444" s="412">
        <f t="shared" si="21"/>
        <v>0</v>
      </c>
      <c r="N444" s="412">
        <f t="shared" si="23"/>
        <v>0</v>
      </c>
      <c r="O444" s="412">
        <f>All_Detail_v2[[#This Row],[Qty. Success]]</f>
        <v>0</v>
      </c>
      <c r="P444" s="230">
        <f>IF(All_Detail_v2[[#This Row],[Qty]]=0,1,(M444+N444+O444)/(All_Detail_v2[[#This Row],[Qty]]*3))</f>
        <v>0</v>
      </c>
      <c r="Q444" s="195"/>
      <c r="R444" s="414">
        <f>All_Detail_v2[[#This Row],[Scheduled Date]]</f>
        <v>46161</v>
      </c>
      <c r="S444" s="414">
        <f>All_Detail_v2[[#This Row],[Install Date]]</f>
        <v>0</v>
      </c>
    </row>
    <row r="445" spans="1:19">
      <c r="A445">
        <v>441</v>
      </c>
      <c r="B445" s="687" t="s">
        <v>636</v>
      </c>
      <c r="C445" s="688" t="s">
        <v>637</v>
      </c>
      <c r="D445" s="689" t="s">
        <v>666</v>
      </c>
      <c r="E445" s="689" t="s">
        <v>370</v>
      </c>
      <c r="F445" s="689">
        <v>1</v>
      </c>
      <c r="G445" s="689"/>
      <c r="H445" s="695"/>
      <c r="I445" s="695">
        <v>46161</v>
      </c>
      <c r="J445" s="689" t="s">
        <v>365</v>
      </c>
      <c r="K445" t="str">
        <f t="shared" si="22"/>
        <v>Switch</v>
      </c>
      <c r="M445" s="412">
        <f t="shared" si="21"/>
        <v>0</v>
      </c>
      <c r="N445" s="412">
        <f t="shared" si="23"/>
        <v>0</v>
      </c>
      <c r="O445" s="412">
        <f>All_Detail_v2[[#This Row],[Qty. Success]]</f>
        <v>0</v>
      </c>
      <c r="P445" s="230">
        <f>IF(All_Detail_v2[[#This Row],[Qty]]=0,1,(M445+N445+O445)/(All_Detail_v2[[#This Row],[Qty]]*3))</f>
        <v>0</v>
      </c>
      <c r="Q445" s="195"/>
      <c r="R445" s="414">
        <f>All_Detail_v2[[#This Row],[Scheduled Date]]</f>
        <v>46161</v>
      </c>
      <c r="S445" s="414">
        <f>All_Detail_v2[[#This Row],[Install Date]]</f>
        <v>0</v>
      </c>
    </row>
    <row r="446" spans="1:19">
      <c r="A446">
        <v>442</v>
      </c>
      <c r="B446" s="687" t="s">
        <v>636</v>
      </c>
      <c r="C446" s="688" t="s">
        <v>637</v>
      </c>
      <c r="D446" s="689" t="s">
        <v>666</v>
      </c>
      <c r="E446" s="689" t="s">
        <v>375</v>
      </c>
      <c r="F446" s="689">
        <v>2</v>
      </c>
      <c r="G446" s="689"/>
      <c r="H446" s="695"/>
      <c r="I446" s="695">
        <v>46161</v>
      </c>
      <c r="J446" s="689" t="s">
        <v>365</v>
      </c>
      <c r="K446" t="str">
        <f t="shared" si="22"/>
        <v>Switch</v>
      </c>
      <c r="M446" s="412">
        <f t="shared" si="21"/>
        <v>0</v>
      </c>
      <c r="N446" s="412">
        <f t="shared" si="23"/>
        <v>0</v>
      </c>
      <c r="O446" s="412">
        <f>All_Detail_v2[[#This Row],[Qty. Success]]</f>
        <v>0</v>
      </c>
      <c r="P446" s="230">
        <f>IF(All_Detail_v2[[#This Row],[Qty]]=0,1,(M446+N446+O446)/(All_Detail_v2[[#This Row],[Qty]]*3))</f>
        <v>0</v>
      </c>
      <c r="Q446" s="195"/>
      <c r="R446" s="414">
        <f>All_Detail_v2[[#This Row],[Scheduled Date]]</f>
        <v>46161</v>
      </c>
      <c r="S446" s="414">
        <f>All_Detail_v2[[#This Row],[Install Date]]</f>
        <v>0</v>
      </c>
    </row>
    <row r="447" spans="1:19">
      <c r="A447">
        <v>443</v>
      </c>
      <c r="B447" s="687" t="s">
        <v>636</v>
      </c>
      <c r="C447" s="688" t="s">
        <v>637</v>
      </c>
      <c r="D447" s="689" t="s">
        <v>667</v>
      </c>
      <c r="E447" s="689" t="s">
        <v>370</v>
      </c>
      <c r="F447" s="689">
        <v>1</v>
      </c>
      <c r="G447" s="689"/>
      <c r="H447" s="695"/>
      <c r="I447" s="695">
        <v>46162</v>
      </c>
      <c r="J447" s="689" t="s">
        <v>365</v>
      </c>
      <c r="K447" t="str">
        <f t="shared" si="22"/>
        <v>Switch</v>
      </c>
      <c r="M447" s="412">
        <f t="shared" si="21"/>
        <v>0</v>
      </c>
      <c r="N447" s="412">
        <f t="shared" si="23"/>
        <v>0</v>
      </c>
      <c r="O447" s="412">
        <f>All_Detail_v2[[#This Row],[Qty. Success]]</f>
        <v>0</v>
      </c>
      <c r="P447" s="230">
        <f>IF(All_Detail_v2[[#This Row],[Qty]]=0,1,(M447+N447+O447)/(All_Detail_v2[[#This Row],[Qty]]*3))</f>
        <v>0</v>
      </c>
      <c r="Q447" s="195"/>
      <c r="R447" s="414">
        <f>All_Detail_v2[[#This Row],[Scheduled Date]]</f>
        <v>46162</v>
      </c>
      <c r="S447" s="414">
        <f>All_Detail_v2[[#This Row],[Install Date]]</f>
        <v>0</v>
      </c>
    </row>
    <row r="448" spans="1:19">
      <c r="A448">
        <v>444</v>
      </c>
      <c r="B448" s="687" t="s">
        <v>636</v>
      </c>
      <c r="C448" s="688" t="s">
        <v>637</v>
      </c>
      <c r="D448" s="689" t="s">
        <v>667</v>
      </c>
      <c r="E448" s="689" t="s">
        <v>375</v>
      </c>
      <c r="F448" s="689">
        <v>1</v>
      </c>
      <c r="G448" s="689"/>
      <c r="H448" s="695"/>
      <c r="I448" s="695">
        <v>46162</v>
      </c>
      <c r="J448" s="689" t="s">
        <v>365</v>
      </c>
      <c r="K448" t="str">
        <f t="shared" si="22"/>
        <v>Switch</v>
      </c>
      <c r="M448" s="412">
        <f t="shared" si="21"/>
        <v>0</v>
      </c>
      <c r="N448" s="412">
        <f t="shared" si="23"/>
        <v>0</v>
      </c>
      <c r="O448" s="412">
        <f>All_Detail_v2[[#This Row],[Qty. Success]]</f>
        <v>0</v>
      </c>
      <c r="P448" s="230">
        <f>IF(All_Detail_v2[[#This Row],[Qty]]=0,1,(M448+N448+O448)/(All_Detail_v2[[#This Row],[Qty]]*3))</f>
        <v>0</v>
      </c>
      <c r="Q448" s="195"/>
      <c r="R448" s="414">
        <f>All_Detail_v2[[#This Row],[Scheduled Date]]</f>
        <v>46162</v>
      </c>
      <c r="S448" s="414">
        <f>All_Detail_v2[[#This Row],[Install Date]]</f>
        <v>0</v>
      </c>
    </row>
    <row r="449" spans="1:19">
      <c r="A449">
        <v>445</v>
      </c>
      <c r="B449" s="687" t="s">
        <v>636</v>
      </c>
      <c r="C449" s="688" t="s">
        <v>637</v>
      </c>
      <c r="D449" s="689" t="s">
        <v>668</v>
      </c>
      <c r="E449" s="689" t="s">
        <v>370</v>
      </c>
      <c r="F449" s="689">
        <v>1</v>
      </c>
      <c r="G449" s="689"/>
      <c r="H449" s="695"/>
      <c r="I449" s="695">
        <v>46162</v>
      </c>
      <c r="J449" s="689" t="s">
        <v>365</v>
      </c>
      <c r="K449" t="str">
        <f t="shared" si="22"/>
        <v>Switch</v>
      </c>
      <c r="M449" s="412">
        <f t="shared" si="21"/>
        <v>0</v>
      </c>
      <c r="N449" s="412">
        <f t="shared" si="23"/>
        <v>0</v>
      </c>
      <c r="O449" s="412">
        <f>All_Detail_v2[[#This Row],[Qty. Success]]</f>
        <v>0</v>
      </c>
      <c r="P449" s="230">
        <f>IF(All_Detail_v2[[#This Row],[Qty]]=0,1,(M449+N449+O449)/(All_Detail_v2[[#This Row],[Qty]]*3))</f>
        <v>0</v>
      </c>
      <c r="Q449" s="195"/>
      <c r="R449" s="414">
        <f>All_Detail_v2[[#This Row],[Scheduled Date]]</f>
        <v>46162</v>
      </c>
      <c r="S449" s="414">
        <f>All_Detail_v2[[#This Row],[Install Date]]</f>
        <v>0</v>
      </c>
    </row>
    <row r="450" spans="1:19">
      <c r="A450">
        <v>446</v>
      </c>
      <c r="B450" s="687" t="s">
        <v>636</v>
      </c>
      <c r="C450" s="688" t="s">
        <v>637</v>
      </c>
      <c r="D450" s="689" t="s">
        <v>668</v>
      </c>
      <c r="E450" s="689" t="s">
        <v>375</v>
      </c>
      <c r="F450" s="689">
        <v>1</v>
      </c>
      <c r="G450" s="689"/>
      <c r="H450" s="695"/>
      <c r="I450" s="695">
        <v>46162</v>
      </c>
      <c r="J450" s="689" t="s">
        <v>365</v>
      </c>
      <c r="K450" t="str">
        <f t="shared" si="22"/>
        <v>Switch</v>
      </c>
      <c r="M450" s="412">
        <f t="shared" ref="M450:M513" si="24">O450</f>
        <v>0</v>
      </c>
      <c r="N450" s="412">
        <f t="shared" si="23"/>
        <v>0</v>
      </c>
      <c r="O450" s="412">
        <f>All_Detail_v2[[#This Row],[Qty. Success]]</f>
        <v>0</v>
      </c>
      <c r="P450" s="230">
        <f>IF(All_Detail_v2[[#This Row],[Qty]]=0,1,(M450+N450+O450)/(All_Detail_v2[[#This Row],[Qty]]*3))</f>
        <v>0</v>
      </c>
      <c r="Q450" s="195"/>
      <c r="R450" s="414">
        <f>All_Detail_v2[[#This Row],[Scheduled Date]]</f>
        <v>46162</v>
      </c>
      <c r="S450" s="414">
        <f>All_Detail_v2[[#This Row],[Install Date]]</f>
        <v>0</v>
      </c>
    </row>
    <row r="451" spans="1:19" ht="21" customHeight="1">
      <c r="A451">
        <v>447</v>
      </c>
      <c r="B451" s="687" t="s">
        <v>636</v>
      </c>
      <c r="C451" s="688" t="s">
        <v>637</v>
      </c>
      <c r="D451" s="689" t="s">
        <v>669</v>
      </c>
      <c r="E451" s="689" t="s">
        <v>370</v>
      </c>
      <c r="F451" s="689">
        <v>1</v>
      </c>
      <c r="G451" s="689"/>
      <c r="H451" s="695"/>
      <c r="I451" s="695">
        <v>46162</v>
      </c>
      <c r="J451" s="689" t="s">
        <v>365</v>
      </c>
      <c r="K451" t="str">
        <f t="shared" ref="K451:K514" si="25">IF(ISNUMBER(SEARCH("Access Point",E451)),"AP",IF(OR(ISNUMBER(SEARCH("Switch",E451)),ISNUMBER(SEARCH("Control Type",E451))),"Switch","Infra"))</f>
        <v>Switch</v>
      </c>
      <c r="M451" s="412">
        <f t="shared" si="24"/>
        <v>0</v>
      </c>
      <c r="N451" s="412">
        <f t="shared" si="23"/>
        <v>0</v>
      </c>
      <c r="O451" s="412">
        <f>All_Detail_v2[[#This Row],[Qty. Success]]</f>
        <v>0</v>
      </c>
      <c r="P451" s="230">
        <f>IF(All_Detail_v2[[#This Row],[Qty]]=0,1,(M451+N451+O451)/(All_Detail_v2[[#This Row],[Qty]]*3))</f>
        <v>0</v>
      </c>
      <c r="Q451" s="195"/>
      <c r="R451" s="414">
        <f>All_Detail_v2[[#This Row],[Scheduled Date]]</f>
        <v>46162</v>
      </c>
      <c r="S451" s="414">
        <f>All_Detail_v2[[#This Row],[Install Date]]</f>
        <v>0</v>
      </c>
    </row>
    <row r="452" spans="1:19">
      <c r="A452">
        <v>448</v>
      </c>
      <c r="B452" s="687" t="s">
        <v>636</v>
      </c>
      <c r="C452" s="688" t="s">
        <v>637</v>
      </c>
      <c r="D452" s="689" t="s">
        <v>669</v>
      </c>
      <c r="E452" s="689" t="s">
        <v>375</v>
      </c>
      <c r="F452" s="689">
        <v>1</v>
      </c>
      <c r="G452" s="689"/>
      <c r="H452" s="695"/>
      <c r="I452" s="695">
        <v>46162</v>
      </c>
      <c r="J452" s="689" t="s">
        <v>365</v>
      </c>
      <c r="K452" t="str">
        <f t="shared" si="25"/>
        <v>Switch</v>
      </c>
      <c r="M452" s="412">
        <f t="shared" si="24"/>
        <v>0</v>
      </c>
      <c r="N452" s="412">
        <f t="shared" si="23"/>
        <v>0</v>
      </c>
      <c r="O452" s="412">
        <f>All_Detail_v2[[#This Row],[Qty. Success]]</f>
        <v>0</v>
      </c>
      <c r="P452" s="230">
        <f>IF(All_Detail_v2[[#This Row],[Qty]]=0,1,(M452+N452+O452)/(All_Detail_v2[[#This Row],[Qty]]*3))</f>
        <v>0</v>
      </c>
      <c r="Q452" s="195"/>
      <c r="R452" s="414">
        <f>All_Detail_v2[[#This Row],[Scheduled Date]]</f>
        <v>46162</v>
      </c>
      <c r="S452" s="414">
        <f>All_Detail_v2[[#This Row],[Install Date]]</f>
        <v>0</v>
      </c>
    </row>
    <row r="453" spans="1:19">
      <c r="A453">
        <v>449</v>
      </c>
      <c r="B453" s="687" t="s">
        <v>636</v>
      </c>
      <c r="C453" s="688" t="s">
        <v>637</v>
      </c>
      <c r="D453" s="689" t="s">
        <v>670</v>
      </c>
      <c r="E453" s="689" t="s">
        <v>370</v>
      </c>
      <c r="F453" s="689">
        <v>1</v>
      </c>
      <c r="G453" s="689"/>
      <c r="H453" s="695"/>
      <c r="I453" s="695">
        <v>46162</v>
      </c>
      <c r="J453" s="689" t="s">
        <v>365</v>
      </c>
      <c r="K453" t="str">
        <f t="shared" si="25"/>
        <v>Switch</v>
      </c>
      <c r="M453" s="412">
        <f t="shared" si="24"/>
        <v>0</v>
      </c>
      <c r="N453" s="412">
        <f t="shared" si="23"/>
        <v>0</v>
      </c>
      <c r="O453" s="412">
        <f>All_Detail_v2[[#This Row],[Qty. Success]]</f>
        <v>0</v>
      </c>
      <c r="P453" s="230">
        <f>IF(All_Detail_v2[[#This Row],[Qty]]=0,1,(M453+N453+O453)/(All_Detail_v2[[#This Row],[Qty]]*3))</f>
        <v>0</v>
      </c>
      <c r="Q453" s="195"/>
      <c r="R453" s="414">
        <f>All_Detail_v2[[#This Row],[Scheduled Date]]</f>
        <v>46162</v>
      </c>
      <c r="S453" s="414">
        <f>All_Detail_v2[[#This Row],[Install Date]]</f>
        <v>0</v>
      </c>
    </row>
    <row r="454" spans="1:19">
      <c r="A454">
        <v>450</v>
      </c>
      <c r="B454" s="687" t="s">
        <v>636</v>
      </c>
      <c r="C454" s="688" t="s">
        <v>637</v>
      </c>
      <c r="D454" s="689" t="s">
        <v>670</v>
      </c>
      <c r="E454" s="689" t="s">
        <v>375</v>
      </c>
      <c r="F454" s="689">
        <v>1</v>
      </c>
      <c r="G454" s="689"/>
      <c r="H454" s="695"/>
      <c r="I454" s="695">
        <v>46162</v>
      </c>
      <c r="J454" s="689" t="s">
        <v>365</v>
      </c>
      <c r="K454" t="str">
        <f t="shared" si="25"/>
        <v>Switch</v>
      </c>
      <c r="M454" s="412">
        <f t="shared" si="24"/>
        <v>0</v>
      </c>
      <c r="N454" s="412">
        <f t="shared" ref="N454:N517" si="26">O454</f>
        <v>0</v>
      </c>
      <c r="O454" s="412">
        <f>All_Detail_v2[[#This Row],[Qty. Success]]</f>
        <v>0</v>
      </c>
      <c r="P454" s="230">
        <f>IF(All_Detail_v2[[#This Row],[Qty]]=0,1,(M454+N454+O454)/(All_Detail_v2[[#This Row],[Qty]]*3))</f>
        <v>0</v>
      </c>
      <c r="Q454" s="195"/>
      <c r="R454" s="414">
        <f>All_Detail_v2[[#This Row],[Scheduled Date]]</f>
        <v>46162</v>
      </c>
      <c r="S454" s="414">
        <f>All_Detail_v2[[#This Row],[Install Date]]</f>
        <v>0</v>
      </c>
    </row>
    <row r="455" spans="1:19">
      <c r="A455">
        <v>451</v>
      </c>
      <c r="B455" s="687" t="s">
        <v>636</v>
      </c>
      <c r="C455" s="688" t="s">
        <v>637</v>
      </c>
      <c r="D455" s="689" t="s">
        <v>671</v>
      </c>
      <c r="E455" s="689" t="s">
        <v>370</v>
      </c>
      <c r="F455" s="689">
        <v>1</v>
      </c>
      <c r="G455" s="689"/>
      <c r="H455" s="695"/>
      <c r="I455" s="695">
        <v>46162</v>
      </c>
      <c r="J455" s="689" t="s">
        <v>365</v>
      </c>
      <c r="K455" t="str">
        <f t="shared" si="25"/>
        <v>Switch</v>
      </c>
      <c r="M455" s="412">
        <f t="shared" si="24"/>
        <v>0</v>
      </c>
      <c r="N455" s="412">
        <f t="shared" si="26"/>
        <v>0</v>
      </c>
      <c r="O455" s="412">
        <f>All_Detail_v2[[#This Row],[Qty. Success]]</f>
        <v>0</v>
      </c>
      <c r="P455" s="230">
        <f>IF(All_Detail_v2[[#This Row],[Qty]]=0,1,(M455+N455+O455)/(All_Detail_v2[[#This Row],[Qty]]*3))</f>
        <v>0</v>
      </c>
      <c r="Q455" s="195"/>
      <c r="R455" s="414">
        <f>All_Detail_v2[[#This Row],[Scheduled Date]]</f>
        <v>46162</v>
      </c>
      <c r="S455" s="414">
        <f>All_Detail_v2[[#This Row],[Install Date]]</f>
        <v>0</v>
      </c>
    </row>
    <row r="456" spans="1:19">
      <c r="A456">
        <v>452</v>
      </c>
      <c r="B456" s="687" t="s">
        <v>636</v>
      </c>
      <c r="C456" s="688" t="s">
        <v>637</v>
      </c>
      <c r="D456" s="689" t="s">
        <v>671</v>
      </c>
      <c r="E456" s="689" t="s">
        <v>375</v>
      </c>
      <c r="F456" s="689">
        <v>1</v>
      </c>
      <c r="G456" s="689"/>
      <c r="H456" s="695"/>
      <c r="I456" s="695">
        <v>46162</v>
      </c>
      <c r="J456" s="689" t="s">
        <v>365</v>
      </c>
      <c r="K456" t="str">
        <f t="shared" si="25"/>
        <v>Switch</v>
      </c>
      <c r="M456" s="412">
        <f t="shared" si="24"/>
        <v>0</v>
      </c>
      <c r="N456" s="412">
        <f t="shared" si="26"/>
        <v>0</v>
      </c>
      <c r="O456" s="412">
        <f>All_Detail_v2[[#This Row],[Qty. Success]]</f>
        <v>0</v>
      </c>
      <c r="P456" s="230">
        <f>IF(All_Detail_v2[[#This Row],[Qty]]=0,1,(M456+N456+O456)/(All_Detail_v2[[#This Row],[Qty]]*3))</f>
        <v>0</v>
      </c>
      <c r="Q456" s="195"/>
      <c r="R456" s="414">
        <f>All_Detail_v2[[#This Row],[Scheduled Date]]</f>
        <v>46162</v>
      </c>
      <c r="S456" s="414">
        <f>All_Detail_v2[[#This Row],[Install Date]]</f>
        <v>0</v>
      </c>
    </row>
    <row r="457" spans="1:19">
      <c r="A457">
        <v>453</v>
      </c>
      <c r="B457" s="687" t="s">
        <v>636</v>
      </c>
      <c r="C457" s="688" t="s">
        <v>637</v>
      </c>
      <c r="D457" s="689" t="s">
        <v>672</v>
      </c>
      <c r="E457" s="689" t="s">
        <v>370</v>
      </c>
      <c r="F457" s="689">
        <v>1</v>
      </c>
      <c r="G457" s="689"/>
      <c r="H457" s="695"/>
      <c r="I457" s="695">
        <v>46162</v>
      </c>
      <c r="J457" s="689" t="s">
        <v>365</v>
      </c>
      <c r="K457" t="str">
        <f t="shared" si="25"/>
        <v>Switch</v>
      </c>
      <c r="M457" s="412">
        <f t="shared" si="24"/>
        <v>0</v>
      </c>
      <c r="N457" s="412">
        <f t="shared" si="26"/>
        <v>0</v>
      </c>
      <c r="O457" s="412">
        <f>All_Detail_v2[[#This Row],[Qty. Success]]</f>
        <v>0</v>
      </c>
      <c r="P457" s="230">
        <f>IF(All_Detail_v2[[#This Row],[Qty]]=0,1,(M457+N457+O457)/(All_Detail_v2[[#This Row],[Qty]]*3))</f>
        <v>0</v>
      </c>
      <c r="Q457" s="195"/>
      <c r="R457" s="414">
        <f>All_Detail_v2[[#This Row],[Scheduled Date]]</f>
        <v>46162</v>
      </c>
      <c r="S457" s="414">
        <f>All_Detail_v2[[#This Row],[Install Date]]</f>
        <v>0</v>
      </c>
    </row>
    <row r="458" spans="1:19">
      <c r="A458">
        <v>454</v>
      </c>
      <c r="B458" s="687" t="s">
        <v>636</v>
      </c>
      <c r="C458" s="688" t="s">
        <v>637</v>
      </c>
      <c r="D458" s="689" t="s">
        <v>672</v>
      </c>
      <c r="E458" s="689" t="s">
        <v>375</v>
      </c>
      <c r="F458" s="689">
        <v>1</v>
      </c>
      <c r="G458" s="689"/>
      <c r="H458" s="695"/>
      <c r="I458" s="695">
        <v>46162</v>
      </c>
      <c r="J458" s="689" t="s">
        <v>365</v>
      </c>
      <c r="K458" t="str">
        <f t="shared" si="25"/>
        <v>Switch</v>
      </c>
      <c r="M458" s="412">
        <f t="shared" si="24"/>
        <v>0</v>
      </c>
      <c r="N458" s="412">
        <f t="shared" si="26"/>
        <v>0</v>
      </c>
      <c r="O458" s="412">
        <f>All_Detail_v2[[#This Row],[Qty. Success]]</f>
        <v>0</v>
      </c>
      <c r="P458" s="230">
        <f>IF(All_Detail_v2[[#This Row],[Qty]]=0,1,(M458+N458+O458)/(All_Detail_v2[[#This Row],[Qty]]*3))</f>
        <v>0</v>
      </c>
      <c r="Q458" s="195"/>
      <c r="R458" s="414">
        <f>All_Detail_v2[[#This Row],[Scheduled Date]]</f>
        <v>46162</v>
      </c>
      <c r="S458" s="414">
        <f>All_Detail_v2[[#This Row],[Install Date]]</f>
        <v>0</v>
      </c>
    </row>
    <row r="459" spans="1:19">
      <c r="A459">
        <v>455</v>
      </c>
      <c r="B459" s="687" t="s">
        <v>636</v>
      </c>
      <c r="C459" s="688" t="s">
        <v>637</v>
      </c>
      <c r="D459" s="689" t="s">
        <v>673</v>
      </c>
      <c r="E459" s="689" t="s">
        <v>370</v>
      </c>
      <c r="F459" s="689">
        <v>1</v>
      </c>
      <c r="G459" s="689"/>
      <c r="H459" s="695"/>
      <c r="I459" s="695">
        <v>46163</v>
      </c>
      <c r="J459" s="689" t="s">
        <v>365</v>
      </c>
      <c r="K459" t="str">
        <f t="shared" si="25"/>
        <v>Switch</v>
      </c>
      <c r="M459" s="412">
        <f t="shared" si="24"/>
        <v>0</v>
      </c>
      <c r="N459" s="412">
        <f t="shared" si="26"/>
        <v>0</v>
      </c>
      <c r="O459" s="412">
        <f>All_Detail_v2[[#This Row],[Qty. Success]]</f>
        <v>0</v>
      </c>
      <c r="P459" s="230">
        <f>IF(All_Detail_v2[[#This Row],[Qty]]=0,1,(M459+N459+O459)/(All_Detail_v2[[#This Row],[Qty]]*3))</f>
        <v>0</v>
      </c>
      <c r="Q459" s="195"/>
      <c r="R459" s="414">
        <f>All_Detail_v2[[#This Row],[Scheduled Date]]</f>
        <v>46163</v>
      </c>
      <c r="S459" s="414">
        <f>All_Detail_v2[[#This Row],[Install Date]]</f>
        <v>0</v>
      </c>
    </row>
    <row r="460" spans="1:19">
      <c r="A460">
        <v>456</v>
      </c>
      <c r="B460" s="687" t="s">
        <v>636</v>
      </c>
      <c r="C460" s="688" t="s">
        <v>637</v>
      </c>
      <c r="D460" s="689" t="s">
        <v>673</v>
      </c>
      <c r="E460" s="689" t="s">
        <v>375</v>
      </c>
      <c r="F460" s="689">
        <v>1</v>
      </c>
      <c r="G460" s="689"/>
      <c r="H460" s="695"/>
      <c r="I460" s="695">
        <v>46163</v>
      </c>
      <c r="J460" s="689" t="s">
        <v>365</v>
      </c>
      <c r="K460" t="str">
        <f t="shared" si="25"/>
        <v>Switch</v>
      </c>
      <c r="M460" s="412">
        <f t="shared" si="24"/>
        <v>0</v>
      </c>
      <c r="N460" s="412">
        <f t="shared" si="26"/>
        <v>0</v>
      </c>
      <c r="O460" s="412">
        <f>All_Detail_v2[[#This Row],[Qty. Success]]</f>
        <v>0</v>
      </c>
      <c r="P460" s="230">
        <f>IF(All_Detail_v2[[#This Row],[Qty]]=0,1,(M460+N460+O460)/(All_Detail_v2[[#This Row],[Qty]]*3))</f>
        <v>0</v>
      </c>
      <c r="Q460" s="195"/>
      <c r="R460" s="414">
        <f>All_Detail_v2[[#This Row],[Scheduled Date]]</f>
        <v>46163</v>
      </c>
      <c r="S460" s="414">
        <f>All_Detail_v2[[#This Row],[Install Date]]</f>
        <v>0</v>
      </c>
    </row>
    <row r="461" spans="1:19">
      <c r="A461">
        <v>457</v>
      </c>
      <c r="B461" s="687" t="s">
        <v>636</v>
      </c>
      <c r="C461" s="688" t="s">
        <v>637</v>
      </c>
      <c r="D461" s="689" t="s">
        <v>674</v>
      </c>
      <c r="E461" s="689" t="s">
        <v>370</v>
      </c>
      <c r="F461" s="689">
        <v>1</v>
      </c>
      <c r="G461" s="689"/>
      <c r="H461" s="695"/>
      <c r="I461" s="695">
        <v>46163</v>
      </c>
      <c r="J461" s="689" t="s">
        <v>365</v>
      </c>
      <c r="K461" t="str">
        <f t="shared" si="25"/>
        <v>Switch</v>
      </c>
      <c r="M461" s="412">
        <f t="shared" si="24"/>
        <v>0</v>
      </c>
      <c r="N461" s="412">
        <f t="shared" si="26"/>
        <v>0</v>
      </c>
      <c r="O461" s="412">
        <f>All_Detail_v2[[#This Row],[Qty. Success]]</f>
        <v>0</v>
      </c>
      <c r="P461" s="230">
        <f>IF(All_Detail_v2[[#This Row],[Qty]]=0,1,(M461+N461+O461)/(All_Detail_v2[[#This Row],[Qty]]*3))</f>
        <v>0</v>
      </c>
      <c r="Q461" s="195"/>
      <c r="R461" s="414">
        <f>All_Detail_v2[[#This Row],[Scheduled Date]]</f>
        <v>46163</v>
      </c>
      <c r="S461" s="414">
        <f>All_Detail_v2[[#This Row],[Install Date]]</f>
        <v>0</v>
      </c>
    </row>
    <row r="462" spans="1:19">
      <c r="A462">
        <v>458</v>
      </c>
      <c r="B462" s="687" t="s">
        <v>636</v>
      </c>
      <c r="C462" s="688" t="s">
        <v>637</v>
      </c>
      <c r="D462" s="689" t="s">
        <v>674</v>
      </c>
      <c r="E462" s="689" t="s">
        <v>375</v>
      </c>
      <c r="F462" s="689">
        <v>1</v>
      </c>
      <c r="G462" s="689"/>
      <c r="H462" s="695"/>
      <c r="I462" s="695">
        <v>46163</v>
      </c>
      <c r="J462" s="689" t="s">
        <v>365</v>
      </c>
      <c r="K462" t="str">
        <f t="shared" si="25"/>
        <v>Switch</v>
      </c>
      <c r="M462" s="412">
        <f t="shared" si="24"/>
        <v>0</v>
      </c>
      <c r="N462" s="412">
        <f t="shared" si="26"/>
        <v>0</v>
      </c>
      <c r="O462" s="412">
        <f>All_Detail_v2[[#This Row],[Qty. Success]]</f>
        <v>0</v>
      </c>
      <c r="P462" s="230">
        <f>IF(All_Detail_v2[[#This Row],[Qty]]=0,1,(M462+N462+O462)/(All_Detail_v2[[#This Row],[Qty]]*3))</f>
        <v>0</v>
      </c>
      <c r="Q462" s="195"/>
      <c r="R462" s="414">
        <f>All_Detail_v2[[#This Row],[Scheduled Date]]</f>
        <v>46163</v>
      </c>
      <c r="S462" s="414">
        <f>All_Detail_v2[[#This Row],[Install Date]]</f>
        <v>0</v>
      </c>
    </row>
    <row r="463" spans="1:19">
      <c r="A463">
        <v>459</v>
      </c>
      <c r="B463" s="687" t="s">
        <v>636</v>
      </c>
      <c r="C463" s="688" t="s">
        <v>637</v>
      </c>
      <c r="D463" s="689" t="s">
        <v>675</v>
      </c>
      <c r="E463" s="689" t="s">
        <v>370</v>
      </c>
      <c r="F463" s="689">
        <v>1</v>
      </c>
      <c r="G463" s="689"/>
      <c r="H463" s="695"/>
      <c r="I463" s="695">
        <v>46163</v>
      </c>
      <c r="J463" s="689" t="s">
        <v>365</v>
      </c>
      <c r="K463" t="str">
        <f t="shared" si="25"/>
        <v>Switch</v>
      </c>
      <c r="M463" s="412">
        <f t="shared" si="24"/>
        <v>0</v>
      </c>
      <c r="N463" s="412">
        <f t="shared" si="26"/>
        <v>0</v>
      </c>
      <c r="O463" s="412">
        <f>All_Detail_v2[[#This Row],[Qty. Success]]</f>
        <v>0</v>
      </c>
      <c r="P463" s="230">
        <f>IF(All_Detail_v2[[#This Row],[Qty]]=0,1,(M463+N463+O463)/(All_Detail_v2[[#This Row],[Qty]]*3))</f>
        <v>0</v>
      </c>
      <c r="Q463" s="195"/>
      <c r="R463" s="414">
        <f>All_Detail_v2[[#This Row],[Scheduled Date]]</f>
        <v>46163</v>
      </c>
      <c r="S463" s="414">
        <f>All_Detail_v2[[#This Row],[Install Date]]</f>
        <v>0</v>
      </c>
    </row>
    <row r="464" spans="1:19">
      <c r="A464">
        <v>460</v>
      </c>
      <c r="B464" s="687" t="s">
        <v>636</v>
      </c>
      <c r="C464" s="688" t="s">
        <v>637</v>
      </c>
      <c r="D464" s="689" t="s">
        <v>676</v>
      </c>
      <c r="E464" s="689" t="s">
        <v>370</v>
      </c>
      <c r="F464" s="689">
        <v>2</v>
      </c>
      <c r="G464" s="689"/>
      <c r="H464" s="695"/>
      <c r="I464" s="695">
        <v>46163</v>
      </c>
      <c r="J464" s="689" t="s">
        <v>365</v>
      </c>
      <c r="K464" t="str">
        <f t="shared" si="25"/>
        <v>Switch</v>
      </c>
      <c r="M464" s="412">
        <f t="shared" si="24"/>
        <v>0</v>
      </c>
      <c r="N464" s="412">
        <f t="shared" si="26"/>
        <v>0</v>
      </c>
      <c r="O464" s="412">
        <f>All_Detail_v2[[#This Row],[Qty. Success]]</f>
        <v>0</v>
      </c>
      <c r="P464" s="230">
        <f>IF(All_Detail_v2[[#This Row],[Qty]]=0,1,(M464+N464+O464)/(All_Detail_v2[[#This Row],[Qty]]*3))</f>
        <v>0</v>
      </c>
      <c r="Q464" s="195"/>
      <c r="R464" s="414">
        <f>All_Detail_v2[[#This Row],[Scheduled Date]]</f>
        <v>46163</v>
      </c>
      <c r="S464" s="414">
        <f>All_Detail_v2[[#This Row],[Install Date]]</f>
        <v>0</v>
      </c>
    </row>
    <row r="465" spans="1:19">
      <c r="A465">
        <v>461</v>
      </c>
      <c r="B465" s="687" t="s">
        <v>636</v>
      </c>
      <c r="C465" s="688" t="s">
        <v>637</v>
      </c>
      <c r="D465" s="689" t="s">
        <v>676</v>
      </c>
      <c r="E465" s="689" t="s">
        <v>375</v>
      </c>
      <c r="F465" s="689">
        <v>1</v>
      </c>
      <c r="G465" s="689"/>
      <c r="H465" s="695"/>
      <c r="I465" s="695">
        <v>46163</v>
      </c>
      <c r="J465" s="689" t="s">
        <v>365</v>
      </c>
      <c r="K465" t="str">
        <f t="shared" si="25"/>
        <v>Switch</v>
      </c>
      <c r="M465" s="412">
        <f t="shared" si="24"/>
        <v>0</v>
      </c>
      <c r="N465" s="412">
        <f t="shared" si="26"/>
        <v>0</v>
      </c>
      <c r="O465" s="412">
        <f>All_Detail_v2[[#This Row],[Qty. Success]]</f>
        <v>0</v>
      </c>
      <c r="P465" s="230">
        <f>IF(All_Detail_v2[[#This Row],[Qty]]=0,1,(M465+N465+O465)/(All_Detail_v2[[#This Row],[Qty]]*3))</f>
        <v>0</v>
      </c>
      <c r="Q465" s="195"/>
      <c r="R465" s="414">
        <f>All_Detail_v2[[#This Row],[Scheduled Date]]</f>
        <v>46163</v>
      </c>
      <c r="S465" s="414">
        <f>All_Detail_v2[[#This Row],[Install Date]]</f>
        <v>0</v>
      </c>
    </row>
    <row r="466" spans="1:19">
      <c r="A466">
        <v>462</v>
      </c>
      <c r="B466" s="687" t="s">
        <v>636</v>
      </c>
      <c r="C466" s="688" t="s">
        <v>637</v>
      </c>
      <c r="D466" s="689" t="s">
        <v>677</v>
      </c>
      <c r="E466" s="689" t="s">
        <v>370</v>
      </c>
      <c r="F466" s="689">
        <v>2</v>
      </c>
      <c r="G466" s="689"/>
      <c r="H466" s="695"/>
      <c r="I466" s="695">
        <v>46163</v>
      </c>
      <c r="J466" s="689" t="s">
        <v>365</v>
      </c>
      <c r="K466" t="str">
        <f t="shared" si="25"/>
        <v>Switch</v>
      </c>
      <c r="M466" s="412">
        <f t="shared" si="24"/>
        <v>0</v>
      </c>
      <c r="N466" s="412">
        <f t="shared" si="26"/>
        <v>0</v>
      </c>
      <c r="O466" s="412">
        <f>All_Detail_v2[[#This Row],[Qty. Success]]</f>
        <v>0</v>
      </c>
      <c r="P466" s="230">
        <f>IF(All_Detail_v2[[#This Row],[Qty]]=0,1,(M466+N466+O466)/(All_Detail_v2[[#This Row],[Qty]]*3))</f>
        <v>0</v>
      </c>
      <c r="Q466" s="195"/>
      <c r="R466" s="414">
        <f>All_Detail_v2[[#This Row],[Scheduled Date]]</f>
        <v>46163</v>
      </c>
      <c r="S466" s="414">
        <f>All_Detail_v2[[#This Row],[Install Date]]</f>
        <v>0</v>
      </c>
    </row>
    <row r="467" spans="1:19">
      <c r="A467">
        <v>463</v>
      </c>
      <c r="B467" s="687" t="s">
        <v>636</v>
      </c>
      <c r="C467" s="688" t="s">
        <v>637</v>
      </c>
      <c r="D467" s="689" t="s">
        <v>677</v>
      </c>
      <c r="E467" s="689" t="s">
        <v>375</v>
      </c>
      <c r="F467" s="689">
        <v>1</v>
      </c>
      <c r="G467" s="689"/>
      <c r="H467" s="695"/>
      <c r="I467" s="695">
        <v>46163</v>
      </c>
      <c r="J467" s="689" t="s">
        <v>365</v>
      </c>
      <c r="K467" t="str">
        <f t="shared" si="25"/>
        <v>Switch</v>
      </c>
      <c r="M467" s="412">
        <f t="shared" si="24"/>
        <v>0</v>
      </c>
      <c r="N467" s="412">
        <f t="shared" si="26"/>
        <v>0</v>
      </c>
      <c r="O467" s="412">
        <f>All_Detail_v2[[#This Row],[Qty. Success]]</f>
        <v>0</v>
      </c>
      <c r="P467" s="230">
        <f>IF(All_Detail_v2[[#This Row],[Qty]]=0,1,(M467+N467+O467)/(All_Detail_v2[[#This Row],[Qty]]*3))</f>
        <v>0</v>
      </c>
      <c r="Q467" s="195"/>
      <c r="R467" s="414">
        <f>All_Detail_v2[[#This Row],[Scheduled Date]]</f>
        <v>46163</v>
      </c>
      <c r="S467" s="414">
        <f>All_Detail_v2[[#This Row],[Install Date]]</f>
        <v>0</v>
      </c>
    </row>
    <row r="468" spans="1:19">
      <c r="A468">
        <v>464</v>
      </c>
      <c r="B468" s="687" t="s">
        <v>636</v>
      </c>
      <c r="C468" s="688" t="s">
        <v>637</v>
      </c>
      <c r="D468" s="689" t="s">
        <v>678</v>
      </c>
      <c r="E468" s="689" t="s">
        <v>370</v>
      </c>
      <c r="F468" s="689">
        <v>2</v>
      </c>
      <c r="G468" s="689"/>
      <c r="H468" s="695"/>
      <c r="I468" s="695">
        <v>46164</v>
      </c>
      <c r="J468" s="689" t="s">
        <v>365</v>
      </c>
      <c r="K468" t="str">
        <f t="shared" si="25"/>
        <v>Switch</v>
      </c>
      <c r="M468" s="412">
        <f t="shared" si="24"/>
        <v>0</v>
      </c>
      <c r="N468" s="412">
        <f t="shared" si="26"/>
        <v>0</v>
      </c>
      <c r="O468" s="412">
        <f>All_Detail_v2[[#This Row],[Qty. Success]]</f>
        <v>0</v>
      </c>
      <c r="P468" s="230">
        <f>IF(All_Detail_v2[[#This Row],[Qty]]=0,1,(M468+N468+O468)/(All_Detail_v2[[#This Row],[Qty]]*3))</f>
        <v>0</v>
      </c>
      <c r="Q468" s="195"/>
      <c r="R468" s="414">
        <f>All_Detail_v2[[#This Row],[Scheduled Date]]</f>
        <v>46164</v>
      </c>
      <c r="S468" s="414">
        <f>All_Detail_v2[[#This Row],[Install Date]]</f>
        <v>0</v>
      </c>
    </row>
    <row r="469" spans="1:19">
      <c r="A469">
        <v>465</v>
      </c>
      <c r="B469" s="687" t="s">
        <v>636</v>
      </c>
      <c r="C469" s="688" t="s">
        <v>637</v>
      </c>
      <c r="D469" s="689" t="s">
        <v>678</v>
      </c>
      <c r="E469" s="689" t="s">
        <v>375</v>
      </c>
      <c r="F469" s="689">
        <v>1</v>
      </c>
      <c r="G469" s="689"/>
      <c r="H469" s="695"/>
      <c r="I469" s="695">
        <v>46164</v>
      </c>
      <c r="J469" s="689" t="s">
        <v>365</v>
      </c>
      <c r="K469" t="str">
        <f t="shared" si="25"/>
        <v>Switch</v>
      </c>
      <c r="M469" s="412">
        <f t="shared" si="24"/>
        <v>0</v>
      </c>
      <c r="N469" s="412">
        <f t="shared" si="26"/>
        <v>0</v>
      </c>
      <c r="O469" s="412">
        <f>All_Detail_v2[[#This Row],[Qty. Success]]</f>
        <v>0</v>
      </c>
      <c r="P469" s="230">
        <f>IF(All_Detail_v2[[#This Row],[Qty]]=0,1,(M469+N469+O469)/(All_Detail_v2[[#This Row],[Qty]]*3))</f>
        <v>0</v>
      </c>
      <c r="Q469" s="195"/>
      <c r="R469" s="414">
        <f>All_Detail_v2[[#This Row],[Scheduled Date]]</f>
        <v>46164</v>
      </c>
      <c r="S469" s="414">
        <f>All_Detail_v2[[#This Row],[Install Date]]</f>
        <v>0</v>
      </c>
    </row>
    <row r="470" spans="1:19">
      <c r="A470">
        <v>466</v>
      </c>
      <c r="B470" s="687" t="s">
        <v>636</v>
      </c>
      <c r="C470" s="688" t="s">
        <v>637</v>
      </c>
      <c r="D470" s="689" t="s">
        <v>679</v>
      </c>
      <c r="E470" s="689" t="s">
        <v>370</v>
      </c>
      <c r="F470" s="689">
        <v>2</v>
      </c>
      <c r="G470" s="689"/>
      <c r="H470" s="695"/>
      <c r="I470" s="695">
        <v>46164</v>
      </c>
      <c r="J470" s="689" t="s">
        <v>365</v>
      </c>
      <c r="K470" t="str">
        <f t="shared" si="25"/>
        <v>Switch</v>
      </c>
      <c r="M470" s="412">
        <f t="shared" si="24"/>
        <v>0</v>
      </c>
      <c r="N470" s="412">
        <f t="shared" si="26"/>
        <v>0</v>
      </c>
      <c r="O470" s="412">
        <f>All_Detail_v2[[#This Row],[Qty. Success]]</f>
        <v>0</v>
      </c>
      <c r="P470" s="230">
        <f>IF(All_Detail_v2[[#This Row],[Qty]]=0,1,(M470+N470+O470)/(All_Detail_v2[[#This Row],[Qty]]*3))</f>
        <v>0</v>
      </c>
      <c r="Q470" s="195"/>
      <c r="R470" s="414">
        <f>All_Detail_v2[[#This Row],[Scheduled Date]]</f>
        <v>46164</v>
      </c>
      <c r="S470" s="414">
        <f>All_Detail_v2[[#This Row],[Install Date]]</f>
        <v>0</v>
      </c>
    </row>
    <row r="471" spans="1:19">
      <c r="A471">
        <v>467</v>
      </c>
      <c r="B471" s="687" t="s">
        <v>636</v>
      </c>
      <c r="C471" s="688" t="s">
        <v>637</v>
      </c>
      <c r="D471" s="689" t="s">
        <v>679</v>
      </c>
      <c r="E471" s="689" t="s">
        <v>375</v>
      </c>
      <c r="F471" s="689">
        <v>1</v>
      </c>
      <c r="G471" s="689"/>
      <c r="H471" s="695"/>
      <c r="I471" s="695">
        <v>46164</v>
      </c>
      <c r="J471" s="689" t="s">
        <v>365</v>
      </c>
      <c r="K471" t="str">
        <f t="shared" si="25"/>
        <v>Switch</v>
      </c>
      <c r="M471" s="412">
        <f t="shared" si="24"/>
        <v>0</v>
      </c>
      <c r="N471" s="412">
        <f t="shared" si="26"/>
        <v>0</v>
      </c>
      <c r="O471" s="412">
        <f>All_Detail_v2[[#This Row],[Qty. Success]]</f>
        <v>0</v>
      </c>
      <c r="P471" s="230">
        <f>IF(All_Detail_v2[[#This Row],[Qty]]=0,1,(M471+N471+O471)/(All_Detail_v2[[#This Row],[Qty]]*3))</f>
        <v>0</v>
      </c>
      <c r="Q471" s="195"/>
      <c r="R471" s="414">
        <f>All_Detail_v2[[#This Row],[Scheduled Date]]</f>
        <v>46164</v>
      </c>
      <c r="S471" s="414">
        <f>All_Detail_v2[[#This Row],[Install Date]]</f>
        <v>0</v>
      </c>
    </row>
    <row r="472" spans="1:19">
      <c r="A472">
        <v>468</v>
      </c>
      <c r="B472" s="687" t="s">
        <v>636</v>
      </c>
      <c r="C472" s="688" t="s">
        <v>637</v>
      </c>
      <c r="D472" s="689" t="s">
        <v>680</v>
      </c>
      <c r="E472" s="689" t="s">
        <v>370</v>
      </c>
      <c r="F472" s="689">
        <v>2</v>
      </c>
      <c r="G472" s="689"/>
      <c r="H472" s="695"/>
      <c r="I472" s="695">
        <v>46164</v>
      </c>
      <c r="J472" s="689" t="s">
        <v>365</v>
      </c>
      <c r="K472" t="str">
        <f t="shared" si="25"/>
        <v>Switch</v>
      </c>
      <c r="M472" s="412">
        <f t="shared" si="24"/>
        <v>0</v>
      </c>
      <c r="N472" s="412">
        <f t="shared" si="26"/>
        <v>0</v>
      </c>
      <c r="O472" s="412">
        <f>All_Detail_v2[[#This Row],[Qty. Success]]</f>
        <v>0</v>
      </c>
      <c r="P472" s="230">
        <f>IF(All_Detail_v2[[#This Row],[Qty]]=0,1,(M472+N472+O472)/(All_Detail_v2[[#This Row],[Qty]]*3))</f>
        <v>0</v>
      </c>
      <c r="Q472" s="195"/>
      <c r="R472" s="414">
        <f>All_Detail_v2[[#This Row],[Scheduled Date]]</f>
        <v>46164</v>
      </c>
      <c r="S472" s="414">
        <f>All_Detail_v2[[#This Row],[Install Date]]</f>
        <v>0</v>
      </c>
    </row>
    <row r="473" spans="1:19">
      <c r="A473">
        <v>469</v>
      </c>
      <c r="B473" s="687" t="s">
        <v>636</v>
      </c>
      <c r="C473" s="688" t="s">
        <v>637</v>
      </c>
      <c r="D473" s="689" t="s">
        <v>680</v>
      </c>
      <c r="E473" s="689" t="s">
        <v>375</v>
      </c>
      <c r="F473" s="689">
        <v>1</v>
      </c>
      <c r="G473" s="689"/>
      <c r="H473" s="695"/>
      <c r="I473" s="695">
        <v>46164</v>
      </c>
      <c r="J473" s="689" t="s">
        <v>365</v>
      </c>
      <c r="K473" t="str">
        <f t="shared" si="25"/>
        <v>Switch</v>
      </c>
      <c r="M473" s="412">
        <f t="shared" si="24"/>
        <v>0</v>
      </c>
      <c r="N473" s="412">
        <f t="shared" si="26"/>
        <v>0</v>
      </c>
      <c r="O473" s="412">
        <f>All_Detail_v2[[#This Row],[Qty. Success]]</f>
        <v>0</v>
      </c>
      <c r="P473" s="230">
        <f>IF(All_Detail_v2[[#This Row],[Qty]]=0,1,(M473+N473+O473)/(All_Detail_v2[[#This Row],[Qty]]*3))</f>
        <v>0</v>
      </c>
      <c r="Q473" s="195"/>
      <c r="R473" s="414">
        <f>All_Detail_v2[[#This Row],[Scheduled Date]]</f>
        <v>46164</v>
      </c>
      <c r="S473" s="414">
        <f>All_Detail_v2[[#This Row],[Install Date]]</f>
        <v>0</v>
      </c>
    </row>
    <row r="474" spans="1:19">
      <c r="A474">
        <v>470</v>
      </c>
      <c r="B474" s="687" t="s">
        <v>636</v>
      </c>
      <c r="C474" s="688" t="s">
        <v>637</v>
      </c>
      <c r="D474" s="689" t="s">
        <v>681</v>
      </c>
      <c r="E474" s="689" t="s">
        <v>370</v>
      </c>
      <c r="F474" s="689">
        <v>1</v>
      </c>
      <c r="G474" s="689"/>
      <c r="H474" s="695"/>
      <c r="I474" s="695">
        <v>46164</v>
      </c>
      <c r="J474" s="689" t="s">
        <v>365</v>
      </c>
      <c r="K474" t="str">
        <f t="shared" si="25"/>
        <v>Switch</v>
      </c>
      <c r="M474" s="412">
        <f t="shared" si="24"/>
        <v>0</v>
      </c>
      <c r="N474" s="412">
        <f t="shared" si="26"/>
        <v>0</v>
      </c>
      <c r="O474" s="412">
        <f>All_Detail_v2[[#This Row],[Qty. Success]]</f>
        <v>0</v>
      </c>
      <c r="P474" s="230">
        <f>IF(All_Detail_v2[[#This Row],[Qty]]=0,1,(M474+N474+O474)/(All_Detail_v2[[#This Row],[Qty]]*3))</f>
        <v>0</v>
      </c>
      <c r="Q474" s="195"/>
      <c r="R474" s="414">
        <f>All_Detail_v2[[#This Row],[Scheduled Date]]</f>
        <v>46164</v>
      </c>
      <c r="S474" s="414">
        <f>All_Detail_v2[[#This Row],[Install Date]]</f>
        <v>0</v>
      </c>
    </row>
    <row r="475" spans="1:19">
      <c r="A475">
        <v>471</v>
      </c>
      <c r="B475" s="687" t="s">
        <v>636</v>
      </c>
      <c r="C475" s="688" t="s">
        <v>637</v>
      </c>
      <c r="D475" s="689" t="s">
        <v>681</v>
      </c>
      <c r="E475" s="689" t="s">
        <v>375</v>
      </c>
      <c r="F475" s="689">
        <v>1</v>
      </c>
      <c r="G475" s="689"/>
      <c r="H475" s="695"/>
      <c r="I475" s="695">
        <v>46164</v>
      </c>
      <c r="J475" s="689" t="s">
        <v>365</v>
      </c>
      <c r="K475" t="str">
        <f t="shared" si="25"/>
        <v>Switch</v>
      </c>
      <c r="M475" s="412">
        <f t="shared" si="24"/>
        <v>0</v>
      </c>
      <c r="N475" s="412">
        <f t="shared" si="26"/>
        <v>0</v>
      </c>
      <c r="O475" s="412">
        <f>All_Detail_v2[[#This Row],[Qty. Success]]</f>
        <v>0</v>
      </c>
      <c r="P475" s="230">
        <f>IF(All_Detail_v2[[#This Row],[Qty]]=0,1,(M475+N475+O475)/(All_Detail_v2[[#This Row],[Qty]]*3))</f>
        <v>0</v>
      </c>
      <c r="Q475" s="195"/>
      <c r="R475" s="414">
        <f>All_Detail_v2[[#This Row],[Scheduled Date]]</f>
        <v>46164</v>
      </c>
      <c r="S475" s="414">
        <f>All_Detail_v2[[#This Row],[Install Date]]</f>
        <v>0</v>
      </c>
    </row>
    <row r="476" spans="1:19">
      <c r="A476">
        <v>472</v>
      </c>
      <c r="B476" s="687" t="s">
        <v>636</v>
      </c>
      <c r="C476" s="688" t="s">
        <v>637</v>
      </c>
      <c r="D476" s="689" t="s">
        <v>681</v>
      </c>
      <c r="E476" s="689" t="s">
        <v>412</v>
      </c>
      <c r="F476" s="689">
        <v>1</v>
      </c>
      <c r="G476" s="689"/>
      <c r="H476" s="695"/>
      <c r="I476" s="695">
        <v>46164</v>
      </c>
      <c r="J476" s="689" t="s">
        <v>365</v>
      </c>
      <c r="K476" t="str">
        <f t="shared" si="25"/>
        <v>Switch</v>
      </c>
      <c r="M476" s="412">
        <f t="shared" si="24"/>
        <v>0</v>
      </c>
      <c r="N476" s="412">
        <f t="shared" si="26"/>
        <v>0</v>
      </c>
      <c r="O476" s="412">
        <f>All_Detail_v2[[#This Row],[Qty. Success]]</f>
        <v>0</v>
      </c>
      <c r="P476" s="230">
        <f>IF(All_Detail_v2[[#This Row],[Qty]]=0,1,(M476+N476+O476)/(All_Detail_v2[[#This Row],[Qty]]*3))</f>
        <v>0</v>
      </c>
      <c r="Q476" s="195"/>
      <c r="R476" s="414">
        <f>All_Detail_v2[[#This Row],[Scheduled Date]]</f>
        <v>46164</v>
      </c>
      <c r="S476" s="414">
        <f>All_Detail_v2[[#This Row],[Install Date]]</f>
        <v>0</v>
      </c>
    </row>
    <row r="477" spans="1:19">
      <c r="A477">
        <v>473</v>
      </c>
      <c r="B477" s="687" t="s">
        <v>636</v>
      </c>
      <c r="C477" s="688" t="s">
        <v>637</v>
      </c>
      <c r="D477" s="689" t="s">
        <v>681</v>
      </c>
      <c r="E477" s="689" t="s">
        <v>410</v>
      </c>
      <c r="F477" s="689">
        <v>1</v>
      </c>
      <c r="G477" s="689"/>
      <c r="H477" s="695"/>
      <c r="I477" s="695">
        <v>46164</v>
      </c>
      <c r="J477" s="689" t="s">
        <v>365</v>
      </c>
      <c r="K477" t="str">
        <f t="shared" si="25"/>
        <v>Switch</v>
      </c>
      <c r="M477" s="412">
        <f t="shared" si="24"/>
        <v>0</v>
      </c>
      <c r="N477" s="412">
        <f t="shared" si="26"/>
        <v>0</v>
      </c>
      <c r="O477" s="412">
        <f>All_Detail_v2[[#This Row],[Qty. Success]]</f>
        <v>0</v>
      </c>
      <c r="P477" s="230">
        <f>IF(All_Detail_v2[[#This Row],[Qty]]=0,1,(M477+N477+O477)/(All_Detail_v2[[#This Row],[Qty]]*3))</f>
        <v>0</v>
      </c>
      <c r="Q477" s="195"/>
      <c r="R477" s="414">
        <f>All_Detail_v2[[#This Row],[Scheduled Date]]</f>
        <v>46164</v>
      </c>
      <c r="S477" s="414">
        <f>All_Detail_v2[[#This Row],[Install Date]]</f>
        <v>0</v>
      </c>
    </row>
    <row r="478" spans="1:19">
      <c r="A478">
        <v>474</v>
      </c>
      <c r="B478" s="687" t="s">
        <v>636</v>
      </c>
      <c r="C478" s="688" t="s">
        <v>637</v>
      </c>
      <c r="D478" s="689" t="s">
        <v>682</v>
      </c>
      <c r="E478" s="689" t="s">
        <v>370</v>
      </c>
      <c r="F478" s="689">
        <v>1</v>
      </c>
      <c r="G478" s="689"/>
      <c r="H478" s="695"/>
      <c r="I478" s="695">
        <v>46167</v>
      </c>
      <c r="J478" s="689" t="s">
        <v>365</v>
      </c>
      <c r="K478" t="str">
        <f t="shared" si="25"/>
        <v>Switch</v>
      </c>
      <c r="M478" s="412">
        <f t="shared" si="24"/>
        <v>0</v>
      </c>
      <c r="N478" s="412">
        <f t="shared" si="26"/>
        <v>0</v>
      </c>
      <c r="O478" s="412">
        <f>All_Detail_v2[[#This Row],[Qty. Success]]</f>
        <v>0</v>
      </c>
      <c r="P478" s="230">
        <f>IF(All_Detail_v2[[#This Row],[Qty]]=0,1,(M478+N478+O478)/(All_Detail_v2[[#This Row],[Qty]]*3))</f>
        <v>0</v>
      </c>
      <c r="Q478" s="195"/>
      <c r="R478" s="414">
        <f>All_Detail_v2[[#This Row],[Scheduled Date]]</f>
        <v>46167</v>
      </c>
      <c r="S478" s="414">
        <f>All_Detail_v2[[#This Row],[Install Date]]</f>
        <v>0</v>
      </c>
    </row>
    <row r="479" spans="1:19">
      <c r="A479">
        <v>475</v>
      </c>
      <c r="B479" s="687" t="s">
        <v>636</v>
      </c>
      <c r="C479" s="688" t="s">
        <v>637</v>
      </c>
      <c r="D479" s="689" t="s">
        <v>682</v>
      </c>
      <c r="E479" s="689" t="s">
        <v>375</v>
      </c>
      <c r="F479" s="689">
        <v>1</v>
      </c>
      <c r="G479" s="689"/>
      <c r="H479" s="695"/>
      <c r="I479" s="695">
        <v>46167</v>
      </c>
      <c r="J479" s="689" t="s">
        <v>365</v>
      </c>
      <c r="K479" t="str">
        <f t="shared" si="25"/>
        <v>Switch</v>
      </c>
      <c r="M479" s="412">
        <f t="shared" si="24"/>
        <v>0</v>
      </c>
      <c r="N479" s="412">
        <f t="shared" si="26"/>
        <v>0</v>
      </c>
      <c r="O479" s="412">
        <f>All_Detail_v2[[#This Row],[Qty. Success]]</f>
        <v>0</v>
      </c>
      <c r="P479" s="230">
        <f>IF(All_Detail_v2[[#This Row],[Qty]]=0,1,(M479+N479+O479)/(All_Detail_v2[[#This Row],[Qty]]*3))</f>
        <v>0</v>
      </c>
      <c r="Q479" s="195"/>
      <c r="R479" s="414">
        <f>All_Detail_v2[[#This Row],[Scheduled Date]]</f>
        <v>46167</v>
      </c>
      <c r="S479" s="414">
        <f>All_Detail_v2[[#This Row],[Install Date]]</f>
        <v>0</v>
      </c>
    </row>
    <row r="480" spans="1:19">
      <c r="A480">
        <v>476</v>
      </c>
      <c r="B480" s="687" t="s">
        <v>636</v>
      </c>
      <c r="C480" s="688" t="s">
        <v>637</v>
      </c>
      <c r="D480" s="689" t="s">
        <v>683</v>
      </c>
      <c r="E480" s="689" t="s">
        <v>370</v>
      </c>
      <c r="F480" s="689">
        <v>2</v>
      </c>
      <c r="G480" s="689"/>
      <c r="H480" s="695"/>
      <c r="I480" s="695">
        <v>46167</v>
      </c>
      <c r="J480" s="689" t="s">
        <v>365</v>
      </c>
      <c r="K480" t="str">
        <f t="shared" si="25"/>
        <v>Switch</v>
      </c>
      <c r="M480" s="412">
        <f t="shared" si="24"/>
        <v>0</v>
      </c>
      <c r="N480" s="412">
        <f t="shared" si="26"/>
        <v>0</v>
      </c>
      <c r="O480" s="412">
        <f>All_Detail_v2[[#This Row],[Qty. Success]]</f>
        <v>0</v>
      </c>
      <c r="P480" s="230">
        <f>IF(All_Detail_v2[[#This Row],[Qty]]=0,1,(M480+N480+O480)/(All_Detail_v2[[#This Row],[Qty]]*3))</f>
        <v>0</v>
      </c>
      <c r="Q480" s="195"/>
      <c r="R480" s="414">
        <f>All_Detail_v2[[#This Row],[Scheduled Date]]</f>
        <v>46167</v>
      </c>
      <c r="S480" s="414">
        <f>All_Detail_v2[[#This Row],[Install Date]]</f>
        <v>0</v>
      </c>
    </row>
    <row r="481" spans="1:19">
      <c r="A481">
        <v>477</v>
      </c>
      <c r="B481" s="687" t="s">
        <v>636</v>
      </c>
      <c r="C481" s="688" t="s">
        <v>637</v>
      </c>
      <c r="D481" s="689" t="s">
        <v>683</v>
      </c>
      <c r="E481" s="689" t="s">
        <v>375</v>
      </c>
      <c r="F481" s="689">
        <v>1</v>
      </c>
      <c r="G481" s="689"/>
      <c r="H481" s="695"/>
      <c r="I481" s="695">
        <v>46167</v>
      </c>
      <c r="J481" s="689" t="s">
        <v>365</v>
      </c>
      <c r="K481" t="str">
        <f t="shared" si="25"/>
        <v>Switch</v>
      </c>
      <c r="M481" s="412">
        <f t="shared" si="24"/>
        <v>0</v>
      </c>
      <c r="N481" s="412">
        <f t="shared" si="26"/>
        <v>0</v>
      </c>
      <c r="O481" s="412">
        <f>All_Detail_v2[[#This Row],[Qty. Success]]</f>
        <v>0</v>
      </c>
      <c r="P481" s="230">
        <f>IF(All_Detail_v2[[#This Row],[Qty]]=0,1,(M481+N481+O481)/(All_Detail_v2[[#This Row],[Qty]]*3))</f>
        <v>0</v>
      </c>
      <c r="Q481" s="195"/>
      <c r="R481" s="414">
        <f>All_Detail_v2[[#This Row],[Scheduled Date]]</f>
        <v>46167</v>
      </c>
      <c r="S481" s="414">
        <f>All_Detail_v2[[#This Row],[Install Date]]</f>
        <v>0</v>
      </c>
    </row>
    <row r="482" spans="1:19">
      <c r="A482">
        <v>478</v>
      </c>
      <c r="B482" s="687" t="s">
        <v>636</v>
      </c>
      <c r="C482" s="688" t="s">
        <v>637</v>
      </c>
      <c r="D482" s="689" t="s">
        <v>683</v>
      </c>
      <c r="E482" s="689" t="s">
        <v>412</v>
      </c>
      <c r="F482" s="689">
        <v>1</v>
      </c>
      <c r="G482" s="689"/>
      <c r="H482" s="695"/>
      <c r="I482" s="695">
        <v>46167</v>
      </c>
      <c r="J482" s="689" t="s">
        <v>365</v>
      </c>
      <c r="K482" t="str">
        <f t="shared" si="25"/>
        <v>Switch</v>
      </c>
      <c r="M482" s="412">
        <f t="shared" si="24"/>
        <v>0</v>
      </c>
      <c r="N482" s="412">
        <f t="shared" si="26"/>
        <v>0</v>
      </c>
      <c r="O482" s="412">
        <f>All_Detail_v2[[#This Row],[Qty. Success]]</f>
        <v>0</v>
      </c>
      <c r="P482" s="230">
        <f>IF(All_Detail_v2[[#This Row],[Qty]]=0,1,(M482+N482+O482)/(All_Detail_v2[[#This Row],[Qty]]*3))</f>
        <v>0</v>
      </c>
      <c r="Q482" s="195"/>
      <c r="R482" s="414">
        <f>All_Detail_v2[[#This Row],[Scheduled Date]]</f>
        <v>46167</v>
      </c>
      <c r="S482" s="414">
        <f>All_Detail_v2[[#This Row],[Install Date]]</f>
        <v>0</v>
      </c>
    </row>
    <row r="483" spans="1:19">
      <c r="A483">
        <v>479</v>
      </c>
      <c r="B483" s="687" t="s">
        <v>636</v>
      </c>
      <c r="C483" s="688" t="s">
        <v>637</v>
      </c>
      <c r="D483" s="689" t="s">
        <v>683</v>
      </c>
      <c r="E483" s="689" t="s">
        <v>410</v>
      </c>
      <c r="F483" s="689">
        <v>1</v>
      </c>
      <c r="G483" s="689"/>
      <c r="H483" s="695"/>
      <c r="I483" s="695">
        <v>46167</v>
      </c>
      <c r="J483" s="689" t="s">
        <v>365</v>
      </c>
      <c r="K483" t="str">
        <f t="shared" si="25"/>
        <v>Switch</v>
      </c>
      <c r="M483" s="412">
        <f t="shared" si="24"/>
        <v>0</v>
      </c>
      <c r="N483" s="412">
        <f t="shared" si="26"/>
        <v>0</v>
      </c>
      <c r="O483" s="412">
        <f>All_Detail_v2[[#This Row],[Qty. Success]]</f>
        <v>0</v>
      </c>
      <c r="P483" s="230">
        <f>IF(All_Detail_v2[[#This Row],[Qty]]=0,1,(M483+N483+O483)/(All_Detail_v2[[#This Row],[Qty]]*3))</f>
        <v>0</v>
      </c>
      <c r="Q483" s="195"/>
      <c r="R483" s="414">
        <f>All_Detail_v2[[#This Row],[Scheduled Date]]</f>
        <v>46167</v>
      </c>
      <c r="S483" s="414">
        <f>All_Detail_v2[[#This Row],[Install Date]]</f>
        <v>0</v>
      </c>
    </row>
    <row r="484" spans="1:19">
      <c r="A484">
        <v>480</v>
      </c>
      <c r="B484" s="687" t="s">
        <v>636</v>
      </c>
      <c r="C484" s="688" t="s">
        <v>637</v>
      </c>
      <c r="D484" s="689" t="s">
        <v>684</v>
      </c>
      <c r="E484" s="689" t="s">
        <v>370</v>
      </c>
      <c r="F484" s="689">
        <v>1</v>
      </c>
      <c r="G484" s="689"/>
      <c r="H484" s="695"/>
      <c r="I484" s="695">
        <v>46167</v>
      </c>
      <c r="J484" s="689" t="s">
        <v>365</v>
      </c>
      <c r="K484" t="str">
        <f t="shared" si="25"/>
        <v>Switch</v>
      </c>
      <c r="M484" s="412">
        <f t="shared" si="24"/>
        <v>0</v>
      </c>
      <c r="N484" s="412">
        <f t="shared" si="26"/>
        <v>0</v>
      </c>
      <c r="O484" s="412">
        <f>All_Detail_v2[[#This Row],[Qty. Success]]</f>
        <v>0</v>
      </c>
      <c r="P484" s="230">
        <f>IF(All_Detail_v2[[#This Row],[Qty]]=0,1,(M484+N484+O484)/(All_Detail_v2[[#This Row],[Qty]]*3))</f>
        <v>0</v>
      </c>
      <c r="Q484" s="195"/>
      <c r="R484" s="414">
        <f>All_Detail_v2[[#This Row],[Scheduled Date]]</f>
        <v>46167</v>
      </c>
      <c r="S484" s="414">
        <f>All_Detail_v2[[#This Row],[Install Date]]</f>
        <v>0</v>
      </c>
    </row>
    <row r="485" spans="1:19">
      <c r="A485">
        <v>481</v>
      </c>
      <c r="B485" s="687" t="s">
        <v>636</v>
      </c>
      <c r="C485" s="688" t="s">
        <v>637</v>
      </c>
      <c r="D485" s="689" t="s">
        <v>684</v>
      </c>
      <c r="E485" s="689" t="s">
        <v>375</v>
      </c>
      <c r="F485" s="689">
        <v>1</v>
      </c>
      <c r="G485" s="689"/>
      <c r="H485" s="695"/>
      <c r="I485" s="695">
        <v>46167</v>
      </c>
      <c r="J485" s="689" t="s">
        <v>365</v>
      </c>
      <c r="K485" t="str">
        <f t="shared" si="25"/>
        <v>Switch</v>
      </c>
      <c r="M485" s="412">
        <f t="shared" si="24"/>
        <v>0</v>
      </c>
      <c r="N485" s="412">
        <f t="shared" si="26"/>
        <v>0</v>
      </c>
      <c r="O485" s="412">
        <f>All_Detail_v2[[#This Row],[Qty. Success]]</f>
        <v>0</v>
      </c>
      <c r="P485" s="230">
        <f>IF(All_Detail_v2[[#This Row],[Qty]]=0,1,(M485+N485+O485)/(All_Detail_v2[[#This Row],[Qty]]*3))</f>
        <v>0</v>
      </c>
      <c r="Q485" s="195"/>
      <c r="R485" s="414">
        <f>All_Detail_v2[[#This Row],[Scheduled Date]]</f>
        <v>46167</v>
      </c>
      <c r="S485" s="414">
        <f>All_Detail_v2[[#This Row],[Install Date]]</f>
        <v>0</v>
      </c>
    </row>
    <row r="486" spans="1:19">
      <c r="A486">
        <v>482</v>
      </c>
      <c r="B486" s="687" t="s">
        <v>636</v>
      </c>
      <c r="C486" s="688" t="s">
        <v>637</v>
      </c>
      <c r="D486" s="689" t="s">
        <v>685</v>
      </c>
      <c r="E486" s="689" t="s">
        <v>370</v>
      </c>
      <c r="F486" s="689">
        <v>1</v>
      </c>
      <c r="G486" s="689"/>
      <c r="H486" s="695"/>
      <c r="I486" s="695">
        <v>46167</v>
      </c>
      <c r="J486" s="689" t="s">
        <v>365</v>
      </c>
      <c r="K486" t="str">
        <f t="shared" si="25"/>
        <v>Switch</v>
      </c>
      <c r="M486" s="412">
        <f t="shared" si="24"/>
        <v>0</v>
      </c>
      <c r="N486" s="412">
        <f t="shared" si="26"/>
        <v>0</v>
      </c>
      <c r="O486" s="412">
        <f>All_Detail_v2[[#This Row],[Qty. Success]]</f>
        <v>0</v>
      </c>
      <c r="P486" s="230">
        <f>IF(All_Detail_v2[[#This Row],[Qty]]=0,1,(M486+N486+O486)/(All_Detail_v2[[#This Row],[Qty]]*3))</f>
        <v>0</v>
      </c>
      <c r="Q486" s="195"/>
      <c r="R486" s="414">
        <f>All_Detail_v2[[#This Row],[Scheduled Date]]</f>
        <v>46167</v>
      </c>
      <c r="S486" s="414">
        <f>All_Detail_v2[[#This Row],[Install Date]]</f>
        <v>0</v>
      </c>
    </row>
    <row r="487" spans="1:19">
      <c r="A487">
        <v>483</v>
      </c>
      <c r="B487" s="687" t="s">
        <v>636</v>
      </c>
      <c r="C487" s="688" t="s">
        <v>637</v>
      </c>
      <c r="D487" s="689" t="s">
        <v>685</v>
      </c>
      <c r="E487" s="689" t="s">
        <v>375</v>
      </c>
      <c r="F487" s="689">
        <v>1</v>
      </c>
      <c r="G487" s="689"/>
      <c r="H487" s="695"/>
      <c r="I487" s="695">
        <v>46167</v>
      </c>
      <c r="J487" s="689" t="s">
        <v>365</v>
      </c>
      <c r="K487" t="str">
        <f t="shared" si="25"/>
        <v>Switch</v>
      </c>
      <c r="M487" s="412">
        <f t="shared" si="24"/>
        <v>0</v>
      </c>
      <c r="N487" s="412">
        <f t="shared" si="26"/>
        <v>0</v>
      </c>
      <c r="O487" s="412">
        <f>All_Detail_v2[[#This Row],[Qty. Success]]</f>
        <v>0</v>
      </c>
      <c r="P487" s="230">
        <f>IF(All_Detail_v2[[#This Row],[Qty]]=0,1,(M487+N487+O487)/(All_Detail_v2[[#This Row],[Qty]]*3))</f>
        <v>0</v>
      </c>
      <c r="Q487" s="195"/>
      <c r="R487" s="414">
        <f>All_Detail_v2[[#This Row],[Scheduled Date]]</f>
        <v>46167</v>
      </c>
      <c r="S487" s="414">
        <f>All_Detail_v2[[#This Row],[Install Date]]</f>
        <v>0</v>
      </c>
    </row>
    <row r="488" spans="1:19">
      <c r="A488">
        <v>484</v>
      </c>
      <c r="B488" s="687" t="s">
        <v>636</v>
      </c>
      <c r="C488" s="688" t="s">
        <v>637</v>
      </c>
      <c r="D488" s="689" t="s">
        <v>685</v>
      </c>
      <c r="E488" s="689" t="s">
        <v>412</v>
      </c>
      <c r="F488" s="689">
        <v>1</v>
      </c>
      <c r="G488" s="689"/>
      <c r="H488" s="695"/>
      <c r="I488" s="695">
        <v>46167</v>
      </c>
      <c r="J488" s="689" t="s">
        <v>365</v>
      </c>
      <c r="K488" t="str">
        <f t="shared" si="25"/>
        <v>Switch</v>
      </c>
      <c r="M488" s="412">
        <f t="shared" si="24"/>
        <v>0</v>
      </c>
      <c r="N488" s="412">
        <f t="shared" si="26"/>
        <v>0</v>
      </c>
      <c r="O488" s="412">
        <f>All_Detail_v2[[#This Row],[Qty. Success]]</f>
        <v>0</v>
      </c>
      <c r="P488" s="230">
        <f>IF(All_Detail_v2[[#This Row],[Qty]]=0,1,(M488+N488+O488)/(All_Detail_v2[[#This Row],[Qty]]*3))</f>
        <v>0</v>
      </c>
      <c r="Q488" s="195"/>
      <c r="R488" s="414">
        <f>All_Detail_v2[[#This Row],[Scheduled Date]]</f>
        <v>46167</v>
      </c>
      <c r="S488" s="414">
        <f>All_Detail_v2[[#This Row],[Install Date]]</f>
        <v>0</v>
      </c>
    </row>
    <row r="489" spans="1:19">
      <c r="A489">
        <v>485</v>
      </c>
      <c r="B489" s="687" t="s">
        <v>636</v>
      </c>
      <c r="C489" s="688" t="s">
        <v>637</v>
      </c>
      <c r="D489" s="689" t="s">
        <v>685</v>
      </c>
      <c r="E489" s="689" t="s">
        <v>410</v>
      </c>
      <c r="F489" s="689">
        <v>1</v>
      </c>
      <c r="G489" s="689"/>
      <c r="H489" s="695"/>
      <c r="I489" s="695">
        <v>46167</v>
      </c>
      <c r="J489" s="689" t="s">
        <v>365</v>
      </c>
      <c r="K489" t="str">
        <f t="shared" si="25"/>
        <v>Switch</v>
      </c>
      <c r="M489" s="412">
        <f t="shared" si="24"/>
        <v>0</v>
      </c>
      <c r="N489" s="412">
        <f t="shared" si="26"/>
        <v>0</v>
      </c>
      <c r="O489" s="412">
        <f>All_Detail_v2[[#This Row],[Qty. Success]]</f>
        <v>0</v>
      </c>
      <c r="P489" s="230">
        <f>IF(All_Detail_v2[[#This Row],[Qty]]=0,1,(M489+N489+O489)/(All_Detail_v2[[#This Row],[Qty]]*3))</f>
        <v>0</v>
      </c>
      <c r="Q489" s="195"/>
      <c r="R489" s="414">
        <f>All_Detail_v2[[#This Row],[Scheduled Date]]</f>
        <v>46167</v>
      </c>
      <c r="S489" s="414">
        <f>All_Detail_v2[[#This Row],[Install Date]]</f>
        <v>0</v>
      </c>
    </row>
    <row r="490" spans="1:19">
      <c r="A490">
        <v>486</v>
      </c>
      <c r="B490" s="687" t="s">
        <v>636</v>
      </c>
      <c r="C490" s="688" t="s">
        <v>637</v>
      </c>
      <c r="D490" s="689" t="s">
        <v>686</v>
      </c>
      <c r="E490" s="689" t="s">
        <v>370</v>
      </c>
      <c r="F490" s="689">
        <v>2</v>
      </c>
      <c r="G490" s="689"/>
      <c r="H490" s="695"/>
      <c r="I490" s="695">
        <v>46168</v>
      </c>
      <c r="J490" s="689" t="s">
        <v>365</v>
      </c>
      <c r="K490" t="str">
        <f t="shared" si="25"/>
        <v>Switch</v>
      </c>
      <c r="M490" s="412">
        <f t="shared" si="24"/>
        <v>0</v>
      </c>
      <c r="N490" s="412">
        <f t="shared" si="26"/>
        <v>0</v>
      </c>
      <c r="O490" s="412">
        <f>All_Detail_v2[[#This Row],[Qty. Success]]</f>
        <v>0</v>
      </c>
      <c r="P490" s="230">
        <f>IF(All_Detail_v2[[#This Row],[Qty]]=0,1,(M490+N490+O490)/(All_Detail_v2[[#This Row],[Qty]]*3))</f>
        <v>0</v>
      </c>
      <c r="Q490" s="195"/>
      <c r="R490" s="414">
        <f>All_Detail_v2[[#This Row],[Scheduled Date]]</f>
        <v>46168</v>
      </c>
      <c r="S490" s="414">
        <f>All_Detail_v2[[#This Row],[Install Date]]</f>
        <v>0</v>
      </c>
    </row>
    <row r="491" spans="1:19">
      <c r="A491">
        <v>487</v>
      </c>
      <c r="B491" s="687" t="s">
        <v>636</v>
      </c>
      <c r="C491" s="688" t="s">
        <v>637</v>
      </c>
      <c r="D491" s="689" t="s">
        <v>686</v>
      </c>
      <c r="E491" s="689" t="s">
        <v>375</v>
      </c>
      <c r="F491" s="689">
        <v>1</v>
      </c>
      <c r="G491" s="689"/>
      <c r="H491" s="695"/>
      <c r="I491" s="695">
        <v>46168</v>
      </c>
      <c r="J491" s="689" t="s">
        <v>365</v>
      </c>
      <c r="K491" t="str">
        <f t="shared" si="25"/>
        <v>Switch</v>
      </c>
      <c r="M491" s="412">
        <f t="shared" si="24"/>
        <v>0</v>
      </c>
      <c r="N491" s="412">
        <f t="shared" si="26"/>
        <v>0</v>
      </c>
      <c r="O491" s="412">
        <f>All_Detail_v2[[#This Row],[Qty. Success]]</f>
        <v>0</v>
      </c>
      <c r="P491" s="230">
        <f>IF(All_Detail_v2[[#This Row],[Qty]]=0,1,(M491+N491+O491)/(All_Detail_v2[[#This Row],[Qty]]*3))</f>
        <v>0</v>
      </c>
      <c r="Q491" s="195"/>
      <c r="R491" s="414">
        <f>All_Detail_v2[[#This Row],[Scheduled Date]]</f>
        <v>46168</v>
      </c>
      <c r="S491" s="414">
        <f>All_Detail_v2[[#This Row],[Install Date]]</f>
        <v>0</v>
      </c>
    </row>
    <row r="492" spans="1:19">
      <c r="A492">
        <v>488</v>
      </c>
      <c r="B492" s="687" t="s">
        <v>636</v>
      </c>
      <c r="C492" s="688" t="s">
        <v>637</v>
      </c>
      <c r="D492" s="689" t="s">
        <v>686</v>
      </c>
      <c r="E492" s="689" t="s">
        <v>412</v>
      </c>
      <c r="F492" s="689">
        <v>1</v>
      </c>
      <c r="G492" s="689"/>
      <c r="H492" s="695"/>
      <c r="I492" s="695">
        <v>46168</v>
      </c>
      <c r="J492" s="689" t="s">
        <v>365</v>
      </c>
      <c r="K492" t="str">
        <f t="shared" si="25"/>
        <v>Switch</v>
      </c>
      <c r="M492" s="412">
        <f t="shared" si="24"/>
        <v>0</v>
      </c>
      <c r="N492" s="412">
        <f t="shared" si="26"/>
        <v>0</v>
      </c>
      <c r="O492" s="412">
        <f>All_Detail_v2[[#This Row],[Qty. Success]]</f>
        <v>0</v>
      </c>
      <c r="P492" s="230">
        <f>IF(All_Detail_v2[[#This Row],[Qty]]=0,1,(M492+N492+O492)/(All_Detail_v2[[#This Row],[Qty]]*3))</f>
        <v>0</v>
      </c>
      <c r="Q492" s="195"/>
      <c r="R492" s="414">
        <f>All_Detail_v2[[#This Row],[Scheduled Date]]</f>
        <v>46168</v>
      </c>
      <c r="S492" s="414">
        <f>All_Detail_v2[[#This Row],[Install Date]]</f>
        <v>0</v>
      </c>
    </row>
    <row r="493" spans="1:19">
      <c r="A493">
        <v>489</v>
      </c>
      <c r="B493" s="687" t="s">
        <v>636</v>
      </c>
      <c r="C493" s="688" t="s">
        <v>637</v>
      </c>
      <c r="D493" s="689" t="s">
        <v>686</v>
      </c>
      <c r="E493" s="689" t="s">
        <v>410</v>
      </c>
      <c r="F493" s="689">
        <v>1</v>
      </c>
      <c r="G493" s="689"/>
      <c r="H493" s="695"/>
      <c r="I493" s="695">
        <v>46168</v>
      </c>
      <c r="J493" s="689" t="s">
        <v>365</v>
      </c>
      <c r="K493" t="str">
        <f t="shared" si="25"/>
        <v>Switch</v>
      </c>
      <c r="M493" s="412">
        <f t="shared" si="24"/>
        <v>0</v>
      </c>
      <c r="N493" s="412">
        <f t="shared" si="26"/>
        <v>0</v>
      </c>
      <c r="O493" s="412">
        <f>All_Detail_v2[[#This Row],[Qty. Success]]</f>
        <v>0</v>
      </c>
      <c r="P493" s="230">
        <f>IF(All_Detail_v2[[#This Row],[Qty]]=0,1,(M493+N493+O493)/(All_Detail_v2[[#This Row],[Qty]]*3))</f>
        <v>0</v>
      </c>
      <c r="Q493" s="195"/>
      <c r="R493" s="414">
        <f>All_Detail_v2[[#This Row],[Scheduled Date]]</f>
        <v>46168</v>
      </c>
      <c r="S493" s="414">
        <f>All_Detail_v2[[#This Row],[Install Date]]</f>
        <v>0</v>
      </c>
    </row>
    <row r="494" spans="1:19">
      <c r="A494">
        <v>490</v>
      </c>
      <c r="B494" s="687" t="s">
        <v>636</v>
      </c>
      <c r="C494" s="688" t="s">
        <v>637</v>
      </c>
      <c r="D494" s="689" t="s">
        <v>687</v>
      </c>
      <c r="E494" s="689" t="s">
        <v>370</v>
      </c>
      <c r="F494" s="689">
        <v>1</v>
      </c>
      <c r="G494" s="689"/>
      <c r="H494" s="695"/>
      <c r="I494" s="695">
        <v>46168</v>
      </c>
      <c r="J494" s="689" t="s">
        <v>365</v>
      </c>
      <c r="K494" t="str">
        <f t="shared" si="25"/>
        <v>Switch</v>
      </c>
      <c r="M494" s="412">
        <f t="shared" si="24"/>
        <v>0</v>
      </c>
      <c r="N494" s="412">
        <f t="shared" si="26"/>
        <v>0</v>
      </c>
      <c r="O494" s="412">
        <f>All_Detail_v2[[#This Row],[Qty. Success]]</f>
        <v>0</v>
      </c>
      <c r="P494" s="230">
        <f>IF(All_Detail_v2[[#This Row],[Qty]]=0,1,(M494+N494+O494)/(All_Detail_v2[[#This Row],[Qty]]*3))</f>
        <v>0</v>
      </c>
      <c r="Q494" s="195"/>
      <c r="R494" s="414">
        <f>All_Detail_v2[[#This Row],[Scheduled Date]]</f>
        <v>46168</v>
      </c>
      <c r="S494" s="414">
        <f>All_Detail_v2[[#This Row],[Install Date]]</f>
        <v>0</v>
      </c>
    </row>
    <row r="495" spans="1:19">
      <c r="A495">
        <v>491</v>
      </c>
      <c r="B495" s="687" t="s">
        <v>636</v>
      </c>
      <c r="C495" s="688" t="s">
        <v>637</v>
      </c>
      <c r="D495" s="689" t="s">
        <v>687</v>
      </c>
      <c r="E495" s="689" t="s">
        <v>375</v>
      </c>
      <c r="F495" s="689">
        <v>1</v>
      </c>
      <c r="G495" s="689"/>
      <c r="H495" s="695"/>
      <c r="I495" s="695">
        <v>46168</v>
      </c>
      <c r="J495" s="689" t="s">
        <v>365</v>
      </c>
      <c r="K495" t="str">
        <f t="shared" si="25"/>
        <v>Switch</v>
      </c>
      <c r="M495" s="412">
        <f t="shared" si="24"/>
        <v>0</v>
      </c>
      <c r="N495" s="412">
        <f t="shared" si="26"/>
        <v>0</v>
      </c>
      <c r="O495" s="412">
        <f>All_Detail_v2[[#This Row],[Qty. Success]]</f>
        <v>0</v>
      </c>
      <c r="P495" s="230">
        <f>IF(All_Detail_v2[[#This Row],[Qty]]=0,1,(M495+N495+O495)/(All_Detail_v2[[#This Row],[Qty]]*3))</f>
        <v>0</v>
      </c>
      <c r="Q495" s="195"/>
      <c r="R495" s="414">
        <f>All_Detail_v2[[#This Row],[Scheduled Date]]</f>
        <v>46168</v>
      </c>
      <c r="S495" s="414">
        <f>All_Detail_v2[[#This Row],[Install Date]]</f>
        <v>0</v>
      </c>
    </row>
    <row r="496" spans="1:19">
      <c r="A496">
        <v>492</v>
      </c>
      <c r="B496" s="687" t="s">
        <v>636</v>
      </c>
      <c r="C496" s="688" t="s">
        <v>637</v>
      </c>
      <c r="D496" s="689" t="s">
        <v>688</v>
      </c>
      <c r="E496" s="689" t="s">
        <v>370</v>
      </c>
      <c r="F496" s="689">
        <v>1</v>
      </c>
      <c r="G496" s="689"/>
      <c r="H496" s="695"/>
      <c r="I496" s="695">
        <v>46168</v>
      </c>
      <c r="J496" s="689" t="s">
        <v>365</v>
      </c>
      <c r="K496" t="str">
        <f t="shared" si="25"/>
        <v>Switch</v>
      </c>
      <c r="M496" s="412">
        <f t="shared" si="24"/>
        <v>0</v>
      </c>
      <c r="N496" s="412">
        <f t="shared" si="26"/>
        <v>0</v>
      </c>
      <c r="O496" s="412">
        <f>All_Detail_v2[[#This Row],[Qty. Success]]</f>
        <v>0</v>
      </c>
      <c r="P496" s="230">
        <f>IF(All_Detail_v2[[#This Row],[Qty]]=0,1,(M496+N496+O496)/(All_Detail_v2[[#This Row],[Qty]]*3))</f>
        <v>0</v>
      </c>
      <c r="Q496" s="195"/>
      <c r="R496" s="414">
        <f>All_Detail_v2[[#This Row],[Scheduled Date]]</f>
        <v>46168</v>
      </c>
      <c r="S496" s="414">
        <f>All_Detail_v2[[#This Row],[Install Date]]</f>
        <v>0</v>
      </c>
    </row>
    <row r="497" spans="1:19">
      <c r="A497">
        <v>493</v>
      </c>
      <c r="B497" s="687" t="s">
        <v>636</v>
      </c>
      <c r="C497" s="688" t="s">
        <v>637</v>
      </c>
      <c r="D497" s="689" t="s">
        <v>689</v>
      </c>
      <c r="E497" s="689" t="s">
        <v>370</v>
      </c>
      <c r="F497" s="689">
        <v>1</v>
      </c>
      <c r="G497" s="689"/>
      <c r="H497" s="695"/>
      <c r="I497" s="695">
        <v>46168</v>
      </c>
      <c r="J497" s="689" t="s">
        <v>365</v>
      </c>
      <c r="K497" t="str">
        <f t="shared" si="25"/>
        <v>Switch</v>
      </c>
      <c r="M497" s="412">
        <f t="shared" si="24"/>
        <v>0</v>
      </c>
      <c r="N497" s="412">
        <f t="shared" si="26"/>
        <v>0</v>
      </c>
      <c r="O497" s="412">
        <f>All_Detail_v2[[#This Row],[Qty. Success]]</f>
        <v>0</v>
      </c>
      <c r="P497" s="230">
        <f>IF(All_Detail_v2[[#This Row],[Qty]]=0,1,(M497+N497+O497)/(All_Detail_v2[[#This Row],[Qty]]*3))</f>
        <v>0</v>
      </c>
      <c r="Q497" s="195"/>
      <c r="R497" s="414">
        <f>All_Detail_v2[[#This Row],[Scheduled Date]]</f>
        <v>46168</v>
      </c>
      <c r="S497" s="414">
        <f>All_Detail_v2[[#This Row],[Install Date]]</f>
        <v>0</v>
      </c>
    </row>
    <row r="498" spans="1:19">
      <c r="A498">
        <v>494</v>
      </c>
      <c r="B498" s="687" t="s">
        <v>636</v>
      </c>
      <c r="C498" s="688" t="s">
        <v>637</v>
      </c>
      <c r="D498" s="689" t="s">
        <v>690</v>
      </c>
      <c r="E498" s="689" t="s">
        <v>370</v>
      </c>
      <c r="F498" s="689">
        <v>1</v>
      </c>
      <c r="G498" s="689"/>
      <c r="H498" s="695"/>
      <c r="I498" s="695">
        <v>46168</v>
      </c>
      <c r="J498" s="689" t="s">
        <v>365</v>
      </c>
      <c r="K498" t="str">
        <f t="shared" si="25"/>
        <v>Switch</v>
      </c>
      <c r="M498" s="412">
        <f t="shared" si="24"/>
        <v>0</v>
      </c>
      <c r="N498" s="412">
        <f t="shared" si="26"/>
        <v>0</v>
      </c>
      <c r="O498" s="412">
        <f>All_Detail_v2[[#This Row],[Qty. Success]]</f>
        <v>0</v>
      </c>
      <c r="P498" s="230">
        <f>IF(All_Detail_v2[[#This Row],[Qty]]=0,1,(M498+N498+O498)/(All_Detail_v2[[#This Row],[Qty]]*3))</f>
        <v>0</v>
      </c>
      <c r="Q498" s="195"/>
      <c r="R498" s="414">
        <f>All_Detail_v2[[#This Row],[Scheduled Date]]</f>
        <v>46168</v>
      </c>
      <c r="S498" s="414">
        <f>All_Detail_v2[[#This Row],[Install Date]]</f>
        <v>0</v>
      </c>
    </row>
    <row r="499" spans="1:19">
      <c r="A499">
        <v>495</v>
      </c>
      <c r="B499" s="687" t="s">
        <v>636</v>
      </c>
      <c r="C499" s="688" t="s">
        <v>637</v>
      </c>
      <c r="D499" s="689" t="s">
        <v>691</v>
      </c>
      <c r="E499" s="689" t="s">
        <v>370</v>
      </c>
      <c r="F499" s="689">
        <v>1</v>
      </c>
      <c r="G499" s="689"/>
      <c r="H499" s="695"/>
      <c r="I499" s="695">
        <v>46169</v>
      </c>
      <c r="J499" s="689" t="s">
        <v>365</v>
      </c>
      <c r="K499" t="str">
        <f t="shared" si="25"/>
        <v>Switch</v>
      </c>
      <c r="M499" s="412">
        <f t="shared" si="24"/>
        <v>0</v>
      </c>
      <c r="N499" s="412">
        <f t="shared" si="26"/>
        <v>0</v>
      </c>
      <c r="O499" s="412">
        <f>All_Detail_v2[[#This Row],[Qty. Success]]</f>
        <v>0</v>
      </c>
      <c r="P499" s="230">
        <f>IF(All_Detail_v2[[#This Row],[Qty]]=0,1,(M499+N499+O499)/(All_Detail_v2[[#This Row],[Qty]]*3))</f>
        <v>0</v>
      </c>
      <c r="Q499" s="195"/>
      <c r="R499" s="414">
        <f>All_Detail_v2[[#This Row],[Scheduled Date]]</f>
        <v>46169</v>
      </c>
      <c r="S499" s="414">
        <f>All_Detail_v2[[#This Row],[Install Date]]</f>
        <v>0</v>
      </c>
    </row>
    <row r="500" spans="1:19">
      <c r="A500">
        <v>496</v>
      </c>
      <c r="B500" s="687" t="s">
        <v>636</v>
      </c>
      <c r="C500" s="688" t="s">
        <v>637</v>
      </c>
      <c r="D500" s="689" t="s">
        <v>692</v>
      </c>
      <c r="E500" s="689" t="s">
        <v>370</v>
      </c>
      <c r="F500" s="689">
        <v>1</v>
      </c>
      <c r="G500" s="689"/>
      <c r="H500" s="695"/>
      <c r="I500" s="695">
        <v>46169</v>
      </c>
      <c r="J500" s="689" t="s">
        <v>365</v>
      </c>
      <c r="K500" t="str">
        <f t="shared" si="25"/>
        <v>Switch</v>
      </c>
      <c r="M500" s="412">
        <f t="shared" si="24"/>
        <v>0</v>
      </c>
      <c r="N500" s="412">
        <f t="shared" si="26"/>
        <v>0</v>
      </c>
      <c r="O500" s="412">
        <f>All_Detail_v2[[#This Row],[Qty. Success]]</f>
        <v>0</v>
      </c>
      <c r="P500" s="230">
        <f>IF(All_Detail_v2[[#This Row],[Qty]]=0,1,(M500+N500+O500)/(All_Detail_v2[[#This Row],[Qty]]*3))</f>
        <v>0</v>
      </c>
      <c r="Q500" s="195"/>
      <c r="R500" s="414">
        <f>All_Detail_v2[[#This Row],[Scheduled Date]]</f>
        <v>46169</v>
      </c>
      <c r="S500" s="414">
        <f>All_Detail_v2[[#This Row],[Install Date]]</f>
        <v>0</v>
      </c>
    </row>
    <row r="501" spans="1:19">
      <c r="A501">
        <v>497</v>
      </c>
      <c r="B501" s="687" t="s">
        <v>636</v>
      </c>
      <c r="C501" s="688" t="s">
        <v>637</v>
      </c>
      <c r="D501" s="689" t="s">
        <v>693</v>
      </c>
      <c r="E501" s="689" t="s">
        <v>370</v>
      </c>
      <c r="F501" s="689">
        <v>1</v>
      </c>
      <c r="G501" s="689"/>
      <c r="H501" s="695"/>
      <c r="I501" s="695">
        <v>46169</v>
      </c>
      <c r="J501" s="689" t="s">
        <v>365</v>
      </c>
      <c r="K501" t="str">
        <f t="shared" si="25"/>
        <v>Switch</v>
      </c>
      <c r="M501" s="412">
        <f t="shared" si="24"/>
        <v>0</v>
      </c>
      <c r="N501" s="412">
        <f t="shared" si="26"/>
        <v>0</v>
      </c>
      <c r="O501" s="412">
        <f>All_Detail_v2[[#This Row],[Qty. Success]]</f>
        <v>0</v>
      </c>
      <c r="P501" s="230">
        <f>IF(All_Detail_v2[[#This Row],[Qty]]=0,1,(M501+N501+O501)/(All_Detail_v2[[#This Row],[Qty]]*3))</f>
        <v>0</v>
      </c>
      <c r="Q501" s="195"/>
      <c r="R501" s="414">
        <f>All_Detail_v2[[#This Row],[Scheduled Date]]</f>
        <v>46169</v>
      </c>
      <c r="S501" s="414">
        <f>All_Detail_v2[[#This Row],[Install Date]]</f>
        <v>0</v>
      </c>
    </row>
    <row r="502" spans="1:19">
      <c r="A502">
        <v>498</v>
      </c>
      <c r="B502" s="687" t="s">
        <v>636</v>
      </c>
      <c r="C502" s="688" t="s">
        <v>637</v>
      </c>
      <c r="D502" s="689" t="s">
        <v>693</v>
      </c>
      <c r="E502" s="689" t="s">
        <v>375</v>
      </c>
      <c r="F502" s="689">
        <v>1</v>
      </c>
      <c r="G502" s="689"/>
      <c r="H502" s="695"/>
      <c r="I502" s="695">
        <v>46169</v>
      </c>
      <c r="J502" s="689" t="s">
        <v>365</v>
      </c>
      <c r="K502" t="str">
        <f t="shared" si="25"/>
        <v>Switch</v>
      </c>
      <c r="M502" s="412">
        <f t="shared" si="24"/>
        <v>0</v>
      </c>
      <c r="N502" s="412">
        <f t="shared" si="26"/>
        <v>0</v>
      </c>
      <c r="O502" s="412">
        <f>All_Detail_v2[[#This Row],[Qty. Success]]</f>
        <v>0</v>
      </c>
      <c r="P502" s="230">
        <f>IF(All_Detail_v2[[#This Row],[Qty]]=0,1,(M502+N502+O502)/(All_Detail_v2[[#This Row],[Qty]]*3))</f>
        <v>0</v>
      </c>
      <c r="Q502" s="195"/>
      <c r="R502" s="414">
        <f>All_Detail_v2[[#This Row],[Scheduled Date]]</f>
        <v>46169</v>
      </c>
      <c r="S502" s="414">
        <f>All_Detail_v2[[#This Row],[Install Date]]</f>
        <v>0</v>
      </c>
    </row>
    <row r="503" spans="1:19">
      <c r="A503">
        <v>499</v>
      </c>
      <c r="B503" s="687" t="s">
        <v>636</v>
      </c>
      <c r="C503" s="689" t="s">
        <v>694</v>
      </c>
      <c r="D503" s="689" t="s">
        <v>695</v>
      </c>
      <c r="E503" s="689" t="s">
        <v>374</v>
      </c>
      <c r="F503" s="689">
        <v>3</v>
      </c>
      <c r="G503" s="689"/>
      <c r="H503" s="695"/>
      <c r="I503" s="695">
        <v>46139</v>
      </c>
      <c r="J503" s="689" t="s">
        <v>365</v>
      </c>
      <c r="K503" t="str">
        <f t="shared" si="25"/>
        <v>Switch</v>
      </c>
      <c r="M503" s="412">
        <f t="shared" si="24"/>
        <v>0</v>
      </c>
      <c r="N503" s="412">
        <f t="shared" si="26"/>
        <v>0</v>
      </c>
      <c r="O503" s="412">
        <f>All_Detail_v2[[#This Row],[Qty. Success]]</f>
        <v>0</v>
      </c>
      <c r="P503" s="230">
        <f>IF(All_Detail_v2[[#This Row],[Qty]]=0,1,(M503+N503+O503)/(All_Detail_v2[[#This Row],[Qty]]*3))</f>
        <v>0</v>
      </c>
      <c r="Q503" s="195"/>
      <c r="R503" s="414">
        <f>All_Detail_v2[[#This Row],[Scheduled Date]]</f>
        <v>46139</v>
      </c>
      <c r="S503" s="414">
        <f>All_Detail_v2[[#This Row],[Install Date]]</f>
        <v>0</v>
      </c>
    </row>
    <row r="504" spans="1:19">
      <c r="A504">
        <v>500</v>
      </c>
      <c r="B504" s="687" t="s">
        <v>636</v>
      </c>
      <c r="C504" s="689" t="s">
        <v>694</v>
      </c>
      <c r="D504" s="689" t="s">
        <v>695</v>
      </c>
      <c r="E504" s="689" t="s">
        <v>370</v>
      </c>
      <c r="F504" s="689">
        <v>23</v>
      </c>
      <c r="G504" s="689"/>
      <c r="H504" s="695"/>
      <c r="I504" s="695">
        <v>46139</v>
      </c>
      <c r="J504" s="689" t="s">
        <v>365</v>
      </c>
      <c r="K504" t="str">
        <f t="shared" si="25"/>
        <v>Switch</v>
      </c>
      <c r="M504" s="412">
        <f t="shared" si="24"/>
        <v>0</v>
      </c>
      <c r="N504" s="412">
        <f t="shared" si="26"/>
        <v>0</v>
      </c>
      <c r="O504" s="412">
        <f>All_Detail_v2[[#This Row],[Qty. Success]]</f>
        <v>0</v>
      </c>
      <c r="P504" s="230">
        <f>IF(All_Detail_v2[[#This Row],[Qty]]=0,1,(M504+N504+O504)/(All_Detail_v2[[#This Row],[Qty]]*3))</f>
        <v>0</v>
      </c>
      <c r="Q504" s="195"/>
      <c r="R504" s="414">
        <f>All_Detail_v2[[#This Row],[Scheduled Date]]</f>
        <v>46139</v>
      </c>
      <c r="S504" s="414">
        <f>All_Detail_v2[[#This Row],[Install Date]]</f>
        <v>0</v>
      </c>
    </row>
    <row r="505" spans="1:19">
      <c r="A505">
        <v>501</v>
      </c>
      <c r="B505" s="687" t="s">
        <v>636</v>
      </c>
      <c r="C505" s="689" t="s">
        <v>694</v>
      </c>
      <c r="D505" s="689" t="s">
        <v>695</v>
      </c>
      <c r="E505" s="689" t="s">
        <v>367</v>
      </c>
      <c r="F505" s="689">
        <v>3</v>
      </c>
      <c r="G505" s="689"/>
      <c r="H505" s="695"/>
      <c r="I505" s="695">
        <v>46139</v>
      </c>
      <c r="J505" s="689" t="s">
        <v>365</v>
      </c>
      <c r="K505" t="str">
        <f t="shared" si="25"/>
        <v>Switch</v>
      </c>
      <c r="M505" s="412">
        <f t="shared" si="24"/>
        <v>0</v>
      </c>
      <c r="N505" s="412">
        <f t="shared" si="26"/>
        <v>0</v>
      </c>
      <c r="O505" s="412">
        <f>All_Detail_v2[[#This Row],[Qty. Success]]</f>
        <v>0</v>
      </c>
      <c r="P505" s="230">
        <f>IF(All_Detail_v2[[#This Row],[Qty]]=0,1,(M505+N505+O505)/(All_Detail_v2[[#This Row],[Qty]]*3))</f>
        <v>0</v>
      </c>
      <c r="Q505" s="195"/>
      <c r="R505" s="414">
        <f>All_Detail_v2[[#This Row],[Scheduled Date]]</f>
        <v>46139</v>
      </c>
      <c r="S505" s="414">
        <f>All_Detail_v2[[#This Row],[Install Date]]</f>
        <v>0</v>
      </c>
    </row>
    <row r="506" spans="1:19">
      <c r="A506">
        <v>502</v>
      </c>
      <c r="B506" s="687" t="s">
        <v>636</v>
      </c>
      <c r="C506" s="689" t="s">
        <v>694</v>
      </c>
      <c r="D506" s="689" t="s">
        <v>695</v>
      </c>
      <c r="E506" s="689" t="s">
        <v>375</v>
      </c>
      <c r="F506" s="689">
        <v>9</v>
      </c>
      <c r="G506" s="689"/>
      <c r="H506" s="695"/>
      <c r="I506" s="695">
        <v>46139</v>
      </c>
      <c r="J506" s="689" t="s">
        <v>365</v>
      </c>
      <c r="K506" t="str">
        <f t="shared" si="25"/>
        <v>Switch</v>
      </c>
      <c r="M506" s="412">
        <f t="shared" si="24"/>
        <v>0</v>
      </c>
      <c r="N506" s="412">
        <f t="shared" si="26"/>
        <v>0</v>
      </c>
      <c r="O506" s="412">
        <f>All_Detail_v2[[#This Row],[Qty. Success]]</f>
        <v>0</v>
      </c>
      <c r="P506" s="230">
        <f>IF(All_Detail_v2[[#This Row],[Qty]]=0,1,(M506+N506+O506)/(All_Detail_v2[[#This Row],[Qty]]*3))</f>
        <v>0</v>
      </c>
      <c r="Q506" s="195"/>
      <c r="R506" s="414">
        <f>All_Detail_v2[[#This Row],[Scheduled Date]]</f>
        <v>46139</v>
      </c>
      <c r="S506" s="414">
        <f>All_Detail_v2[[#This Row],[Install Date]]</f>
        <v>0</v>
      </c>
    </row>
    <row r="507" spans="1:19">
      <c r="A507">
        <v>503</v>
      </c>
      <c r="B507" s="687" t="s">
        <v>636</v>
      </c>
      <c r="C507" s="689" t="s">
        <v>694</v>
      </c>
      <c r="D507" s="689" t="s">
        <v>695</v>
      </c>
      <c r="E507" s="689" t="s">
        <v>410</v>
      </c>
      <c r="F507" s="689">
        <v>1</v>
      </c>
      <c r="G507" s="689"/>
      <c r="H507" s="695"/>
      <c r="I507" s="695">
        <v>46139</v>
      </c>
      <c r="J507" s="689" t="s">
        <v>365</v>
      </c>
      <c r="K507" t="str">
        <f t="shared" si="25"/>
        <v>Switch</v>
      </c>
      <c r="M507" s="412">
        <f t="shared" si="24"/>
        <v>0</v>
      </c>
      <c r="N507" s="412">
        <f t="shared" si="26"/>
        <v>0</v>
      </c>
      <c r="O507" s="412">
        <f>All_Detail_v2[[#This Row],[Qty. Success]]</f>
        <v>0</v>
      </c>
      <c r="P507" s="230">
        <f>IF(All_Detail_v2[[#This Row],[Qty]]=0,1,(M507+N507+O507)/(All_Detail_v2[[#This Row],[Qty]]*3))</f>
        <v>0</v>
      </c>
      <c r="Q507" s="195"/>
      <c r="R507" s="414">
        <f>All_Detail_v2[[#This Row],[Scheduled Date]]</f>
        <v>46139</v>
      </c>
      <c r="S507" s="414">
        <f>All_Detail_v2[[#This Row],[Install Date]]</f>
        <v>0</v>
      </c>
    </row>
    <row r="508" spans="1:19">
      <c r="A508">
        <v>504</v>
      </c>
      <c r="B508" s="687" t="s">
        <v>636</v>
      </c>
      <c r="C508" s="689" t="s">
        <v>694</v>
      </c>
      <c r="D508" s="689" t="s">
        <v>696</v>
      </c>
      <c r="E508" s="689" t="s">
        <v>370</v>
      </c>
      <c r="F508" s="689">
        <v>1</v>
      </c>
      <c r="G508" s="689"/>
      <c r="H508" s="695"/>
      <c r="I508" s="695">
        <v>46142</v>
      </c>
      <c r="J508" s="689" t="s">
        <v>365</v>
      </c>
      <c r="K508" t="str">
        <f t="shared" si="25"/>
        <v>Switch</v>
      </c>
      <c r="M508" s="412">
        <f t="shared" si="24"/>
        <v>0</v>
      </c>
      <c r="N508" s="412">
        <f t="shared" si="26"/>
        <v>0</v>
      </c>
      <c r="O508" s="412">
        <f>All_Detail_v2[[#This Row],[Qty. Success]]</f>
        <v>0</v>
      </c>
      <c r="P508" s="230">
        <f>IF(All_Detail_v2[[#This Row],[Qty]]=0,1,(M508+N508+O508)/(All_Detail_v2[[#This Row],[Qty]]*3))</f>
        <v>0</v>
      </c>
      <c r="Q508" s="195"/>
      <c r="R508" s="414">
        <f>All_Detail_v2[[#This Row],[Scheduled Date]]</f>
        <v>46142</v>
      </c>
      <c r="S508" s="414">
        <f>All_Detail_v2[[#This Row],[Install Date]]</f>
        <v>0</v>
      </c>
    </row>
    <row r="509" spans="1:19">
      <c r="A509">
        <v>505</v>
      </c>
      <c r="B509" s="687" t="s">
        <v>636</v>
      </c>
      <c r="C509" s="689" t="s">
        <v>694</v>
      </c>
      <c r="D509" s="689" t="s">
        <v>696</v>
      </c>
      <c r="E509" s="689" t="s">
        <v>375</v>
      </c>
      <c r="F509" s="689">
        <v>1</v>
      </c>
      <c r="G509" s="689"/>
      <c r="H509" s="695"/>
      <c r="I509" s="695">
        <v>46142</v>
      </c>
      <c r="J509" s="689" t="s">
        <v>365</v>
      </c>
      <c r="K509" t="str">
        <f t="shared" si="25"/>
        <v>Switch</v>
      </c>
      <c r="M509" s="412">
        <f t="shared" si="24"/>
        <v>0</v>
      </c>
      <c r="N509" s="412">
        <f t="shared" si="26"/>
        <v>0</v>
      </c>
      <c r="O509" s="412">
        <f>All_Detail_v2[[#This Row],[Qty. Success]]</f>
        <v>0</v>
      </c>
      <c r="P509" s="230">
        <f>IF(All_Detail_v2[[#This Row],[Qty]]=0,1,(M509+N509+O509)/(All_Detail_v2[[#This Row],[Qty]]*3))</f>
        <v>0</v>
      </c>
      <c r="Q509" s="195"/>
      <c r="R509" s="414">
        <f>All_Detail_v2[[#This Row],[Scheduled Date]]</f>
        <v>46142</v>
      </c>
      <c r="S509" s="414">
        <f>All_Detail_v2[[#This Row],[Install Date]]</f>
        <v>0</v>
      </c>
    </row>
    <row r="510" spans="1:19">
      <c r="A510">
        <v>506</v>
      </c>
      <c r="B510" s="687" t="s">
        <v>636</v>
      </c>
      <c r="C510" s="689" t="s">
        <v>694</v>
      </c>
      <c r="D510" s="689" t="s">
        <v>697</v>
      </c>
      <c r="E510" s="689" t="s">
        <v>370</v>
      </c>
      <c r="F510" s="689">
        <v>2</v>
      </c>
      <c r="G510" s="689"/>
      <c r="H510" s="695"/>
      <c r="I510" s="695">
        <v>46142</v>
      </c>
      <c r="J510" s="689" t="s">
        <v>365</v>
      </c>
      <c r="K510" t="str">
        <f t="shared" si="25"/>
        <v>Switch</v>
      </c>
      <c r="M510" s="412">
        <f t="shared" si="24"/>
        <v>0</v>
      </c>
      <c r="N510" s="412">
        <f t="shared" si="26"/>
        <v>0</v>
      </c>
      <c r="O510" s="412">
        <f>All_Detail_v2[[#This Row],[Qty. Success]]</f>
        <v>0</v>
      </c>
      <c r="P510" s="230">
        <f>IF(All_Detail_v2[[#This Row],[Qty]]=0,1,(M510+N510+O510)/(All_Detail_v2[[#This Row],[Qty]]*3))</f>
        <v>0</v>
      </c>
      <c r="Q510" s="195"/>
      <c r="R510" s="414">
        <f>All_Detail_v2[[#This Row],[Scheduled Date]]</f>
        <v>46142</v>
      </c>
      <c r="S510" s="414">
        <f>All_Detail_v2[[#This Row],[Install Date]]</f>
        <v>0</v>
      </c>
    </row>
    <row r="511" spans="1:19">
      <c r="A511">
        <v>507</v>
      </c>
      <c r="B511" s="687" t="s">
        <v>636</v>
      </c>
      <c r="C511" s="689" t="s">
        <v>694</v>
      </c>
      <c r="D511" s="689" t="s">
        <v>697</v>
      </c>
      <c r="E511" s="689" t="s">
        <v>375</v>
      </c>
      <c r="F511" s="689">
        <v>1</v>
      </c>
      <c r="G511" s="689"/>
      <c r="H511" s="695"/>
      <c r="I511" s="695">
        <v>46142</v>
      </c>
      <c r="J511" s="689" t="s">
        <v>365</v>
      </c>
      <c r="K511" t="str">
        <f t="shared" si="25"/>
        <v>Switch</v>
      </c>
      <c r="M511" s="412">
        <f t="shared" si="24"/>
        <v>0</v>
      </c>
      <c r="N511" s="412">
        <f t="shared" si="26"/>
        <v>0</v>
      </c>
      <c r="O511" s="412">
        <f>All_Detail_v2[[#This Row],[Qty. Success]]</f>
        <v>0</v>
      </c>
      <c r="P511" s="230">
        <f>IF(All_Detail_v2[[#This Row],[Qty]]=0,1,(M511+N511+O511)/(All_Detail_v2[[#This Row],[Qty]]*3))</f>
        <v>0</v>
      </c>
      <c r="Q511" s="195"/>
      <c r="R511" s="414">
        <f>All_Detail_v2[[#This Row],[Scheduled Date]]</f>
        <v>46142</v>
      </c>
      <c r="S511" s="414">
        <f>All_Detail_v2[[#This Row],[Install Date]]</f>
        <v>0</v>
      </c>
    </row>
    <row r="512" spans="1:19">
      <c r="A512">
        <v>508</v>
      </c>
      <c r="B512" s="687" t="s">
        <v>636</v>
      </c>
      <c r="C512" s="689" t="s">
        <v>698</v>
      </c>
      <c r="D512" s="689" t="s">
        <v>699</v>
      </c>
      <c r="E512" s="689" t="s">
        <v>374</v>
      </c>
      <c r="F512" s="689">
        <v>3</v>
      </c>
      <c r="G512" s="689"/>
      <c r="H512" s="695"/>
      <c r="I512" s="695">
        <v>46147</v>
      </c>
      <c r="J512" s="689" t="s">
        <v>365</v>
      </c>
      <c r="K512" t="str">
        <f t="shared" si="25"/>
        <v>Switch</v>
      </c>
      <c r="M512" s="412">
        <f t="shared" si="24"/>
        <v>0</v>
      </c>
      <c r="N512" s="412">
        <f t="shared" si="26"/>
        <v>0</v>
      </c>
      <c r="O512" s="412">
        <f>All_Detail_v2[[#This Row],[Qty. Success]]</f>
        <v>0</v>
      </c>
      <c r="P512" s="230">
        <f>IF(All_Detail_v2[[#This Row],[Qty]]=0,1,(M512+N512+O512)/(All_Detail_v2[[#This Row],[Qty]]*3))</f>
        <v>0</v>
      </c>
      <c r="Q512" s="195"/>
      <c r="R512" s="414">
        <f>All_Detail_v2[[#This Row],[Scheduled Date]]</f>
        <v>46147</v>
      </c>
      <c r="S512" s="414">
        <f>All_Detail_v2[[#This Row],[Install Date]]</f>
        <v>0</v>
      </c>
    </row>
    <row r="513" spans="1:19">
      <c r="A513">
        <v>509</v>
      </c>
      <c r="B513" s="687" t="s">
        <v>636</v>
      </c>
      <c r="C513" s="689" t="s">
        <v>698</v>
      </c>
      <c r="D513" s="689" t="s">
        <v>699</v>
      </c>
      <c r="E513" s="689" t="s">
        <v>370</v>
      </c>
      <c r="F513" s="689">
        <v>17</v>
      </c>
      <c r="G513" s="689"/>
      <c r="H513" s="695"/>
      <c r="I513" s="695">
        <v>46147</v>
      </c>
      <c r="J513" s="689" t="s">
        <v>365</v>
      </c>
      <c r="K513" t="str">
        <f t="shared" si="25"/>
        <v>Switch</v>
      </c>
      <c r="M513" s="412">
        <f t="shared" si="24"/>
        <v>0</v>
      </c>
      <c r="N513" s="412">
        <f t="shared" si="26"/>
        <v>0</v>
      </c>
      <c r="O513" s="412">
        <f>All_Detail_v2[[#This Row],[Qty. Success]]</f>
        <v>0</v>
      </c>
      <c r="P513" s="230">
        <f>IF(All_Detail_v2[[#This Row],[Qty]]=0,1,(M513+N513+O513)/(All_Detail_v2[[#This Row],[Qty]]*3))</f>
        <v>0</v>
      </c>
      <c r="Q513" s="195"/>
      <c r="R513" s="414">
        <f>All_Detail_v2[[#This Row],[Scheduled Date]]</f>
        <v>46147</v>
      </c>
      <c r="S513" s="414">
        <f>All_Detail_v2[[#This Row],[Install Date]]</f>
        <v>0</v>
      </c>
    </row>
    <row r="514" spans="1:19">
      <c r="A514">
        <v>510</v>
      </c>
      <c r="B514" s="687" t="s">
        <v>636</v>
      </c>
      <c r="C514" s="689" t="s">
        <v>698</v>
      </c>
      <c r="D514" s="689" t="s">
        <v>699</v>
      </c>
      <c r="E514" s="689" t="s">
        <v>367</v>
      </c>
      <c r="F514" s="689">
        <v>4</v>
      </c>
      <c r="G514" s="689"/>
      <c r="H514" s="695"/>
      <c r="I514" s="695">
        <v>46147</v>
      </c>
      <c r="J514" s="689" t="s">
        <v>365</v>
      </c>
      <c r="K514" t="str">
        <f t="shared" si="25"/>
        <v>Switch</v>
      </c>
      <c r="M514" s="412">
        <f t="shared" ref="M514:M577" si="27">O514</f>
        <v>0</v>
      </c>
      <c r="N514" s="412">
        <f t="shared" si="26"/>
        <v>0</v>
      </c>
      <c r="O514" s="412">
        <f>All_Detail_v2[[#This Row],[Qty. Success]]</f>
        <v>0</v>
      </c>
      <c r="P514" s="230">
        <f>IF(All_Detail_v2[[#This Row],[Qty]]=0,1,(M514+N514+O514)/(All_Detail_v2[[#This Row],[Qty]]*3))</f>
        <v>0</v>
      </c>
      <c r="Q514" s="195"/>
      <c r="R514" s="414">
        <f>All_Detail_v2[[#This Row],[Scheduled Date]]</f>
        <v>46147</v>
      </c>
      <c r="S514" s="414">
        <f>All_Detail_v2[[#This Row],[Install Date]]</f>
        <v>0</v>
      </c>
    </row>
    <row r="515" spans="1:19">
      <c r="A515">
        <v>511</v>
      </c>
      <c r="B515" s="687" t="s">
        <v>636</v>
      </c>
      <c r="C515" s="689" t="s">
        <v>698</v>
      </c>
      <c r="D515" s="689" t="s">
        <v>699</v>
      </c>
      <c r="E515" s="689" t="s">
        <v>375</v>
      </c>
      <c r="F515" s="689">
        <v>12</v>
      </c>
      <c r="G515" s="689"/>
      <c r="H515" s="695"/>
      <c r="I515" s="695">
        <v>46147</v>
      </c>
      <c r="J515" s="689" t="s">
        <v>365</v>
      </c>
      <c r="K515" t="str">
        <f t="shared" ref="K515:K578" si="28">IF(ISNUMBER(SEARCH("Access Point",E515)),"AP",IF(OR(ISNUMBER(SEARCH("Switch",E515)),ISNUMBER(SEARCH("Control Type",E515))),"Switch","Infra"))</f>
        <v>Switch</v>
      </c>
      <c r="M515" s="412">
        <f t="shared" si="27"/>
        <v>0</v>
      </c>
      <c r="N515" s="412">
        <f t="shared" si="26"/>
        <v>0</v>
      </c>
      <c r="O515" s="412">
        <f>All_Detail_v2[[#This Row],[Qty. Success]]</f>
        <v>0</v>
      </c>
      <c r="P515" s="230">
        <f>IF(All_Detail_v2[[#This Row],[Qty]]=0,1,(M515+N515+O515)/(All_Detail_v2[[#This Row],[Qty]]*3))</f>
        <v>0</v>
      </c>
      <c r="Q515" s="195"/>
      <c r="R515" s="414">
        <f>All_Detail_v2[[#This Row],[Scheduled Date]]</f>
        <v>46147</v>
      </c>
      <c r="S515" s="414">
        <f>All_Detail_v2[[#This Row],[Install Date]]</f>
        <v>0</v>
      </c>
    </row>
    <row r="516" spans="1:19">
      <c r="A516">
        <v>512</v>
      </c>
      <c r="B516" s="687" t="s">
        <v>636</v>
      </c>
      <c r="C516" s="689" t="s">
        <v>698</v>
      </c>
      <c r="D516" s="689" t="s">
        <v>699</v>
      </c>
      <c r="E516" s="689" t="s">
        <v>410</v>
      </c>
      <c r="F516" s="689">
        <v>1</v>
      </c>
      <c r="G516" s="689"/>
      <c r="H516" s="695"/>
      <c r="I516" s="695">
        <v>46147</v>
      </c>
      <c r="J516" s="689" t="s">
        <v>365</v>
      </c>
      <c r="K516" t="str">
        <f t="shared" si="28"/>
        <v>Switch</v>
      </c>
      <c r="M516" s="412">
        <f t="shared" si="27"/>
        <v>0</v>
      </c>
      <c r="N516" s="412">
        <f t="shared" si="26"/>
        <v>0</v>
      </c>
      <c r="O516" s="412">
        <f>All_Detail_v2[[#This Row],[Qty. Success]]</f>
        <v>0</v>
      </c>
      <c r="P516" s="230">
        <f>IF(All_Detail_v2[[#This Row],[Qty]]=0,1,(M516+N516+O516)/(All_Detail_v2[[#This Row],[Qty]]*3))</f>
        <v>0</v>
      </c>
      <c r="Q516" s="195"/>
      <c r="R516" s="414">
        <f>All_Detail_v2[[#This Row],[Scheduled Date]]</f>
        <v>46147</v>
      </c>
      <c r="S516" s="414">
        <f>All_Detail_v2[[#This Row],[Install Date]]</f>
        <v>0</v>
      </c>
    </row>
    <row r="517" spans="1:19">
      <c r="A517">
        <v>513</v>
      </c>
      <c r="B517" s="687" t="s">
        <v>636</v>
      </c>
      <c r="C517" s="689" t="s">
        <v>698</v>
      </c>
      <c r="D517" s="689" t="s">
        <v>700</v>
      </c>
      <c r="E517" s="689" t="s">
        <v>370</v>
      </c>
      <c r="F517" s="689">
        <v>1</v>
      </c>
      <c r="G517" s="689"/>
      <c r="H517" s="695"/>
      <c r="I517" s="695">
        <v>46150</v>
      </c>
      <c r="J517" s="689" t="s">
        <v>365</v>
      </c>
      <c r="K517" t="str">
        <f t="shared" si="28"/>
        <v>Switch</v>
      </c>
      <c r="M517" s="412">
        <f t="shared" si="27"/>
        <v>0</v>
      </c>
      <c r="N517" s="412">
        <f t="shared" si="26"/>
        <v>0</v>
      </c>
      <c r="O517" s="412">
        <f>All_Detail_v2[[#This Row],[Qty. Success]]</f>
        <v>0</v>
      </c>
      <c r="P517" s="230">
        <f>IF(All_Detail_v2[[#This Row],[Qty]]=0,1,(M517+N517+O517)/(All_Detail_v2[[#This Row],[Qty]]*3))</f>
        <v>0</v>
      </c>
      <c r="Q517" s="195"/>
      <c r="R517" s="414">
        <f>All_Detail_v2[[#This Row],[Scheduled Date]]</f>
        <v>46150</v>
      </c>
      <c r="S517" s="414">
        <f>All_Detail_v2[[#This Row],[Install Date]]</f>
        <v>0</v>
      </c>
    </row>
    <row r="518" spans="1:19">
      <c r="A518">
        <v>514</v>
      </c>
      <c r="B518" s="687" t="s">
        <v>636</v>
      </c>
      <c r="C518" s="689" t="s">
        <v>698</v>
      </c>
      <c r="D518" s="689" t="s">
        <v>700</v>
      </c>
      <c r="E518" s="689" t="s">
        <v>375</v>
      </c>
      <c r="F518" s="689">
        <v>1</v>
      </c>
      <c r="G518" s="689"/>
      <c r="H518" s="695"/>
      <c r="I518" s="695">
        <v>46150</v>
      </c>
      <c r="J518" s="689" t="s">
        <v>365</v>
      </c>
      <c r="K518" t="str">
        <f t="shared" si="28"/>
        <v>Switch</v>
      </c>
      <c r="M518" s="412">
        <f t="shared" si="27"/>
        <v>0</v>
      </c>
      <c r="N518" s="412">
        <f t="shared" ref="N518:N581" si="29">O518</f>
        <v>0</v>
      </c>
      <c r="O518" s="412">
        <f>All_Detail_v2[[#This Row],[Qty. Success]]</f>
        <v>0</v>
      </c>
      <c r="P518" s="230">
        <f>IF(All_Detail_v2[[#This Row],[Qty]]=0,1,(M518+N518+O518)/(All_Detail_v2[[#This Row],[Qty]]*3))</f>
        <v>0</v>
      </c>
      <c r="Q518" s="195"/>
      <c r="R518" s="414">
        <f>All_Detail_v2[[#This Row],[Scheduled Date]]</f>
        <v>46150</v>
      </c>
      <c r="S518" s="414">
        <f>All_Detail_v2[[#This Row],[Install Date]]</f>
        <v>0</v>
      </c>
    </row>
    <row r="519" spans="1:19">
      <c r="A519">
        <v>515</v>
      </c>
      <c r="B519" s="687" t="s">
        <v>636</v>
      </c>
      <c r="C519" s="688" t="s">
        <v>701</v>
      </c>
      <c r="D519" s="688" t="s">
        <v>702</v>
      </c>
      <c r="E519" s="689" t="s">
        <v>370</v>
      </c>
      <c r="F519" s="689">
        <v>1</v>
      </c>
      <c r="G519" s="689"/>
      <c r="H519" s="695"/>
      <c r="I519" s="695">
        <v>46150</v>
      </c>
      <c r="J519" s="689" t="s">
        <v>365</v>
      </c>
      <c r="K519" t="str">
        <f t="shared" si="28"/>
        <v>Switch</v>
      </c>
      <c r="M519" s="412">
        <f t="shared" si="27"/>
        <v>0</v>
      </c>
      <c r="N519" s="412">
        <f t="shared" si="29"/>
        <v>0</v>
      </c>
      <c r="O519" s="412">
        <f>All_Detail_v2[[#This Row],[Qty. Success]]</f>
        <v>0</v>
      </c>
      <c r="P519" s="230">
        <f>IF(All_Detail_v2[[#This Row],[Qty]]=0,1,(M519+N519+O519)/(All_Detail_v2[[#This Row],[Qty]]*3))</f>
        <v>0</v>
      </c>
      <c r="Q519" s="195"/>
      <c r="R519" s="414">
        <f>All_Detail_v2[[#This Row],[Scheduled Date]]</f>
        <v>46150</v>
      </c>
      <c r="S519" s="414">
        <f>All_Detail_v2[[#This Row],[Install Date]]</f>
        <v>0</v>
      </c>
    </row>
    <row r="520" spans="1:19">
      <c r="A520">
        <v>516</v>
      </c>
      <c r="B520" s="687" t="s">
        <v>636</v>
      </c>
      <c r="C520" s="688" t="s">
        <v>701</v>
      </c>
      <c r="D520" s="688" t="s">
        <v>702</v>
      </c>
      <c r="E520" s="689" t="s">
        <v>375</v>
      </c>
      <c r="F520" s="689">
        <v>2</v>
      </c>
      <c r="G520" s="689"/>
      <c r="H520" s="695"/>
      <c r="I520" s="695">
        <v>46150</v>
      </c>
      <c r="J520" s="689" t="s">
        <v>365</v>
      </c>
      <c r="K520" t="str">
        <f t="shared" si="28"/>
        <v>Switch</v>
      </c>
      <c r="M520" s="412">
        <f t="shared" si="27"/>
        <v>0</v>
      </c>
      <c r="N520" s="412">
        <f t="shared" si="29"/>
        <v>0</v>
      </c>
      <c r="O520" s="412">
        <f>All_Detail_v2[[#This Row],[Qty. Success]]</f>
        <v>0</v>
      </c>
      <c r="P520" s="230">
        <f>IF(All_Detail_v2[[#This Row],[Qty]]=0,1,(M520+N520+O520)/(All_Detail_v2[[#This Row],[Qty]]*3))</f>
        <v>0</v>
      </c>
      <c r="Q520" s="195"/>
      <c r="R520" s="414">
        <f>All_Detail_v2[[#This Row],[Scheduled Date]]</f>
        <v>46150</v>
      </c>
      <c r="S520" s="414">
        <f>All_Detail_v2[[#This Row],[Install Date]]</f>
        <v>0</v>
      </c>
    </row>
    <row r="521" spans="1:19">
      <c r="A521">
        <v>517</v>
      </c>
      <c r="B521" s="687" t="s">
        <v>636</v>
      </c>
      <c r="C521" s="688" t="s">
        <v>701</v>
      </c>
      <c r="D521" s="688" t="s">
        <v>703</v>
      </c>
      <c r="E521" s="689" t="s">
        <v>370</v>
      </c>
      <c r="F521" s="689">
        <v>2</v>
      </c>
      <c r="G521" s="689"/>
      <c r="H521" s="695"/>
      <c r="I521" s="695">
        <v>46150</v>
      </c>
      <c r="J521" s="689" t="s">
        <v>365</v>
      </c>
      <c r="K521" t="str">
        <f t="shared" si="28"/>
        <v>Switch</v>
      </c>
      <c r="M521" s="412">
        <f t="shared" si="27"/>
        <v>0</v>
      </c>
      <c r="N521" s="412">
        <f t="shared" si="29"/>
        <v>0</v>
      </c>
      <c r="O521" s="412">
        <f>All_Detail_v2[[#This Row],[Qty. Success]]</f>
        <v>0</v>
      </c>
      <c r="P521" s="230">
        <f>IF(All_Detail_v2[[#This Row],[Qty]]=0,1,(M521+N521+O521)/(All_Detail_v2[[#This Row],[Qty]]*3))</f>
        <v>0</v>
      </c>
      <c r="Q521" s="195"/>
      <c r="R521" s="414">
        <f>All_Detail_v2[[#This Row],[Scheduled Date]]</f>
        <v>46150</v>
      </c>
      <c r="S521" s="414">
        <f>All_Detail_v2[[#This Row],[Install Date]]</f>
        <v>0</v>
      </c>
    </row>
    <row r="522" spans="1:19">
      <c r="A522">
        <v>518</v>
      </c>
      <c r="B522" s="687" t="s">
        <v>636</v>
      </c>
      <c r="C522" s="688" t="s">
        <v>701</v>
      </c>
      <c r="D522" s="688" t="s">
        <v>703</v>
      </c>
      <c r="E522" s="689" t="s">
        <v>375</v>
      </c>
      <c r="F522" s="689">
        <v>1</v>
      </c>
      <c r="G522" s="689"/>
      <c r="H522" s="695"/>
      <c r="I522" s="695">
        <v>46150</v>
      </c>
      <c r="J522" s="689" t="s">
        <v>365</v>
      </c>
      <c r="K522" t="str">
        <f t="shared" si="28"/>
        <v>Switch</v>
      </c>
      <c r="M522" s="412">
        <f t="shared" si="27"/>
        <v>0</v>
      </c>
      <c r="N522" s="412">
        <f t="shared" si="29"/>
        <v>0</v>
      </c>
      <c r="O522" s="412">
        <f>All_Detail_v2[[#This Row],[Qty. Success]]</f>
        <v>0</v>
      </c>
      <c r="P522" s="230">
        <f>IF(All_Detail_v2[[#This Row],[Qty]]=0,1,(M522+N522+O522)/(All_Detail_v2[[#This Row],[Qty]]*3))</f>
        <v>0</v>
      </c>
      <c r="Q522" s="195"/>
      <c r="R522" s="414">
        <f>All_Detail_v2[[#This Row],[Scheduled Date]]</f>
        <v>46150</v>
      </c>
      <c r="S522" s="414">
        <f>All_Detail_v2[[#This Row],[Install Date]]</f>
        <v>0</v>
      </c>
    </row>
    <row r="523" spans="1:19">
      <c r="A523">
        <v>519</v>
      </c>
      <c r="B523" s="687" t="s">
        <v>636</v>
      </c>
      <c r="C523" s="688" t="s">
        <v>701</v>
      </c>
      <c r="D523" s="688" t="s">
        <v>703</v>
      </c>
      <c r="E523" s="689" t="s">
        <v>410</v>
      </c>
      <c r="F523" s="689">
        <v>2</v>
      </c>
      <c r="G523" s="689"/>
      <c r="H523" s="695"/>
      <c r="I523" s="695">
        <v>46150</v>
      </c>
      <c r="J523" s="689" t="s">
        <v>365</v>
      </c>
      <c r="K523" t="str">
        <f t="shared" si="28"/>
        <v>Switch</v>
      </c>
      <c r="M523" s="412">
        <f t="shared" si="27"/>
        <v>0</v>
      </c>
      <c r="N523" s="412">
        <f t="shared" si="29"/>
        <v>0</v>
      </c>
      <c r="O523" s="412">
        <f>All_Detail_v2[[#This Row],[Qty. Success]]</f>
        <v>0</v>
      </c>
      <c r="P523" s="230">
        <f>IF(All_Detail_v2[[#This Row],[Qty]]=0,1,(M523+N523+O523)/(All_Detail_v2[[#This Row],[Qty]]*3))</f>
        <v>0</v>
      </c>
      <c r="Q523" s="195"/>
      <c r="R523" s="414">
        <f>All_Detail_v2[[#This Row],[Scheduled Date]]</f>
        <v>46150</v>
      </c>
      <c r="S523" s="414">
        <f>All_Detail_v2[[#This Row],[Install Date]]</f>
        <v>0</v>
      </c>
    </row>
    <row r="524" spans="1:19">
      <c r="A524">
        <v>520</v>
      </c>
      <c r="B524" s="687" t="s">
        <v>636</v>
      </c>
      <c r="C524" s="689" t="s">
        <v>704</v>
      </c>
      <c r="D524" s="689" t="s">
        <v>636</v>
      </c>
      <c r="E524" s="689" t="s">
        <v>418</v>
      </c>
      <c r="F524" s="689">
        <v>2</v>
      </c>
      <c r="G524" s="689"/>
      <c r="H524" s="695"/>
      <c r="I524" s="695">
        <v>46150</v>
      </c>
      <c r="J524" s="689" t="s">
        <v>365</v>
      </c>
      <c r="K524" t="str">
        <f t="shared" si="28"/>
        <v>Switch</v>
      </c>
      <c r="M524" s="412">
        <f t="shared" si="27"/>
        <v>0</v>
      </c>
      <c r="N524" s="412">
        <f t="shared" si="29"/>
        <v>0</v>
      </c>
      <c r="O524" s="412">
        <f>All_Detail_v2[[#This Row],[Qty. Success]]</f>
        <v>0</v>
      </c>
      <c r="P524" s="230">
        <f>IF(All_Detail_v2[[#This Row],[Qty]]=0,1,(M524+N524+O524)/(All_Detail_v2[[#This Row],[Qty]]*3))</f>
        <v>0</v>
      </c>
      <c r="Q524" s="195"/>
      <c r="R524" s="414">
        <f>All_Detail_v2[[#This Row],[Scheduled Date]]</f>
        <v>46150</v>
      </c>
      <c r="S524" s="414">
        <f>All_Detail_v2[[#This Row],[Install Date]]</f>
        <v>0</v>
      </c>
    </row>
    <row r="525" spans="1:19">
      <c r="A525">
        <v>521</v>
      </c>
      <c r="B525" s="687" t="s">
        <v>636</v>
      </c>
      <c r="C525" s="689" t="s">
        <v>704</v>
      </c>
      <c r="D525" s="689" t="s">
        <v>636</v>
      </c>
      <c r="E525" s="689" t="s">
        <v>421</v>
      </c>
      <c r="F525" s="689">
        <v>2</v>
      </c>
      <c r="G525" s="689">
        <v>2</v>
      </c>
      <c r="H525" s="695">
        <v>46063</v>
      </c>
      <c r="I525" s="695">
        <v>46063</v>
      </c>
      <c r="J525" s="689" t="s">
        <v>368</v>
      </c>
      <c r="K525" t="str">
        <f t="shared" si="28"/>
        <v>Infra</v>
      </c>
      <c r="M525" s="412">
        <f t="shared" si="27"/>
        <v>2</v>
      </c>
      <c r="N525" s="412">
        <f t="shared" si="29"/>
        <v>2</v>
      </c>
      <c r="O525" s="412">
        <f>All_Detail_v2[[#This Row],[Qty. Success]]</f>
        <v>2</v>
      </c>
      <c r="P525" s="230">
        <f>IF(All_Detail_v2[[#This Row],[Qty]]=0,1,(M525+N525+O525)/(All_Detail_v2[[#This Row],[Qty]]*3))</f>
        <v>1</v>
      </c>
      <c r="Q525" s="195"/>
      <c r="R525" s="414">
        <f>All_Detail_v2[[#This Row],[Scheduled Date]]</f>
        <v>46063</v>
      </c>
      <c r="S525" s="414">
        <f>All_Detail_v2[[#This Row],[Install Date]]</f>
        <v>46063</v>
      </c>
    </row>
    <row r="526" spans="1:19">
      <c r="A526">
        <v>522</v>
      </c>
      <c r="B526" s="687" t="s">
        <v>425</v>
      </c>
      <c r="C526" s="689" t="s">
        <v>705</v>
      </c>
      <c r="D526" s="689" t="s">
        <v>706</v>
      </c>
      <c r="E526" s="689" t="s">
        <v>370</v>
      </c>
      <c r="F526" s="689">
        <v>2</v>
      </c>
      <c r="G526" s="689"/>
      <c r="H526" s="695"/>
      <c r="I526" s="695">
        <v>46170</v>
      </c>
      <c r="J526" s="689" t="s">
        <v>365</v>
      </c>
      <c r="K526" t="str">
        <f t="shared" si="28"/>
        <v>Switch</v>
      </c>
      <c r="M526" s="412">
        <f t="shared" si="27"/>
        <v>0</v>
      </c>
      <c r="N526" s="412">
        <f t="shared" si="29"/>
        <v>0</v>
      </c>
      <c r="O526" s="412">
        <f>All_Detail_v2[[#This Row],[Qty. Success]]</f>
        <v>0</v>
      </c>
      <c r="P526" s="230">
        <f>IF(All_Detail_v2[[#This Row],[Qty]]=0,1,(M526+N526+O526)/(All_Detail_v2[[#This Row],[Qty]]*3))</f>
        <v>0</v>
      </c>
      <c r="Q526" s="195"/>
      <c r="R526" s="414">
        <f>All_Detail_v2[[#This Row],[Scheduled Date]]</f>
        <v>46170</v>
      </c>
      <c r="S526" s="414">
        <f>All_Detail_v2[[#This Row],[Install Date]]</f>
        <v>0</v>
      </c>
    </row>
    <row r="527" spans="1:19">
      <c r="A527">
        <v>523</v>
      </c>
      <c r="B527" s="687" t="s">
        <v>425</v>
      </c>
      <c r="C527" s="689" t="s">
        <v>705</v>
      </c>
      <c r="D527" s="689" t="s">
        <v>706</v>
      </c>
      <c r="E527" s="689" t="s">
        <v>375</v>
      </c>
      <c r="F527" s="689">
        <v>1</v>
      </c>
      <c r="G527" s="689"/>
      <c r="H527" s="695"/>
      <c r="I527" s="695">
        <v>46170</v>
      </c>
      <c r="J527" s="689" t="s">
        <v>365</v>
      </c>
      <c r="K527" t="str">
        <f t="shared" si="28"/>
        <v>Switch</v>
      </c>
      <c r="M527" s="412">
        <f t="shared" si="27"/>
        <v>0</v>
      </c>
      <c r="N527" s="412">
        <f t="shared" si="29"/>
        <v>0</v>
      </c>
      <c r="O527" s="412">
        <f>All_Detail_v2[[#This Row],[Qty. Success]]</f>
        <v>0</v>
      </c>
      <c r="P527" s="230">
        <f>IF(All_Detail_v2[[#This Row],[Qty]]=0,1,(M527+N527+O527)/(All_Detail_v2[[#This Row],[Qty]]*3))</f>
        <v>0</v>
      </c>
      <c r="Q527" s="195"/>
      <c r="R527" s="414">
        <f>All_Detail_v2[[#This Row],[Scheduled Date]]</f>
        <v>46170</v>
      </c>
      <c r="S527" s="414">
        <f>All_Detail_v2[[#This Row],[Install Date]]</f>
        <v>0</v>
      </c>
    </row>
    <row r="528" spans="1:19">
      <c r="A528">
        <v>524</v>
      </c>
      <c r="B528" s="687" t="s">
        <v>425</v>
      </c>
      <c r="C528" s="689" t="s">
        <v>705</v>
      </c>
      <c r="D528" s="689" t="s">
        <v>706</v>
      </c>
      <c r="E528" s="689" t="s">
        <v>410</v>
      </c>
      <c r="F528" s="689">
        <v>1</v>
      </c>
      <c r="G528" s="689"/>
      <c r="H528" s="695"/>
      <c r="I528" s="695">
        <v>46170</v>
      </c>
      <c r="J528" s="689" t="s">
        <v>365</v>
      </c>
      <c r="K528" t="str">
        <f t="shared" si="28"/>
        <v>Switch</v>
      </c>
      <c r="M528" s="412">
        <f t="shared" si="27"/>
        <v>0</v>
      </c>
      <c r="N528" s="412">
        <f t="shared" si="29"/>
        <v>0</v>
      </c>
      <c r="O528" s="412">
        <f>All_Detail_v2[[#This Row],[Qty. Success]]</f>
        <v>0</v>
      </c>
      <c r="P528" s="230">
        <f>IF(All_Detail_v2[[#This Row],[Qty]]=0,1,(M528+N528+O528)/(All_Detail_v2[[#This Row],[Qty]]*3))</f>
        <v>0</v>
      </c>
      <c r="Q528" s="195"/>
      <c r="R528" s="414">
        <f>All_Detail_v2[[#This Row],[Scheduled Date]]</f>
        <v>46170</v>
      </c>
      <c r="S528" s="414">
        <f>All_Detail_v2[[#This Row],[Install Date]]</f>
        <v>0</v>
      </c>
    </row>
    <row r="529" spans="1:19" ht="21" customHeight="1">
      <c r="A529">
        <v>525</v>
      </c>
      <c r="B529" s="687" t="s">
        <v>425</v>
      </c>
      <c r="C529" s="689" t="s">
        <v>705</v>
      </c>
      <c r="D529" s="689" t="s">
        <v>707</v>
      </c>
      <c r="E529" s="689" t="s">
        <v>370</v>
      </c>
      <c r="F529" s="689">
        <v>1</v>
      </c>
      <c r="G529" s="689"/>
      <c r="H529" s="695"/>
      <c r="I529" s="695">
        <v>46170</v>
      </c>
      <c r="J529" s="689" t="s">
        <v>365</v>
      </c>
      <c r="K529" t="str">
        <f t="shared" si="28"/>
        <v>Switch</v>
      </c>
      <c r="M529" s="412">
        <f t="shared" si="27"/>
        <v>0</v>
      </c>
      <c r="N529" s="412">
        <f t="shared" si="29"/>
        <v>0</v>
      </c>
      <c r="O529" s="412">
        <f>All_Detail_v2[[#This Row],[Qty. Success]]</f>
        <v>0</v>
      </c>
      <c r="P529" s="230">
        <f>IF(All_Detail_v2[[#This Row],[Qty]]=0,1,(M529+N529+O529)/(All_Detail_v2[[#This Row],[Qty]]*3))</f>
        <v>0</v>
      </c>
      <c r="Q529" s="195"/>
      <c r="R529" s="414">
        <f>All_Detail_v2[[#This Row],[Scheduled Date]]</f>
        <v>46170</v>
      </c>
      <c r="S529" s="414">
        <f>All_Detail_v2[[#This Row],[Install Date]]</f>
        <v>0</v>
      </c>
    </row>
    <row r="530" spans="1:19">
      <c r="A530">
        <v>526</v>
      </c>
      <c r="B530" s="687" t="s">
        <v>425</v>
      </c>
      <c r="C530" s="689" t="s">
        <v>705</v>
      </c>
      <c r="D530" s="689" t="s">
        <v>707</v>
      </c>
      <c r="E530" s="689" t="s">
        <v>375</v>
      </c>
      <c r="F530" s="689">
        <v>1</v>
      </c>
      <c r="G530" s="689"/>
      <c r="H530" s="695"/>
      <c r="I530" s="695">
        <v>46170</v>
      </c>
      <c r="J530" s="689" t="s">
        <v>365</v>
      </c>
      <c r="K530" t="str">
        <f t="shared" si="28"/>
        <v>Switch</v>
      </c>
      <c r="M530" s="412">
        <f t="shared" si="27"/>
        <v>0</v>
      </c>
      <c r="N530" s="412">
        <f t="shared" si="29"/>
        <v>0</v>
      </c>
      <c r="O530" s="412">
        <f>All_Detail_v2[[#This Row],[Qty. Success]]</f>
        <v>0</v>
      </c>
      <c r="P530" s="230">
        <f>IF(All_Detail_v2[[#This Row],[Qty]]=0,1,(M530+N530+O530)/(All_Detail_v2[[#This Row],[Qty]]*3))</f>
        <v>0</v>
      </c>
      <c r="Q530" s="195"/>
      <c r="R530" s="414">
        <f>All_Detail_v2[[#This Row],[Scheduled Date]]</f>
        <v>46170</v>
      </c>
      <c r="S530" s="414">
        <f>All_Detail_v2[[#This Row],[Install Date]]</f>
        <v>0</v>
      </c>
    </row>
    <row r="531" spans="1:19">
      <c r="A531">
        <v>527</v>
      </c>
      <c r="B531" s="687" t="s">
        <v>425</v>
      </c>
      <c r="C531" s="689" t="s">
        <v>705</v>
      </c>
      <c r="D531" s="689" t="s">
        <v>707</v>
      </c>
      <c r="E531" s="689" t="s">
        <v>412</v>
      </c>
      <c r="F531" s="689">
        <v>1</v>
      </c>
      <c r="G531" s="689"/>
      <c r="H531" s="695"/>
      <c r="I531" s="695">
        <v>46170</v>
      </c>
      <c r="J531" s="689" t="s">
        <v>365</v>
      </c>
      <c r="K531" t="str">
        <f t="shared" si="28"/>
        <v>Switch</v>
      </c>
      <c r="M531" s="412">
        <f t="shared" si="27"/>
        <v>0</v>
      </c>
      <c r="N531" s="412">
        <f t="shared" si="29"/>
        <v>0</v>
      </c>
      <c r="O531" s="412">
        <f>All_Detail_v2[[#This Row],[Qty. Success]]</f>
        <v>0</v>
      </c>
      <c r="P531" s="230">
        <f>IF(All_Detail_v2[[#This Row],[Qty]]=0,1,(M531+N531+O531)/(All_Detail_v2[[#This Row],[Qty]]*3))</f>
        <v>0</v>
      </c>
      <c r="Q531" s="195"/>
      <c r="R531" s="414">
        <f>All_Detail_v2[[#This Row],[Scheduled Date]]</f>
        <v>46170</v>
      </c>
      <c r="S531" s="414">
        <f>All_Detail_v2[[#This Row],[Install Date]]</f>
        <v>0</v>
      </c>
    </row>
    <row r="532" spans="1:19">
      <c r="A532">
        <v>528</v>
      </c>
      <c r="B532" s="687" t="s">
        <v>425</v>
      </c>
      <c r="C532" s="689" t="s">
        <v>705</v>
      </c>
      <c r="D532" s="689" t="s">
        <v>708</v>
      </c>
      <c r="E532" s="689" t="s">
        <v>370</v>
      </c>
      <c r="F532" s="689">
        <v>1</v>
      </c>
      <c r="G532" s="689"/>
      <c r="H532" s="695"/>
      <c r="I532" s="695">
        <v>46170</v>
      </c>
      <c r="J532" s="689" t="s">
        <v>365</v>
      </c>
      <c r="K532" t="str">
        <f t="shared" si="28"/>
        <v>Switch</v>
      </c>
      <c r="M532" s="412">
        <f t="shared" si="27"/>
        <v>0</v>
      </c>
      <c r="N532" s="412">
        <f t="shared" si="29"/>
        <v>0</v>
      </c>
      <c r="O532" s="412">
        <f>All_Detail_v2[[#This Row],[Qty. Success]]</f>
        <v>0</v>
      </c>
      <c r="P532" s="230">
        <f>IF(All_Detail_v2[[#This Row],[Qty]]=0,1,(M532+N532+O532)/(All_Detail_v2[[#This Row],[Qty]]*3))</f>
        <v>0</v>
      </c>
      <c r="Q532" s="195"/>
      <c r="R532" s="414">
        <f>All_Detail_v2[[#This Row],[Scheduled Date]]</f>
        <v>46170</v>
      </c>
      <c r="S532" s="414">
        <f>All_Detail_v2[[#This Row],[Install Date]]</f>
        <v>0</v>
      </c>
    </row>
    <row r="533" spans="1:19">
      <c r="A533">
        <v>529</v>
      </c>
      <c r="B533" s="687" t="s">
        <v>425</v>
      </c>
      <c r="C533" s="689" t="s">
        <v>705</v>
      </c>
      <c r="D533" s="689" t="s">
        <v>709</v>
      </c>
      <c r="E533" s="689" t="s">
        <v>370</v>
      </c>
      <c r="F533" s="689">
        <v>1</v>
      </c>
      <c r="G533" s="689"/>
      <c r="H533" s="695"/>
      <c r="I533" s="695">
        <v>46170</v>
      </c>
      <c r="J533" s="689" t="s">
        <v>365</v>
      </c>
      <c r="K533" t="str">
        <f t="shared" si="28"/>
        <v>Switch</v>
      </c>
      <c r="M533" s="412">
        <f t="shared" si="27"/>
        <v>0</v>
      </c>
      <c r="N533" s="412">
        <f t="shared" si="29"/>
        <v>0</v>
      </c>
      <c r="O533" s="412">
        <f>All_Detail_v2[[#This Row],[Qty. Success]]</f>
        <v>0</v>
      </c>
      <c r="P533" s="230">
        <f>IF(All_Detail_v2[[#This Row],[Qty]]=0,1,(M533+N533+O533)/(All_Detail_v2[[#This Row],[Qty]]*3))</f>
        <v>0</v>
      </c>
      <c r="Q533" s="195"/>
      <c r="R533" s="414">
        <f>All_Detail_v2[[#This Row],[Scheduled Date]]</f>
        <v>46170</v>
      </c>
      <c r="S533" s="414">
        <f>All_Detail_v2[[#This Row],[Install Date]]</f>
        <v>0</v>
      </c>
    </row>
    <row r="534" spans="1:19">
      <c r="A534">
        <v>530</v>
      </c>
      <c r="B534" s="687" t="s">
        <v>425</v>
      </c>
      <c r="C534" s="689" t="s">
        <v>705</v>
      </c>
      <c r="D534" s="689" t="s">
        <v>709</v>
      </c>
      <c r="E534" s="689" t="s">
        <v>375</v>
      </c>
      <c r="F534" s="689">
        <v>1</v>
      </c>
      <c r="G534" s="689"/>
      <c r="H534" s="695"/>
      <c r="I534" s="695">
        <v>46170</v>
      </c>
      <c r="J534" s="689" t="s">
        <v>365</v>
      </c>
      <c r="K534" t="str">
        <f t="shared" si="28"/>
        <v>Switch</v>
      </c>
      <c r="M534" s="412">
        <f t="shared" si="27"/>
        <v>0</v>
      </c>
      <c r="N534" s="412">
        <f t="shared" si="29"/>
        <v>0</v>
      </c>
      <c r="O534" s="412">
        <f>All_Detail_v2[[#This Row],[Qty. Success]]</f>
        <v>0</v>
      </c>
      <c r="P534" s="230">
        <f>IF(All_Detail_v2[[#This Row],[Qty]]=0,1,(M534+N534+O534)/(All_Detail_v2[[#This Row],[Qty]]*3))</f>
        <v>0</v>
      </c>
      <c r="Q534" s="195"/>
      <c r="R534" s="414">
        <f>All_Detail_v2[[#This Row],[Scheduled Date]]</f>
        <v>46170</v>
      </c>
      <c r="S534" s="414">
        <f>All_Detail_v2[[#This Row],[Install Date]]</f>
        <v>0</v>
      </c>
    </row>
    <row r="535" spans="1:19">
      <c r="A535">
        <v>531</v>
      </c>
      <c r="B535" s="687" t="s">
        <v>425</v>
      </c>
      <c r="C535" s="689" t="s">
        <v>705</v>
      </c>
      <c r="D535" s="689" t="s">
        <v>710</v>
      </c>
      <c r="E535" s="689" t="s">
        <v>370</v>
      </c>
      <c r="F535" s="689">
        <v>1</v>
      </c>
      <c r="G535" s="689"/>
      <c r="H535" s="695"/>
      <c r="I535" s="695">
        <v>46170</v>
      </c>
      <c r="J535" s="689" t="s">
        <v>365</v>
      </c>
      <c r="K535" t="str">
        <f t="shared" si="28"/>
        <v>Switch</v>
      </c>
      <c r="M535" s="412">
        <f t="shared" si="27"/>
        <v>0</v>
      </c>
      <c r="N535" s="412">
        <f t="shared" si="29"/>
        <v>0</v>
      </c>
      <c r="O535" s="412">
        <f>All_Detail_v2[[#This Row],[Qty. Success]]</f>
        <v>0</v>
      </c>
      <c r="P535" s="230">
        <f>IF(All_Detail_v2[[#This Row],[Qty]]=0,1,(M535+N535+O535)/(All_Detail_v2[[#This Row],[Qty]]*3))</f>
        <v>0</v>
      </c>
      <c r="Q535" s="195"/>
      <c r="R535" s="414">
        <f>All_Detail_v2[[#This Row],[Scheduled Date]]</f>
        <v>46170</v>
      </c>
      <c r="S535" s="414">
        <f>All_Detail_v2[[#This Row],[Install Date]]</f>
        <v>0</v>
      </c>
    </row>
    <row r="536" spans="1:19">
      <c r="A536">
        <v>532</v>
      </c>
      <c r="B536" s="687" t="s">
        <v>425</v>
      </c>
      <c r="C536" s="689" t="s">
        <v>705</v>
      </c>
      <c r="D536" s="689" t="s">
        <v>710</v>
      </c>
      <c r="E536" s="689" t="s">
        <v>375</v>
      </c>
      <c r="F536" s="689">
        <v>1</v>
      </c>
      <c r="G536" s="689"/>
      <c r="H536" s="695"/>
      <c r="I536" s="695">
        <v>46170</v>
      </c>
      <c r="J536" s="689" t="s">
        <v>365</v>
      </c>
      <c r="K536" t="str">
        <f t="shared" si="28"/>
        <v>Switch</v>
      </c>
      <c r="M536" s="412">
        <f t="shared" si="27"/>
        <v>0</v>
      </c>
      <c r="N536" s="412">
        <f t="shared" si="29"/>
        <v>0</v>
      </c>
      <c r="O536" s="412">
        <f>All_Detail_v2[[#This Row],[Qty. Success]]</f>
        <v>0</v>
      </c>
      <c r="P536" s="230">
        <f>IF(All_Detail_v2[[#This Row],[Qty]]=0,1,(M536+N536+O536)/(All_Detail_v2[[#This Row],[Qty]]*3))</f>
        <v>0</v>
      </c>
      <c r="Q536" s="195"/>
      <c r="R536" s="414">
        <f>All_Detail_v2[[#This Row],[Scheduled Date]]</f>
        <v>46170</v>
      </c>
      <c r="S536" s="414">
        <f>All_Detail_v2[[#This Row],[Install Date]]</f>
        <v>0</v>
      </c>
    </row>
    <row r="537" spans="1:19">
      <c r="A537">
        <v>533</v>
      </c>
      <c r="B537" s="687" t="s">
        <v>425</v>
      </c>
      <c r="C537" s="689" t="s">
        <v>705</v>
      </c>
      <c r="D537" s="689" t="s">
        <v>710</v>
      </c>
      <c r="E537" s="689" t="s">
        <v>412</v>
      </c>
      <c r="F537" s="689">
        <v>1</v>
      </c>
      <c r="G537" s="689"/>
      <c r="H537" s="695"/>
      <c r="I537" s="695">
        <v>46170</v>
      </c>
      <c r="J537" s="689" t="s">
        <v>365</v>
      </c>
      <c r="K537" t="str">
        <f t="shared" si="28"/>
        <v>Switch</v>
      </c>
      <c r="M537" s="412">
        <f t="shared" si="27"/>
        <v>0</v>
      </c>
      <c r="N537" s="412">
        <f t="shared" si="29"/>
        <v>0</v>
      </c>
      <c r="O537" s="412">
        <f>All_Detail_v2[[#This Row],[Qty. Success]]</f>
        <v>0</v>
      </c>
      <c r="P537" s="230">
        <f>IF(All_Detail_v2[[#This Row],[Qty]]=0,1,(M537+N537+O537)/(All_Detail_v2[[#This Row],[Qty]]*3))</f>
        <v>0</v>
      </c>
      <c r="Q537" s="195"/>
      <c r="R537" s="414">
        <f>All_Detail_v2[[#This Row],[Scheduled Date]]</f>
        <v>46170</v>
      </c>
      <c r="S537" s="414">
        <f>All_Detail_v2[[#This Row],[Install Date]]</f>
        <v>0</v>
      </c>
    </row>
    <row r="538" spans="1:19">
      <c r="A538">
        <v>534</v>
      </c>
      <c r="B538" s="687" t="s">
        <v>425</v>
      </c>
      <c r="C538" s="689" t="s">
        <v>705</v>
      </c>
      <c r="D538" s="689" t="s">
        <v>711</v>
      </c>
      <c r="E538" s="689" t="s">
        <v>370</v>
      </c>
      <c r="F538" s="689">
        <v>1</v>
      </c>
      <c r="G538" s="689"/>
      <c r="H538" s="695"/>
      <c r="I538" s="695">
        <v>46171</v>
      </c>
      <c r="J538" s="689" t="s">
        <v>365</v>
      </c>
      <c r="K538" t="str">
        <f t="shared" si="28"/>
        <v>Switch</v>
      </c>
      <c r="M538" s="412">
        <f t="shared" si="27"/>
        <v>0</v>
      </c>
      <c r="N538" s="412">
        <f t="shared" si="29"/>
        <v>0</v>
      </c>
      <c r="O538" s="412">
        <f>All_Detail_v2[[#This Row],[Qty. Success]]</f>
        <v>0</v>
      </c>
      <c r="P538" s="230">
        <f>IF(All_Detail_v2[[#This Row],[Qty]]=0,1,(M538+N538+O538)/(All_Detail_v2[[#This Row],[Qty]]*3))</f>
        <v>0</v>
      </c>
      <c r="Q538" s="195"/>
      <c r="R538" s="414">
        <f>All_Detail_v2[[#This Row],[Scheduled Date]]</f>
        <v>46171</v>
      </c>
      <c r="S538" s="414">
        <f>All_Detail_v2[[#This Row],[Install Date]]</f>
        <v>0</v>
      </c>
    </row>
    <row r="539" spans="1:19">
      <c r="A539">
        <v>535</v>
      </c>
      <c r="B539" s="687" t="s">
        <v>425</v>
      </c>
      <c r="C539" s="689" t="s">
        <v>705</v>
      </c>
      <c r="D539" s="689" t="s">
        <v>711</v>
      </c>
      <c r="E539" s="689" t="s">
        <v>375</v>
      </c>
      <c r="F539" s="689">
        <v>1</v>
      </c>
      <c r="G539" s="689"/>
      <c r="H539" s="695"/>
      <c r="I539" s="695">
        <v>46171</v>
      </c>
      <c r="J539" s="689" t="s">
        <v>365</v>
      </c>
      <c r="K539" t="str">
        <f t="shared" si="28"/>
        <v>Switch</v>
      </c>
      <c r="M539" s="412">
        <f t="shared" si="27"/>
        <v>0</v>
      </c>
      <c r="N539" s="412">
        <f t="shared" si="29"/>
        <v>0</v>
      </c>
      <c r="O539" s="412">
        <f>All_Detail_v2[[#This Row],[Qty. Success]]</f>
        <v>0</v>
      </c>
      <c r="P539" s="230">
        <f>IF(All_Detail_v2[[#This Row],[Qty]]=0,1,(M539+N539+O539)/(All_Detail_v2[[#This Row],[Qty]]*3))</f>
        <v>0</v>
      </c>
      <c r="Q539" s="195"/>
      <c r="R539" s="414">
        <f>All_Detail_v2[[#This Row],[Scheduled Date]]</f>
        <v>46171</v>
      </c>
      <c r="S539" s="414">
        <f>All_Detail_v2[[#This Row],[Install Date]]</f>
        <v>0</v>
      </c>
    </row>
    <row r="540" spans="1:19">
      <c r="A540">
        <v>536</v>
      </c>
      <c r="B540" s="687" t="s">
        <v>425</v>
      </c>
      <c r="C540" s="689" t="s">
        <v>705</v>
      </c>
      <c r="D540" s="689" t="s">
        <v>711</v>
      </c>
      <c r="E540" s="689" t="s">
        <v>412</v>
      </c>
      <c r="F540" s="689">
        <v>1</v>
      </c>
      <c r="G540" s="689"/>
      <c r="H540" s="695"/>
      <c r="I540" s="695">
        <v>46171</v>
      </c>
      <c r="J540" s="689" t="s">
        <v>365</v>
      </c>
      <c r="K540" t="str">
        <f t="shared" si="28"/>
        <v>Switch</v>
      </c>
      <c r="M540" s="412">
        <f t="shared" si="27"/>
        <v>0</v>
      </c>
      <c r="N540" s="412">
        <f t="shared" si="29"/>
        <v>0</v>
      </c>
      <c r="O540" s="412">
        <f>All_Detail_v2[[#This Row],[Qty. Success]]</f>
        <v>0</v>
      </c>
      <c r="P540" s="230">
        <f>IF(All_Detail_v2[[#This Row],[Qty]]=0,1,(M540+N540+O540)/(All_Detail_v2[[#This Row],[Qty]]*3))</f>
        <v>0</v>
      </c>
      <c r="Q540" s="195"/>
      <c r="R540" s="414">
        <f>All_Detail_v2[[#This Row],[Scheduled Date]]</f>
        <v>46171</v>
      </c>
      <c r="S540" s="414">
        <f>All_Detail_v2[[#This Row],[Install Date]]</f>
        <v>0</v>
      </c>
    </row>
    <row r="541" spans="1:19">
      <c r="A541">
        <v>537</v>
      </c>
      <c r="B541" s="687" t="s">
        <v>425</v>
      </c>
      <c r="C541" s="689" t="s">
        <v>705</v>
      </c>
      <c r="D541" s="689" t="s">
        <v>712</v>
      </c>
      <c r="E541" s="689" t="s">
        <v>370</v>
      </c>
      <c r="F541" s="689">
        <v>1</v>
      </c>
      <c r="G541" s="689"/>
      <c r="H541" s="695"/>
      <c r="I541" s="695">
        <v>46171</v>
      </c>
      <c r="J541" s="689" t="s">
        <v>365</v>
      </c>
      <c r="K541" t="str">
        <f t="shared" si="28"/>
        <v>Switch</v>
      </c>
      <c r="M541" s="412">
        <f t="shared" si="27"/>
        <v>0</v>
      </c>
      <c r="N541" s="412">
        <f t="shared" si="29"/>
        <v>0</v>
      </c>
      <c r="O541" s="412">
        <f>All_Detail_v2[[#This Row],[Qty. Success]]</f>
        <v>0</v>
      </c>
      <c r="P541" s="230">
        <f>IF(All_Detail_v2[[#This Row],[Qty]]=0,1,(M541+N541+O541)/(All_Detail_v2[[#This Row],[Qty]]*3))</f>
        <v>0</v>
      </c>
      <c r="Q541" s="195"/>
      <c r="R541" s="414">
        <f>All_Detail_v2[[#This Row],[Scheduled Date]]</f>
        <v>46171</v>
      </c>
      <c r="S541" s="414">
        <f>All_Detail_v2[[#This Row],[Install Date]]</f>
        <v>0</v>
      </c>
    </row>
    <row r="542" spans="1:19">
      <c r="A542">
        <v>538</v>
      </c>
      <c r="B542" s="687" t="s">
        <v>425</v>
      </c>
      <c r="C542" s="689" t="s">
        <v>705</v>
      </c>
      <c r="D542" s="689" t="s">
        <v>713</v>
      </c>
      <c r="E542" s="689" t="s">
        <v>370</v>
      </c>
      <c r="F542" s="689">
        <v>1</v>
      </c>
      <c r="G542" s="689"/>
      <c r="H542" s="695"/>
      <c r="I542" s="695">
        <v>46171</v>
      </c>
      <c r="J542" s="689" t="s">
        <v>365</v>
      </c>
      <c r="K542" t="str">
        <f t="shared" si="28"/>
        <v>Switch</v>
      </c>
      <c r="M542" s="412">
        <f t="shared" si="27"/>
        <v>0</v>
      </c>
      <c r="N542" s="412">
        <f t="shared" si="29"/>
        <v>0</v>
      </c>
      <c r="O542" s="412">
        <f>All_Detail_v2[[#This Row],[Qty. Success]]</f>
        <v>0</v>
      </c>
      <c r="P542" s="230">
        <f>IF(All_Detail_v2[[#This Row],[Qty]]=0,1,(M542+N542+O542)/(All_Detail_v2[[#This Row],[Qty]]*3))</f>
        <v>0</v>
      </c>
      <c r="Q542" s="195"/>
      <c r="R542" s="414">
        <f>All_Detail_v2[[#This Row],[Scheduled Date]]</f>
        <v>46171</v>
      </c>
      <c r="S542" s="414">
        <f>All_Detail_v2[[#This Row],[Install Date]]</f>
        <v>0</v>
      </c>
    </row>
    <row r="543" spans="1:19">
      <c r="A543">
        <v>539</v>
      </c>
      <c r="B543" s="687" t="s">
        <v>425</v>
      </c>
      <c r="C543" s="689" t="s">
        <v>705</v>
      </c>
      <c r="D543" s="689" t="s">
        <v>713</v>
      </c>
      <c r="E543" s="689" t="s">
        <v>375</v>
      </c>
      <c r="F543" s="689">
        <v>1</v>
      </c>
      <c r="G543" s="689"/>
      <c r="H543" s="695"/>
      <c r="I543" s="695">
        <v>46171</v>
      </c>
      <c r="J543" s="689" t="s">
        <v>365</v>
      </c>
      <c r="K543" t="str">
        <f t="shared" si="28"/>
        <v>Switch</v>
      </c>
      <c r="M543" s="412">
        <f t="shared" si="27"/>
        <v>0</v>
      </c>
      <c r="N543" s="412">
        <f t="shared" si="29"/>
        <v>0</v>
      </c>
      <c r="O543" s="412">
        <f>All_Detail_v2[[#This Row],[Qty. Success]]</f>
        <v>0</v>
      </c>
      <c r="P543" s="230">
        <f>IF(All_Detail_v2[[#This Row],[Qty]]=0,1,(M543+N543+O543)/(All_Detail_v2[[#This Row],[Qty]]*3))</f>
        <v>0</v>
      </c>
      <c r="Q543" s="195"/>
      <c r="R543" s="414">
        <f>All_Detail_v2[[#This Row],[Scheduled Date]]</f>
        <v>46171</v>
      </c>
      <c r="S543" s="414">
        <f>All_Detail_v2[[#This Row],[Install Date]]</f>
        <v>0</v>
      </c>
    </row>
    <row r="544" spans="1:19">
      <c r="A544">
        <v>540</v>
      </c>
      <c r="B544" s="687" t="s">
        <v>425</v>
      </c>
      <c r="C544" s="689" t="s">
        <v>705</v>
      </c>
      <c r="D544" s="689" t="s">
        <v>714</v>
      </c>
      <c r="E544" s="689" t="s">
        <v>370</v>
      </c>
      <c r="F544" s="689">
        <v>2</v>
      </c>
      <c r="G544" s="689"/>
      <c r="H544" s="695"/>
      <c r="I544" s="695">
        <v>46171</v>
      </c>
      <c r="J544" s="689" t="s">
        <v>365</v>
      </c>
      <c r="K544" t="str">
        <f t="shared" si="28"/>
        <v>Switch</v>
      </c>
      <c r="M544" s="412">
        <f t="shared" si="27"/>
        <v>0</v>
      </c>
      <c r="N544" s="412">
        <f t="shared" si="29"/>
        <v>0</v>
      </c>
      <c r="O544" s="412">
        <f>All_Detail_v2[[#This Row],[Qty. Success]]</f>
        <v>0</v>
      </c>
      <c r="P544" s="230">
        <f>IF(All_Detail_v2[[#This Row],[Qty]]=0,1,(M544+N544+O544)/(All_Detail_v2[[#This Row],[Qty]]*3))</f>
        <v>0</v>
      </c>
      <c r="Q544" s="195"/>
      <c r="R544" s="414">
        <f>All_Detail_v2[[#This Row],[Scheduled Date]]</f>
        <v>46171</v>
      </c>
      <c r="S544" s="414">
        <f>All_Detail_v2[[#This Row],[Install Date]]</f>
        <v>0</v>
      </c>
    </row>
    <row r="545" spans="1:19">
      <c r="A545">
        <v>541</v>
      </c>
      <c r="B545" s="687" t="s">
        <v>425</v>
      </c>
      <c r="C545" s="689" t="s">
        <v>705</v>
      </c>
      <c r="D545" s="689" t="s">
        <v>714</v>
      </c>
      <c r="E545" s="689" t="s">
        <v>375</v>
      </c>
      <c r="F545" s="689">
        <v>1</v>
      </c>
      <c r="G545" s="689"/>
      <c r="H545" s="695"/>
      <c r="I545" s="695">
        <v>46171</v>
      </c>
      <c r="J545" s="689" t="s">
        <v>365</v>
      </c>
      <c r="K545" t="str">
        <f t="shared" si="28"/>
        <v>Switch</v>
      </c>
      <c r="M545" s="412">
        <f t="shared" si="27"/>
        <v>0</v>
      </c>
      <c r="N545" s="412">
        <f t="shared" si="29"/>
        <v>0</v>
      </c>
      <c r="O545" s="412">
        <f>All_Detail_v2[[#This Row],[Qty. Success]]</f>
        <v>0</v>
      </c>
      <c r="P545" s="230">
        <f>IF(All_Detail_v2[[#This Row],[Qty]]=0,1,(M545+N545+O545)/(All_Detail_v2[[#This Row],[Qty]]*3))</f>
        <v>0</v>
      </c>
      <c r="Q545" s="195"/>
      <c r="R545" s="414">
        <f>All_Detail_v2[[#This Row],[Scheduled Date]]</f>
        <v>46171</v>
      </c>
      <c r="S545" s="414">
        <f>All_Detail_v2[[#This Row],[Install Date]]</f>
        <v>0</v>
      </c>
    </row>
    <row r="546" spans="1:19">
      <c r="A546">
        <v>542</v>
      </c>
      <c r="B546" s="687" t="s">
        <v>425</v>
      </c>
      <c r="C546" s="689" t="s">
        <v>705</v>
      </c>
      <c r="D546" s="689" t="s">
        <v>714</v>
      </c>
      <c r="E546" s="689" t="s">
        <v>412</v>
      </c>
      <c r="F546" s="689">
        <v>1</v>
      </c>
      <c r="G546" s="689"/>
      <c r="H546" s="695"/>
      <c r="I546" s="695">
        <v>46171</v>
      </c>
      <c r="J546" s="689" t="s">
        <v>365</v>
      </c>
      <c r="K546" t="str">
        <f t="shared" si="28"/>
        <v>Switch</v>
      </c>
      <c r="M546" s="412">
        <f t="shared" si="27"/>
        <v>0</v>
      </c>
      <c r="N546" s="412">
        <f t="shared" si="29"/>
        <v>0</v>
      </c>
      <c r="O546" s="412">
        <f>All_Detail_v2[[#This Row],[Qty. Success]]</f>
        <v>0</v>
      </c>
      <c r="P546" s="230">
        <f>IF(All_Detail_v2[[#This Row],[Qty]]=0,1,(M546+N546+O546)/(All_Detail_v2[[#This Row],[Qty]]*3))</f>
        <v>0</v>
      </c>
      <c r="Q546" s="195"/>
      <c r="R546" s="414">
        <f>All_Detail_v2[[#This Row],[Scheduled Date]]</f>
        <v>46171</v>
      </c>
      <c r="S546" s="414">
        <f>All_Detail_v2[[#This Row],[Install Date]]</f>
        <v>0</v>
      </c>
    </row>
    <row r="547" spans="1:19">
      <c r="A547">
        <v>543</v>
      </c>
      <c r="B547" s="687" t="s">
        <v>425</v>
      </c>
      <c r="C547" s="689" t="s">
        <v>705</v>
      </c>
      <c r="D547" s="689" t="s">
        <v>715</v>
      </c>
      <c r="E547" s="689" t="s">
        <v>370</v>
      </c>
      <c r="F547" s="689">
        <v>1</v>
      </c>
      <c r="G547" s="689"/>
      <c r="H547" s="695"/>
      <c r="I547" s="695">
        <v>46171</v>
      </c>
      <c r="J547" s="689" t="s">
        <v>365</v>
      </c>
      <c r="K547" t="str">
        <f t="shared" si="28"/>
        <v>Switch</v>
      </c>
      <c r="M547" s="412">
        <f t="shared" si="27"/>
        <v>0</v>
      </c>
      <c r="N547" s="412">
        <f t="shared" si="29"/>
        <v>0</v>
      </c>
      <c r="O547" s="412">
        <f>All_Detail_v2[[#This Row],[Qty. Success]]</f>
        <v>0</v>
      </c>
      <c r="P547" s="230">
        <f>IF(All_Detail_v2[[#This Row],[Qty]]=0,1,(M547+N547+O547)/(All_Detail_v2[[#This Row],[Qty]]*3))</f>
        <v>0</v>
      </c>
      <c r="Q547" s="195"/>
      <c r="R547" s="414">
        <f>All_Detail_v2[[#This Row],[Scheduled Date]]</f>
        <v>46171</v>
      </c>
      <c r="S547" s="414">
        <f>All_Detail_v2[[#This Row],[Install Date]]</f>
        <v>0</v>
      </c>
    </row>
    <row r="548" spans="1:19">
      <c r="A548">
        <v>544</v>
      </c>
      <c r="B548" s="687" t="s">
        <v>425</v>
      </c>
      <c r="C548" s="689" t="s">
        <v>705</v>
      </c>
      <c r="D548" s="689" t="s">
        <v>715</v>
      </c>
      <c r="E548" s="689" t="s">
        <v>375</v>
      </c>
      <c r="F548" s="689">
        <v>1</v>
      </c>
      <c r="G548" s="689"/>
      <c r="H548" s="695"/>
      <c r="I548" s="695">
        <v>46171</v>
      </c>
      <c r="J548" s="689" t="s">
        <v>365</v>
      </c>
      <c r="K548" t="str">
        <f t="shared" si="28"/>
        <v>Switch</v>
      </c>
      <c r="M548" s="412">
        <f t="shared" si="27"/>
        <v>0</v>
      </c>
      <c r="N548" s="412">
        <f t="shared" si="29"/>
        <v>0</v>
      </c>
      <c r="O548" s="412">
        <f>All_Detail_v2[[#This Row],[Qty. Success]]</f>
        <v>0</v>
      </c>
      <c r="P548" s="230">
        <f>IF(All_Detail_v2[[#This Row],[Qty]]=0,1,(M548+N548+O548)/(All_Detail_v2[[#This Row],[Qty]]*3))</f>
        <v>0</v>
      </c>
      <c r="Q548" s="195"/>
      <c r="R548" s="414">
        <f>All_Detail_v2[[#This Row],[Scheduled Date]]</f>
        <v>46171</v>
      </c>
      <c r="S548" s="414">
        <f>All_Detail_v2[[#This Row],[Install Date]]</f>
        <v>0</v>
      </c>
    </row>
    <row r="549" spans="1:19">
      <c r="A549">
        <v>545</v>
      </c>
      <c r="B549" s="687" t="s">
        <v>425</v>
      </c>
      <c r="C549" s="689" t="s">
        <v>705</v>
      </c>
      <c r="D549" s="689" t="s">
        <v>716</v>
      </c>
      <c r="E549" s="689" t="s">
        <v>370</v>
      </c>
      <c r="F549" s="689">
        <v>1</v>
      </c>
      <c r="G549" s="689"/>
      <c r="H549" s="695"/>
      <c r="I549" s="695">
        <v>46174</v>
      </c>
      <c r="J549" s="689" t="s">
        <v>365</v>
      </c>
      <c r="K549" t="str">
        <f t="shared" si="28"/>
        <v>Switch</v>
      </c>
      <c r="M549" s="412">
        <f t="shared" si="27"/>
        <v>0</v>
      </c>
      <c r="N549" s="412">
        <f t="shared" si="29"/>
        <v>0</v>
      </c>
      <c r="O549" s="412">
        <f>All_Detail_v2[[#This Row],[Qty. Success]]</f>
        <v>0</v>
      </c>
      <c r="P549" s="230">
        <f>IF(All_Detail_v2[[#This Row],[Qty]]=0,1,(M549+N549+O549)/(All_Detail_v2[[#This Row],[Qty]]*3))</f>
        <v>0</v>
      </c>
      <c r="Q549" s="195"/>
      <c r="R549" s="414">
        <f>All_Detail_v2[[#This Row],[Scheduled Date]]</f>
        <v>46174</v>
      </c>
      <c r="S549" s="414">
        <f>All_Detail_v2[[#This Row],[Install Date]]</f>
        <v>0</v>
      </c>
    </row>
    <row r="550" spans="1:19">
      <c r="A550">
        <v>546</v>
      </c>
      <c r="B550" s="687" t="s">
        <v>425</v>
      </c>
      <c r="C550" s="689" t="s">
        <v>705</v>
      </c>
      <c r="D550" s="689" t="s">
        <v>716</v>
      </c>
      <c r="E550" s="689" t="s">
        <v>375</v>
      </c>
      <c r="F550" s="689">
        <v>1</v>
      </c>
      <c r="G550" s="689"/>
      <c r="H550" s="695"/>
      <c r="I550" s="695">
        <v>46174</v>
      </c>
      <c r="J550" s="689" t="s">
        <v>365</v>
      </c>
      <c r="K550" t="str">
        <f t="shared" si="28"/>
        <v>Switch</v>
      </c>
      <c r="M550" s="412">
        <f t="shared" si="27"/>
        <v>0</v>
      </c>
      <c r="N550" s="412">
        <f t="shared" si="29"/>
        <v>0</v>
      </c>
      <c r="O550" s="412">
        <f>All_Detail_v2[[#This Row],[Qty. Success]]</f>
        <v>0</v>
      </c>
      <c r="P550" s="230">
        <f>IF(All_Detail_v2[[#This Row],[Qty]]=0,1,(M550+N550+O550)/(All_Detail_v2[[#This Row],[Qty]]*3))</f>
        <v>0</v>
      </c>
      <c r="Q550" s="195"/>
      <c r="R550" s="414">
        <f>All_Detail_v2[[#This Row],[Scheduled Date]]</f>
        <v>46174</v>
      </c>
      <c r="S550" s="414">
        <f>All_Detail_v2[[#This Row],[Install Date]]</f>
        <v>0</v>
      </c>
    </row>
    <row r="551" spans="1:19">
      <c r="A551">
        <v>547</v>
      </c>
      <c r="B551" s="687" t="s">
        <v>425</v>
      </c>
      <c r="C551" s="689" t="s">
        <v>705</v>
      </c>
      <c r="D551" s="689" t="s">
        <v>717</v>
      </c>
      <c r="E551" s="689" t="s">
        <v>370</v>
      </c>
      <c r="F551" s="689">
        <v>1</v>
      </c>
      <c r="G551" s="689"/>
      <c r="H551" s="695"/>
      <c r="I551" s="695">
        <v>46174</v>
      </c>
      <c r="J551" s="689" t="s">
        <v>365</v>
      </c>
      <c r="K551" t="str">
        <f t="shared" si="28"/>
        <v>Switch</v>
      </c>
      <c r="M551" s="412">
        <f t="shared" si="27"/>
        <v>0</v>
      </c>
      <c r="N551" s="412">
        <f t="shared" si="29"/>
        <v>0</v>
      </c>
      <c r="O551" s="412">
        <f>All_Detail_v2[[#This Row],[Qty. Success]]</f>
        <v>0</v>
      </c>
      <c r="P551" s="230">
        <f>IF(All_Detail_v2[[#This Row],[Qty]]=0,1,(M551+N551+O551)/(All_Detail_v2[[#This Row],[Qty]]*3))</f>
        <v>0</v>
      </c>
      <c r="Q551" s="195"/>
      <c r="R551" s="414">
        <f>All_Detail_v2[[#This Row],[Scheduled Date]]</f>
        <v>46174</v>
      </c>
      <c r="S551" s="414">
        <f>All_Detail_v2[[#This Row],[Install Date]]</f>
        <v>0</v>
      </c>
    </row>
    <row r="552" spans="1:19">
      <c r="A552">
        <v>548</v>
      </c>
      <c r="B552" s="687" t="s">
        <v>425</v>
      </c>
      <c r="C552" s="689" t="s">
        <v>705</v>
      </c>
      <c r="D552" s="689" t="s">
        <v>717</v>
      </c>
      <c r="E552" s="689" t="s">
        <v>375</v>
      </c>
      <c r="F552" s="689">
        <v>1</v>
      </c>
      <c r="G552" s="689"/>
      <c r="H552" s="695"/>
      <c r="I552" s="695">
        <v>46174</v>
      </c>
      <c r="J552" s="689" t="s">
        <v>365</v>
      </c>
      <c r="K552" t="str">
        <f t="shared" si="28"/>
        <v>Switch</v>
      </c>
      <c r="M552" s="412">
        <f t="shared" si="27"/>
        <v>0</v>
      </c>
      <c r="N552" s="412">
        <f t="shared" si="29"/>
        <v>0</v>
      </c>
      <c r="O552" s="412">
        <f>All_Detail_v2[[#This Row],[Qty. Success]]</f>
        <v>0</v>
      </c>
      <c r="P552" s="230">
        <f>IF(All_Detail_v2[[#This Row],[Qty]]=0,1,(M552+N552+O552)/(All_Detail_v2[[#This Row],[Qty]]*3))</f>
        <v>0</v>
      </c>
      <c r="Q552" s="195"/>
      <c r="R552" s="414">
        <f>All_Detail_v2[[#This Row],[Scheduled Date]]</f>
        <v>46174</v>
      </c>
      <c r="S552" s="414">
        <f>All_Detail_v2[[#This Row],[Install Date]]</f>
        <v>0</v>
      </c>
    </row>
    <row r="553" spans="1:19">
      <c r="A553">
        <v>549</v>
      </c>
      <c r="B553" s="687" t="s">
        <v>425</v>
      </c>
      <c r="C553" s="689" t="s">
        <v>705</v>
      </c>
      <c r="D553" s="689" t="s">
        <v>718</v>
      </c>
      <c r="E553" s="689" t="s">
        <v>370</v>
      </c>
      <c r="F553" s="689">
        <v>1</v>
      </c>
      <c r="G553" s="689"/>
      <c r="H553" s="695"/>
      <c r="I553" s="695">
        <v>46174</v>
      </c>
      <c r="J553" s="689" t="s">
        <v>365</v>
      </c>
      <c r="K553" t="str">
        <f t="shared" si="28"/>
        <v>Switch</v>
      </c>
      <c r="M553" s="412">
        <f t="shared" si="27"/>
        <v>0</v>
      </c>
      <c r="N553" s="412">
        <f t="shared" si="29"/>
        <v>0</v>
      </c>
      <c r="O553" s="412">
        <f>All_Detail_v2[[#This Row],[Qty. Success]]</f>
        <v>0</v>
      </c>
      <c r="P553" s="230">
        <f>IF(All_Detail_v2[[#This Row],[Qty]]=0,1,(M553+N553+O553)/(All_Detail_v2[[#This Row],[Qty]]*3))</f>
        <v>0</v>
      </c>
      <c r="Q553" s="195"/>
      <c r="R553" s="414">
        <f>All_Detail_v2[[#This Row],[Scheduled Date]]</f>
        <v>46174</v>
      </c>
      <c r="S553" s="414">
        <f>All_Detail_v2[[#This Row],[Install Date]]</f>
        <v>0</v>
      </c>
    </row>
    <row r="554" spans="1:19">
      <c r="A554">
        <v>550</v>
      </c>
      <c r="B554" s="687" t="s">
        <v>425</v>
      </c>
      <c r="C554" s="689" t="s">
        <v>705</v>
      </c>
      <c r="D554" s="689" t="s">
        <v>718</v>
      </c>
      <c r="E554" s="689" t="s">
        <v>375</v>
      </c>
      <c r="F554" s="689">
        <v>1</v>
      </c>
      <c r="G554" s="689"/>
      <c r="H554" s="695"/>
      <c r="I554" s="695">
        <v>46174</v>
      </c>
      <c r="J554" s="689" t="s">
        <v>365</v>
      </c>
      <c r="K554" t="str">
        <f t="shared" si="28"/>
        <v>Switch</v>
      </c>
      <c r="M554" s="412">
        <f t="shared" si="27"/>
        <v>0</v>
      </c>
      <c r="N554" s="412">
        <f t="shared" si="29"/>
        <v>0</v>
      </c>
      <c r="O554" s="412">
        <f>All_Detail_v2[[#This Row],[Qty. Success]]</f>
        <v>0</v>
      </c>
      <c r="P554" s="230">
        <f>IF(All_Detail_v2[[#This Row],[Qty]]=0,1,(M554+N554+O554)/(All_Detail_v2[[#This Row],[Qty]]*3))</f>
        <v>0</v>
      </c>
      <c r="Q554" s="195"/>
      <c r="R554" s="414">
        <f>All_Detail_v2[[#This Row],[Scheduled Date]]</f>
        <v>46174</v>
      </c>
      <c r="S554" s="414">
        <f>All_Detail_v2[[#This Row],[Install Date]]</f>
        <v>0</v>
      </c>
    </row>
    <row r="555" spans="1:19">
      <c r="A555">
        <v>551</v>
      </c>
      <c r="B555" s="687" t="s">
        <v>425</v>
      </c>
      <c r="C555" s="689" t="s">
        <v>705</v>
      </c>
      <c r="D555" s="689" t="s">
        <v>719</v>
      </c>
      <c r="E555" s="689" t="s">
        <v>370</v>
      </c>
      <c r="F555" s="689">
        <v>1</v>
      </c>
      <c r="G555" s="689"/>
      <c r="H555" s="695"/>
      <c r="I555" s="695">
        <v>46174</v>
      </c>
      <c r="J555" s="689" t="s">
        <v>365</v>
      </c>
      <c r="K555" t="str">
        <f t="shared" si="28"/>
        <v>Switch</v>
      </c>
      <c r="M555" s="412">
        <f t="shared" si="27"/>
        <v>0</v>
      </c>
      <c r="N555" s="412">
        <f t="shared" si="29"/>
        <v>0</v>
      </c>
      <c r="O555" s="412">
        <f>All_Detail_v2[[#This Row],[Qty. Success]]</f>
        <v>0</v>
      </c>
      <c r="P555" s="230">
        <f>IF(All_Detail_v2[[#This Row],[Qty]]=0,1,(M555+N555+O555)/(All_Detail_v2[[#This Row],[Qty]]*3))</f>
        <v>0</v>
      </c>
      <c r="Q555" s="195"/>
      <c r="R555" s="414">
        <f>All_Detail_v2[[#This Row],[Scheduled Date]]</f>
        <v>46174</v>
      </c>
      <c r="S555" s="414">
        <f>All_Detail_v2[[#This Row],[Install Date]]</f>
        <v>0</v>
      </c>
    </row>
    <row r="556" spans="1:19">
      <c r="A556">
        <v>552</v>
      </c>
      <c r="B556" s="687" t="s">
        <v>425</v>
      </c>
      <c r="C556" s="689" t="s">
        <v>705</v>
      </c>
      <c r="D556" s="689" t="s">
        <v>719</v>
      </c>
      <c r="E556" s="689" t="s">
        <v>375</v>
      </c>
      <c r="F556" s="689">
        <v>1</v>
      </c>
      <c r="G556" s="689"/>
      <c r="H556" s="695"/>
      <c r="I556" s="695">
        <v>46174</v>
      </c>
      <c r="J556" s="689" t="s">
        <v>365</v>
      </c>
      <c r="K556" t="str">
        <f t="shared" si="28"/>
        <v>Switch</v>
      </c>
      <c r="M556" s="412">
        <f t="shared" si="27"/>
        <v>0</v>
      </c>
      <c r="N556" s="412">
        <f t="shared" si="29"/>
        <v>0</v>
      </c>
      <c r="O556" s="412">
        <f>All_Detail_v2[[#This Row],[Qty. Success]]</f>
        <v>0</v>
      </c>
      <c r="P556" s="230">
        <f>IF(All_Detail_v2[[#This Row],[Qty]]=0,1,(M556+N556+O556)/(All_Detail_v2[[#This Row],[Qty]]*3))</f>
        <v>0</v>
      </c>
      <c r="Q556" s="195"/>
      <c r="R556" s="414">
        <f>All_Detail_v2[[#This Row],[Scheduled Date]]</f>
        <v>46174</v>
      </c>
      <c r="S556" s="414">
        <f>All_Detail_v2[[#This Row],[Install Date]]</f>
        <v>0</v>
      </c>
    </row>
    <row r="557" spans="1:19">
      <c r="A557">
        <v>553</v>
      </c>
      <c r="B557" s="687" t="s">
        <v>425</v>
      </c>
      <c r="C557" s="689" t="s">
        <v>705</v>
      </c>
      <c r="D557" s="689" t="s">
        <v>720</v>
      </c>
      <c r="E557" s="689" t="s">
        <v>370</v>
      </c>
      <c r="F557" s="689">
        <v>1</v>
      </c>
      <c r="G557" s="689"/>
      <c r="H557" s="695"/>
      <c r="I557" s="695">
        <v>46174</v>
      </c>
      <c r="J557" s="689" t="s">
        <v>365</v>
      </c>
      <c r="K557" t="str">
        <f t="shared" si="28"/>
        <v>Switch</v>
      </c>
      <c r="M557" s="412">
        <f t="shared" si="27"/>
        <v>0</v>
      </c>
      <c r="N557" s="412">
        <f t="shared" si="29"/>
        <v>0</v>
      </c>
      <c r="O557" s="412">
        <f>All_Detail_v2[[#This Row],[Qty. Success]]</f>
        <v>0</v>
      </c>
      <c r="P557" s="230">
        <f>IF(All_Detail_v2[[#This Row],[Qty]]=0,1,(M557+N557+O557)/(All_Detail_v2[[#This Row],[Qty]]*3))</f>
        <v>0</v>
      </c>
      <c r="Q557" s="195"/>
      <c r="R557" s="414">
        <f>All_Detail_v2[[#This Row],[Scheduled Date]]</f>
        <v>46174</v>
      </c>
      <c r="S557" s="414">
        <f>All_Detail_v2[[#This Row],[Install Date]]</f>
        <v>0</v>
      </c>
    </row>
    <row r="558" spans="1:19">
      <c r="A558">
        <v>554</v>
      </c>
      <c r="B558" s="687" t="s">
        <v>425</v>
      </c>
      <c r="C558" s="689" t="s">
        <v>705</v>
      </c>
      <c r="D558" s="689" t="s">
        <v>720</v>
      </c>
      <c r="E558" s="689" t="s">
        <v>375</v>
      </c>
      <c r="F558" s="689">
        <v>1</v>
      </c>
      <c r="G558" s="689"/>
      <c r="H558" s="695"/>
      <c r="I558" s="695">
        <v>46174</v>
      </c>
      <c r="J558" s="689" t="s">
        <v>365</v>
      </c>
      <c r="K558" t="str">
        <f t="shared" si="28"/>
        <v>Switch</v>
      </c>
      <c r="M558" s="412">
        <f t="shared" si="27"/>
        <v>0</v>
      </c>
      <c r="N558" s="412">
        <f t="shared" si="29"/>
        <v>0</v>
      </c>
      <c r="O558" s="412">
        <f>All_Detail_v2[[#This Row],[Qty. Success]]</f>
        <v>0</v>
      </c>
      <c r="P558" s="230">
        <f>IF(All_Detail_v2[[#This Row],[Qty]]=0,1,(M558+N558+O558)/(All_Detail_v2[[#This Row],[Qty]]*3))</f>
        <v>0</v>
      </c>
      <c r="Q558" s="195"/>
      <c r="R558" s="414">
        <f>All_Detail_v2[[#This Row],[Scheduled Date]]</f>
        <v>46174</v>
      </c>
      <c r="S558" s="414">
        <f>All_Detail_v2[[#This Row],[Install Date]]</f>
        <v>0</v>
      </c>
    </row>
    <row r="559" spans="1:19">
      <c r="A559">
        <v>555</v>
      </c>
      <c r="B559" s="687" t="s">
        <v>425</v>
      </c>
      <c r="C559" s="689" t="s">
        <v>705</v>
      </c>
      <c r="D559" s="689" t="s">
        <v>721</v>
      </c>
      <c r="E559" s="689" t="s">
        <v>370</v>
      </c>
      <c r="F559" s="689">
        <v>1</v>
      </c>
      <c r="G559" s="689"/>
      <c r="H559" s="695"/>
      <c r="I559" s="695">
        <v>46174</v>
      </c>
      <c r="J559" s="689" t="s">
        <v>365</v>
      </c>
      <c r="K559" t="str">
        <f t="shared" si="28"/>
        <v>Switch</v>
      </c>
      <c r="M559" s="412">
        <f t="shared" si="27"/>
        <v>0</v>
      </c>
      <c r="N559" s="412">
        <f t="shared" si="29"/>
        <v>0</v>
      </c>
      <c r="O559" s="412">
        <f>All_Detail_v2[[#This Row],[Qty. Success]]</f>
        <v>0</v>
      </c>
      <c r="P559" s="230">
        <f>IF(All_Detail_v2[[#This Row],[Qty]]=0,1,(M559+N559+O559)/(All_Detail_v2[[#This Row],[Qty]]*3))</f>
        <v>0</v>
      </c>
      <c r="Q559" s="195"/>
      <c r="R559" s="414">
        <f>All_Detail_v2[[#This Row],[Scheduled Date]]</f>
        <v>46174</v>
      </c>
      <c r="S559" s="414">
        <f>All_Detail_v2[[#This Row],[Install Date]]</f>
        <v>0</v>
      </c>
    </row>
    <row r="560" spans="1:19">
      <c r="A560">
        <v>556</v>
      </c>
      <c r="B560" s="687" t="s">
        <v>425</v>
      </c>
      <c r="C560" s="689" t="s">
        <v>705</v>
      </c>
      <c r="D560" s="689" t="s">
        <v>722</v>
      </c>
      <c r="E560" s="689" t="s">
        <v>370</v>
      </c>
      <c r="F560" s="689">
        <v>1</v>
      </c>
      <c r="G560" s="689"/>
      <c r="H560" s="695"/>
      <c r="I560" s="695">
        <v>46175</v>
      </c>
      <c r="J560" s="689" t="s">
        <v>365</v>
      </c>
      <c r="K560" t="str">
        <f t="shared" si="28"/>
        <v>Switch</v>
      </c>
      <c r="M560" s="412">
        <f t="shared" si="27"/>
        <v>0</v>
      </c>
      <c r="N560" s="412">
        <f t="shared" si="29"/>
        <v>0</v>
      </c>
      <c r="O560" s="412">
        <f>All_Detail_v2[[#This Row],[Qty. Success]]</f>
        <v>0</v>
      </c>
      <c r="P560" s="230">
        <f>IF(All_Detail_v2[[#This Row],[Qty]]=0,1,(M560+N560+O560)/(All_Detail_v2[[#This Row],[Qty]]*3))</f>
        <v>0</v>
      </c>
      <c r="Q560" s="195"/>
      <c r="R560" s="414">
        <f>All_Detail_v2[[#This Row],[Scheduled Date]]</f>
        <v>46175</v>
      </c>
      <c r="S560" s="414">
        <f>All_Detail_v2[[#This Row],[Install Date]]</f>
        <v>0</v>
      </c>
    </row>
    <row r="561" spans="1:19">
      <c r="A561">
        <v>557</v>
      </c>
      <c r="B561" s="687" t="s">
        <v>425</v>
      </c>
      <c r="C561" s="689" t="s">
        <v>705</v>
      </c>
      <c r="D561" s="689" t="s">
        <v>723</v>
      </c>
      <c r="E561" s="689" t="s">
        <v>370</v>
      </c>
      <c r="F561" s="689">
        <v>1</v>
      </c>
      <c r="G561" s="689"/>
      <c r="H561" s="695"/>
      <c r="I561" s="695">
        <v>46175</v>
      </c>
      <c r="J561" s="689" t="s">
        <v>365</v>
      </c>
      <c r="K561" t="str">
        <f t="shared" si="28"/>
        <v>Switch</v>
      </c>
      <c r="M561" s="412">
        <f t="shared" si="27"/>
        <v>0</v>
      </c>
      <c r="N561" s="412">
        <f t="shared" si="29"/>
        <v>0</v>
      </c>
      <c r="O561" s="412">
        <f>All_Detail_v2[[#This Row],[Qty. Success]]</f>
        <v>0</v>
      </c>
      <c r="P561" s="230">
        <f>IF(All_Detail_v2[[#This Row],[Qty]]=0,1,(M561+N561+O561)/(All_Detail_v2[[#This Row],[Qty]]*3))</f>
        <v>0</v>
      </c>
      <c r="Q561" s="195"/>
      <c r="R561" s="414">
        <f>All_Detail_v2[[#This Row],[Scheduled Date]]</f>
        <v>46175</v>
      </c>
      <c r="S561" s="414">
        <f>All_Detail_v2[[#This Row],[Install Date]]</f>
        <v>0</v>
      </c>
    </row>
    <row r="562" spans="1:19">
      <c r="A562">
        <v>558</v>
      </c>
      <c r="B562" s="687" t="s">
        <v>425</v>
      </c>
      <c r="C562" s="689" t="s">
        <v>705</v>
      </c>
      <c r="D562" s="689" t="s">
        <v>724</v>
      </c>
      <c r="E562" s="689" t="s">
        <v>370</v>
      </c>
      <c r="F562" s="689">
        <v>1</v>
      </c>
      <c r="G562" s="689"/>
      <c r="H562" s="695"/>
      <c r="I562" s="695">
        <v>46175</v>
      </c>
      <c r="J562" s="689" t="s">
        <v>365</v>
      </c>
      <c r="K562" t="str">
        <f t="shared" si="28"/>
        <v>Switch</v>
      </c>
      <c r="M562" s="412">
        <f t="shared" si="27"/>
        <v>0</v>
      </c>
      <c r="N562" s="412">
        <f t="shared" si="29"/>
        <v>0</v>
      </c>
      <c r="O562" s="412">
        <f>All_Detail_v2[[#This Row],[Qty. Success]]</f>
        <v>0</v>
      </c>
      <c r="P562" s="230">
        <f>IF(All_Detail_v2[[#This Row],[Qty]]=0,1,(M562+N562+O562)/(All_Detail_v2[[#This Row],[Qty]]*3))</f>
        <v>0</v>
      </c>
      <c r="Q562" s="195"/>
      <c r="R562" s="414">
        <f>All_Detail_v2[[#This Row],[Scheduled Date]]</f>
        <v>46175</v>
      </c>
      <c r="S562" s="414">
        <f>All_Detail_v2[[#This Row],[Install Date]]</f>
        <v>0</v>
      </c>
    </row>
    <row r="563" spans="1:19">
      <c r="A563">
        <v>559</v>
      </c>
      <c r="B563" s="687" t="s">
        <v>425</v>
      </c>
      <c r="C563" s="689" t="s">
        <v>705</v>
      </c>
      <c r="D563" s="689" t="s">
        <v>724</v>
      </c>
      <c r="E563" s="689" t="s">
        <v>375</v>
      </c>
      <c r="F563" s="689">
        <v>1</v>
      </c>
      <c r="G563" s="689"/>
      <c r="H563" s="695"/>
      <c r="I563" s="695">
        <v>46175</v>
      </c>
      <c r="J563" s="689" t="s">
        <v>365</v>
      </c>
      <c r="K563" t="str">
        <f t="shared" si="28"/>
        <v>Switch</v>
      </c>
      <c r="M563" s="412">
        <f t="shared" si="27"/>
        <v>0</v>
      </c>
      <c r="N563" s="412">
        <f t="shared" si="29"/>
        <v>0</v>
      </c>
      <c r="O563" s="412">
        <f>All_Detail_v2[[#This Row],[Qty. Success]]</f>
        <v>0</v>
      </c>
      <c r="P563" s="230">
        <f>IF(All_Detail_v2[[#This Row],[Qty]]=0,1,(M563+N563+O563)/(All_Detail_v2[[#This Row],[Qty]]*3))</f>
        <v>0</v>
      </c>
      <c r="Q563" s="195"/>
      <c r="R563" s="414">
        <f>All_Detail_v2[[#This Row],[Scheduled Date]]</f>
        <v>46175</v>
      </c>
      <c r="S563" s="414">
        <f>All_Detail_v2[[#This Row],[Install Date]]</f>
        <v>0</v>
      </c>
    </row>
    <row r="564" spans="1:19">
      <c r="A564">
        <v>560</v>
      </c>
      <c r="B564" s="687" t="s">
        <v>425</v>
      </c>
      <c r="C564" s="689" t="s">
        <v>705</v>
      </c>
      <c r="D564" s="689" t="s">
        <v>725</v>
      </c>
      <c r="E564" s="689" t="s">
        <v>370</v>
      </c>
      <c r="F564" s="689">
        <v>1</v>
      </c>
      <c r="G564" s="689"/>
      <c r="H564" s="695"/>
      <c r="I564" s="695">
        <v>46175</v>
      </c>
      <c r="J564" s="689" t="s">
        <v>365</v>
      </c>
      <c r="K564" t="str">
        <f t="shared" si="28"/>
        <v>Switch</v>
      </c>
      <c r="M564" s="412">
        <f t="shared" si="27"/>
        <v>0</v>
      </c>
      <c r="N564" s="412">
        <f t="shared" si="29"/>
        <v>0</v>
      </c>
      <c r="O564" s="412">
        <f>All_Detail_v2[[#This Row],[Qty. Success]]</f>
        <v>0</v>
      </c>
      <c r="P564" s="230">
        <f>IF(All_Detail_v2[[#This Row],[Qty]]=0,1,(M564+N564+O564)/(All_Detail_v2[[#This Row],[Qty]]*3))</f>
        <v>0</v>
      </c>
      <c r="Q564" s="195"/>
      <c r="R564" s="414">
        <f>All_Detail_v2[[#This Row],[Scheduled Date]]</f>
        <v>46175</v>
      </c>
      <c r="S564" s="414">
        <f>All_Detail_v2[[#This Row],[Install Date]]</f>
        <v>0</v>
      </c>
    </row>
    <row r="565" spans="1:19">
      <c r="A565">
        <v>561</v>
      </c>
      <c r="B565" s="687" t="s">
        <v>425</v>
      </c>
      <c r="C565" s="689" t="s">
        <v>705</v>
      </c>
      <c r="D565" s="689" t="s">
        <v>725</v>
      </c>
      <c r="E565" s="689" t="s">
        <v>375</v>
      </c>
      <c r="F565" s="689">
        <v>1</v>
      </c>
      <c r="G565" s="689"/>
      <c r="H565" s="695"/>
      <c r="I565" s="695">
        <v>46175</v>
      </c>
      <c r="J565" s="689" t="s">
        <v>365</v>
      </c>
      <c r="K565" t="str">
        <f t="shared" si="28"/>
        <v>Switch</v>
      </c>
      <c r="M565" s="412">
        <f t="shared" si="27"/>
        <v>0</v>
      </c>
      <c r="N565" s="412">
        <f t="shared" si="29"/>
        <v>0</v>
      </c>
      <c r="O565" s="412">
        <f>All_Detail_v2[[#This Row],[Qty. Success]]</f>
        <v>0</v>
      </c>
      <c r="P565" s="230">
        <f>IF(All_Detail_v2[[#This Row],[Qty]]=0,1,(M565+N565+O565)/(All_Detail_v2[[#This Row],[Qty]]*3))</f>
        <v>0</v>
      </c>
      <c r="Q565" s="195"/>
      <c r="R565" s="414">
        <f>All_Detail_v2[[#This Row],[Scheduled Date]]</f>
        <v>46175</v>
      </c>
      <c r="S565" s="414">
        <f>All_Detail_v2[[#This Row],[Install Date]]</f>
        <v>0</v>
      </c>
    </row>
    <row r="566" spans="1:19">
      <c r="A566">
        <v>562</v>
      </c>
      <c r="B566" s="687" t="s">
        <v>425</v>
      </c>
      <c r="C566" s="689" t="s">
        <v>705</v>
      </c>
      <c r="D566" s="689" t="s">
        <v>725</v>
      </c>
      <c r="E566" s="689" t="s">
        <v>412</v>
      </c>
      <c r="F566" s="689">
        <v>1</v>
      </c>
      <c r="G566" s="689"/>
      <c r="H566" s="695"/>
      <c r="I566" s="695">
        <v>46175</v>
      </c>
      <c r="J566" s="689" t="s">
        <v>365</v>
      </c>
      <c r="K566" t="str">
        <f t="shared" si="28"/>
        <v>Switch</v>
      </c>
      <c r="M566" s="412">
        <f t="shared" si="27"/>
        <v>0</v>
      </c>
      <c r="N566" s="412">
        <f t="shared" si="29"/>
        <v>0</v>
      </c>
      <c r="O566" s="412">
        <f>All_Detail_v2[[#This Row],[Qty. Success]]</f>
        <v>0</v>
      </c>
      <c r="P566" s="230">
        <f>IF(All_Detail_v2[[#This Row],[Qty]]=0,1,(M566+N566+O566)/(All_Detail_v2[[#This Row],[Qty]]*3))</f>
        <v>0</v>
      </c>
      <c r="Q566" s="195"/>
      <c r="R566" s="414">
        <f>All_Detail_v2[[#This Row],[Scheduled Date]]</f>
        <v>46175</v>
      </c>
      <c r="S566" s="414">
        <f>All_Detail_v2[[#This Row],[Install Date]]</f>
        <v>0</v>
      </c>
    </row>
    <row r="567" spans="1:19">
      <c r="A567">
        <v>563</v>
      </c>
      <c r="B567" s="687" t="s">
        <v>425</v>
      </c>
      <c r="C567" s="689" t="s">
        <v>705</v>
      </c>
      <c r="D567" s="689" t="s">
        <v>726</v>
      </c>
      <c r="E567" s="689" t="s">
        <v>370</v>
      </c>
      <c r="F567" s="689">
        <v>1</v>
      </c>
      <c r="G567" s="689"/>
      <c r="H567" s="695"/>
      <c r="I567" s="695">
        <v>46175</v>
      </c>
      <c r="J567" s="689" t="s">
        <v>365</v>
      </c>
      <c r="K567" t="str">
        <f t="shared" si="28"/>
        <v>Switch</v>
      </c>
      <c r="M567" s="412">
        <f t="shared" si="27"/>
        <v>0</v>
      </c>
      <c r="N567" s="412">
        <f t="shared" si="29"/>
        <v>0</v>
      </c>
      <c r="O567" s="412">
        <f>All_Detail_v2[[#This Row],[Qty. Success]]</f>
        <v>0</v>
      </c>
      <c r="P567" s="230">
        <f>IF(All_Detail_v2[[#This Row],[Qty]]=0,1,(M567+N567+O567)/(All_Detail_v2[[#This Row],[Qty]]*3))</f>
        <v>0</v>
      </c>
      <c r="Q567" s="195"/>
      <c r="R567" s="414">
        <f>All_Detail_v2[[#This Row],[Scheduled Date]]</f>
        <v>46175</v>
      </c>
      <c r="S567" s="414">
        <f>All_Detail_v2[[#This Row],[Install Date]]</f>
        <v>0</v>
      </c>
    </row>
    <row r="568" spans="1:19">
      <c r="A568">
        <v>564</v>
      </c>
      <c r="B568" s="687" t="s">
        <v>425</v>
      </c>
      <c r="C568" s="689" t="s">
        <v>705</v>
      </c>
      <c r="D568" s="689" t="s">
        <v>726</v>
      </c>
      <c r="E568" s="689" t="s">
        <v>410</v>
      </c>
      <c r="F568" s="689">
        <v>1</v>
      </c>
      <c r="G568" s="689"/>
      <c r="H568" s="695"/>
      <c r="I568" s="695">
        <v>46175</v>
      </c>
      <c r="J568" s="689" t="s">
        <v>365</v>
      </c>
      <c r="K568" t="str">
        <f t="shared" si="28"/>
        <v>Switch</v>
      </c>
      <c r="M568" s="412">
        <f t="shared" si="27"/>
        <v>0</v>
      </c>
      <c r="N568" s="412">
        <f t="shared" si="29"/>
        <v>0</v>
      </c>
      <c r="O568" s="412">
        <f>All_Detail_v2[[#This Row],[Qty. Success]]</f>
        <v>0</v>
      </c>
      <c r="P568" s="230">
        <f>IF(All_Detail_v2[[#This Row],[Qty]]=0,1,(M568+N568+O568)/(All_Detail_v2[[#This Row],[Qty]]*3))</f>
        <v>0</v>
      </c>
      <c r="Q568" s="195"/>
      <c r="R568" s="414">
        <f>All_Detail_v2[[#This Row],[Scheduled Date]]</f>
        <v>46175</v>
      </c>
      <c r="S568" s="414">
        <f>All_Detail_v2[[#This Row],[Install Date]]</f>
        <v>0</v>
      </c>
    </row>
    <row r="569" spans="1:19">
      <c r="A569">
        <v>565</v>
      </c>
      <c r="B569" s="687" t="s">
        <v>425</v>
      </c>
      <c r="C569" s="689" t="s">
        <v>705</v>
      </c>
      <c r="D569" s="689" t="s">
        <v>727</v>
      </c>
      <c r="E569" s="689" t="s">
        <v>370</v>
      </c>
      <c r="F569" s="689">
        <v>1</v>
      </c>
      <c r="G569" s="689"/>
      <c r="H569" s="695"/>
      <c r="I569" s="695">
        <v>46175</v>
      </c>
      <c r="J569" s="689" t="s">
        <v>365</v>
      </c>
      <c r="K569" t="str">
        <f t="shared" si="28"/>
        <v>Switch</v>
      </c>
      <c r="M569" s="412">
        <f t="shared" si="27"/>
        <v>0</v>
      </c>
      <c r="N569" s="412">
        <f t="shared" si="29"/>
        <v>0</v>
      </c>
      <c r="O569" s="412">
        <f>All_Detail_v2[[#This Row],[Qty. Success]]</f>
        <v>0</v>
      </c>
      <c r="P569" s="230">
        <f>IF(All_Detail_v2[[#This Row],[Qty]]=0,1,(M569+N569+O569)/(All_Detail_v2[[#This Row],[Qty]]*3))</f>
        <v>0</v>
      </c>
      <c r="Q569" s="195"/>
      <c r="R569" s="414">
        <f>All_Detail_v2[[#This Row],[Scheduled Date]]</f>
        <v>46175</v>
      </c>
      <c r="S569" s="414">
        <f>All_Detail_v2[[#This Row],[Install Date]]</f>
        <v>0</v>
      </c>
    </row>
    <row r="570" spans="1:19">
      <c r="A570">
        <v>566</v>
      </c>
      <c r="B570" s="687" t="s">
        <v>425</v>
      </c>
      <c r="C570" s="689" t="s">
        <v>705</v>
      </c>
      <c r="D570" s="689" t="s">
        <v>727</v>
      </c>
      <c r="E570" s="689" t="s">
        <v>410</v>
      </c>
      <c r="F570" s="689">
        <v>1</v>
      </c>
      <c r="G570" s="689"/>
      <c r="H570" s="695"/>
      <c r="I570" s="695">
        <v>46175</v>
      </c>
      <c r="J570" s="689" t="s">
        <v>365</v>
      </c>
      <c r="K570" t="str">
        <f t="shared" si="28"/>
        <v>Switch</v>
      </c>
      <c r="M570" s="412">
        <f t="shared" si="27"/>
        <v>0</v>
      </c>
      <c r="N570" s="412">
        <f t="shared" si="29"/>
        <v>0</v>
      </c>
      <c r="O570" s="412">
        <f>All_Detail_v2[[#This Row],[Qty. Success]]</f>
        <v>0</v>
      </c>
      <c r="P570" s="230">
        <f>IF(All_Detail_v2[[#This Row],[Qty]]=0,1,(M570+N570+O570)/(All_Detail_v2[[#This Row],[Qty]]*3))</f>
        <v>0</v>
      </c>
      <c r="Q570" s="195"/>
      <c r="R570" s="414">
        <f>All_Detail_v2[[#This Row],[Scheduled Date]]</f>
        <v>46175</v>
      </c>
      <c r="S570" s="414">
        <f>All_Detail_v2[[#This Row],[Install Date]]</f>
        <v>0</v>
      </c>
    </row>
    <row r="571" spans="1:19">
      <c r="A571">
        <v>567</v>
      </c>
      <c r="B571" s="687" t="s">
        <v>425</v>
      </c>
      <c r="C571" s="689" t="s">
        <v>705</v>
      </c>
      <c r="D571" s="689" t="s">
        <v>728</v>
      </c>
      <c r="E571" s="689" t="s">
        <v>370</v>
      </c>
      <c r="F571" s="689">
        <v>1</v>
      </c>
      <c r="G571" s="689"/>
      <c r="H571" s="695"/>
      <c r="I571" s="695">
        <v>46175</v>
      </c>
      <c r="J571" s="689" t="s">
        <v>365</v>
      </c>
      <c r="K571" t="str">
        <f t="shared" si="28"/>
        <v>Switch</v>
      </c>
      <c r="M571" s="412">
        <f t="shared" si="27"/>
        <v>0</v>
      </c>
      <c r="N571" s="412">
        <f t="shared" si="29"/>
        <v>0</v>
      </c>
      <c r="O571" s="412">
        <f>All_Detail_v2[[#This Row],[Qty. Success]]</f>
        <v>0</v>
      </c>
      <c r="P571" s="230">
        <f>IF(All_Detail_v2[[#This Row],[Qty]]=0,1,(M571+N571+O571)/(All_Detail_v2[[#This Row],[Qty]]*3))</f>
        <v>0</v>
      </c>
      <c r="Q571" s="195"/>
      <c r="R571" s="414">
        <f>All_Detail_v2[[#This Row],[Scheduled Date]]</f>
        <v>46175</v>
      </c>
      <c r="S571" s="414">
        <f>All_Detail_v2[[#This Row],[Install Date]]</f>
        <v>0</v>
      </c>
    </row>
    <row r="572" spans="1:19">
      <c r="A572">
        <v>568</v>
      </c>
      <c r="B572" s="687" t="s">
        <v>425</v>
      </c>
      <c r="C572" s="689" t="s">
        <v>705</v>
      </c>
      <c r="D572" s="689" t="s">
        <v>728</v>
      </c>
      <c r="E572" s="689" t="s">
        <v>410</v>
      </c>
      <c r="F572" s="689">
        <v>1</v>
      </c>
      <c r="G572" s="689"/>
      <c r="H572" s="695"/>
      <c r="I572" s="695">
        <v>46175</v>
      </c>
      <c r="J572" s="689" t="s">
        <v>365</v>
      </c>
      <c r="K572" t="str">
        <f t="shared" si="28"/>
        <v>Switch</v>
      </c>
      <c r="M572" s="412">
        <f t="shared" si="27"/>
        <v>0</v>
      </c>
      <c r="N572" s="412">
        <f t="shared" si="29"/>
        <v>0</v>
      </c>
      <c r="O572" s="412">
        <f>All_Detail_v2[[#This Row],[Qty. Success]]</f>
        <v>0</v>
      </c>
      <c r="P572" s="230">
        <f>IF(All_Detail_v2[[#This Row],[Qty]]=0,1,(M572+N572+O572)/(All_Detail_v2[[#This Row],[Qty]]*3))</f>
        <v>0</v>
      </c>
      <c r="Q572" s="195"/>
      <c r="R572" s="414">
        <f>All_Detail_v2[[#This Row],[Scheduled Date]]</f>
        <v>46175</v>
      </c>
      <c r="S572" s="414">
        <f>All_Detail_v2[[#This Row],[Install Date]]</f>
        <v>0</v>
      </c>
    </row>
    <row r="573" spans="1:19">
      <c r="A573">
        <v>569</v>
      </c>
      <c r="B573" s="687" t="s">
        <v>425</v>
      </c>
      <c r="C573" s="689" t="s">
        <v>705</v>
      </c>
      <c r="D573" s="689" t="s">
        <v>729</v>
      </c>
      <c r="E573" s="689" t="s">
        <v>370</v>
      </c>
      <c r="F573" s="689">
        <v>1</v>
      </c>
      <c r="G573" s="689"/>
      <c r="H573" s="695"/>
      <c r="I573" s="695">
        <v>46177</v>
      </c>
      <c r="J573" s="689" t="s">
        <v>365</v>
      </c>
      <c r="K573" t="str">
        <f t="shared" si="28"/>
        <v>Switch</v>
      </c>
      <c r="M573" s="412">
        <f t="shared" si="27"/>
        <v>0</v>
      </c>
      <c r="N573" s="412">
        <f t="shared" si="29"/>
        <v>0</v>
      </c>
      <c r="O573" s="412">
        <f>All_Detail_v2[[#This Row],[Qty. Success]]</f>
        <v>0</v>
      </c>
      <c r="P573" s="230">
        <f>IF(All_Detail_v2[[#This Row],[Qty]]=0,1,(M573+N573+O573)/(All_Detail_v2[[#This Row],[Qty]]*3))</f>
        <v>0</v>
      </c>
      <c r="Q573" s="195"/>
      <c r="R573" s="414">
        <f>All_Detail_v2[[#This Row],[Scheduled Date]]</f>
        <v>46177</v>
      </c>
      <c r="S573" s="414">
        <f>All_Detail_v2[[#This Row],[Install Date]]</f>
        <v>0</v>
      </c>
    </row>
    <row r="574" spans="1:19">
      <c r="A574">
        <v>570</v>
      </c>
      <c r="B574" s="687" t="s">
        <v>425</v>
      </c>
      <c r="C574" s="689" t="s">
        <v>705</v>
      </c>
      <c r="D574" s="689" t="s">
        <v>729</v>
      </c>
      <c r="E574" s="689" t="s">
        <v>375</v>
      </c>
      <c r="F574" s="689">
        <v>1</v>
      </c>
      <c r="G574" s="689"/>
      <c r="H574" s="695"/>
      <c r="I574" s="695">
        <v>46177</v>
      </c>
      <c r="J574" s="689" t="s">
        <v>365</v>
      </c>
      <c r="K574" t="str">
        <f t="shared" si="28"/>
        <v>Switch</v>
      </c>
      <c r="M574" s="412">
        <f t="shared" si="27"/>
        <v>0</v>
      </c>
      <c r="N574" s="412">
        <f t="shared" si="29"/>
        <v>0</v>
      </c>
      <c r="O574" s="412">
        <f>All_Detail_v2[[#This Row],[Qty. Success]]</f>
        <v>0</v>
      </c>
      <c r="P574" s="230">
        <f>IF(All_Detail_v2[[#This Row],[Qty]]=0,1,(M574+N574+O574)/(All_Detail_v2[[#This Row],[Qty]]*3))</f>
        <v>0</v>
      </c>
      <c r="Q574" s="195"/>
      <c r="R574" s="414">
        <f>All_Detail_v2[[#This Row],[Scheduled Date]]</f>
        <v>46177</v>
      </c>
      <c r="S574" s="414">
        <f>All_Detail_v2[[#This Row],[Install Date]]</f>
        <v>0</v>
      </c>
    </row>
    <row r="575" spans="1:19">
      <c r="A575">
        <v>571</v>
      </c>
      <c r="B575" s="687" t="s">
        <v>425</v>
      </c>
      <c r="C575" s="689" t="s">
        <v>705</v>
      </c>
      <c r="D575" s="689" t="s">
        <v>729</v>
      </c>
      <c r="E575" s="689" t="s">
        <v>410</v>
      </c>
      <c r="F575" s="689">
        <v>1</v>
      </c>
      <c r="G575" s="689"/>
      <c r="H575" s="695"/>
      <c r="I575" s="695">
        <v>46177</v>
      </c>
      <c r="J575" s="689" t="s">
        <v>365</v>
      </c>
      <c r="K575" t="str">
        <f t="shared" si="28"/>
        <v>Switch</v>
      </c>
      <c r="M575" s="412">
        <f t="shared" si="27"/>
        <v>0</v>
      </c>
      <c r="N575" s="412">
        <f t="shared" si="29"/>
        <v>0</v>
      </c>
      <c r="O575" s="412">
        <f>All_Detail_v2[[#This Row],[Qty. Success]]</f>
        <v>0</v>
      </c>
      <c r="P575" s="230">
        <f>IF(All_Detail_v2[[#This Row],[Qty]]=0,1,(M575+N575+O575)/(All_Detail_v2[[#This Row],[Qty]]*3))</f>
        <v>0</v>
      </c>
      <c r="Q575" s="195"/>
      <c r="R575" s="414">
        <f>All_Detail_v2[[#This Row],[Scheduled Date]]</f>
        <v>46177</v>
      </c>
      <c r="S575" s="414">
        <f>All_Detail_v2[[#This Row],[Install Date]]</f>
        <v>0</v>
      </c>
    </row>
    <row r="576" spans="1:19">
      <c r="A576">
        <v>572</v>
      </c>
      <c r="B576" s="687" t="s">
        <v>425</v>
      </c>
      <c r="C576" s="689" t="s">
        <v>705</v>
      </c>
      <c r="D576" s="689" t="s">
        <v>730</v>
      </c>
      <c r="E576" s="689" t="s">
        <v>370</v>
      </c>
      <c r="F576" s="689">
        <v>1</v>
      </c>
      <c r="G576" s="689"/>
      <c r="H576" s="695"/>
      <c r="I576" s="695">
        <v>46177</v>
      </c>
      <c r="J576" s="689" t="s">
        <v>365</v>
      </c>
      <c r="K576" t="str">
        <f t="shared" si="28"/>
        <v>Switch</v>
      </c>
      <c r="M576" s="412">
        <f t="shared" si="27"/>
        <v>0</v>
      </c>
      <c r="N576" s="412">
        <f t="shared" si="29"/>
        <v>0</v>
      </c>
      <c r="O576" s="412">
        <f>All_Detail_v2[[#This Row],[Qty. Success]]</f>
        <v>0</v>
      </c>
      <c r="P576" s="230">
        <f>IF(All_Detail_v2[[#This Row],[Qty]]=0,1,(M576+N576+O576)/(All_Detail_v2[[#This Row],[Qty]]*3))</f>
        <v>0</v>
      </c>
      <c r="Q576" s="195"/>
      <c r="R576" s="414">
        <f>All_Detail_v2[[#This Row],[Scheduled Date]]</f>
        <v>46177</v>
      </c>
      <c r="S576" s="414">
        <f>All_Detail_v2[[#This Row],[Install Date]]</f>
        <v>0</v>
      </c>
    </row>
    <row r="577" spans="1:19">
      <c r="A577">
        <v>573</v>
      </c>
      <c r="B577" s="687" t="s">
        <v>425</v>
      </c>
      <c r="C577" s="689" t="s">
        <v>705</v>
      </c>
      <c r="D577" s="689" t="s">
        <v>730</v>
      </c>
      <c r="E577" s="689" t="s">
        <v>375</v>
      </c>
      <c r="F577" s="689">
        <v>1</v>
      </c>
      <c r="G577" s="689"/>
      <c r="H577" s="695"/>
      <c r="I577" s="695">
        <v>46177</v>
      </c>
      <c r="J577" s="689" t="s">
        <v>365</v>
      </c>
      <c r="K577" t="str">
        <f t="shared" si="28"/>
        <v>Switch</v>
      </c>
      <c r="M577" s="412">
        <f t="shared" si="27"/>
        <v>0</v>
      </c>
      <c r="N577" s="412">
        <f t="shared" si="29"/>
        <v>0</v>
      </c>
      <c r="O577" s="412">
        <f>All_Detail_v2[[#This Row],[Qty. Success]]</f>
        <v>0</v>
      </c>
      <c r="P577" s="230">
        <f>IF(All_Detail_v2[[#This Row],[Qty]]=0,1,(M577+N577+O577)/(All_Detail_v2[[#This Row],[Qty]]*3))</f>
        <v>0</v>
      </c>
      <c r="Q577" s="195"/>
      <c r="R577" s="414">
        <f>All_Detail_v2[[#This Row],[Scheduled Date]]</f>
        <v>46177</v>
      </c>
      <c r="S577" s="414">
        <f>All_Detail_v2[[#This Row],[Install Date]]</f>
        <v>0</v>
      </c>
    </row>
    <row r="578" spans="1:19">
      <c r="A578">
        <v>574</v>
      </c>
      <c r="B578" s="687" t="s">
        <v>425</v>
      </c>
      <c r="C578" s="689" t="s">
        <v>705</v>
      </c>
      <c r="D578" s="689" t="s">
        <v>731</v>
      </c>
      <c r="E578" s="689" t="s">
        <v>370</v>
      </c>
      <c r="F578" s="689">
        <v>1</v>
      </c>
      <c r="G578" s="689"/>
      <c r="H578" s="695"/>
      <c r="I578" s="695">
        <v>46177</v>
      </c>
      <c r="J578" s="689" t="s">
        <v>365</v>
      </c>
      <c r="K578" t="str">
        <f t="shared" si="28"/>
        <v>Switch</v>
      </c>
      <c r="M578" s="412">
        <f t="shared" ref="M578:M641" si="30">O578</f>
        <v>0</v>
      </c>
      <c r="N578" s="412">
        <f t="shared" si="29"/>
        <v>0</v>
      </c>
      <c r="O578" s="412">
        <f>All_Detail_v2[[#This Row],[Qty. Success]]</f>
        <v>0</v>
      </c>
      <c r="P578" s="230">
        <f>IF(All_Detail_v2[[#This Row],[Qty]]=0,1,(M578+N578+O578)/(All_Detail_v2[[#This Row],[Qty]]*3))</f>
        <v>0</v>
      </c>
      <c r="Q578" s="195"/>
      <c r="R578" s="414">
        <f>All_Detail_v2[[#This Row],[Scheduled Date]]</f>
        <v>46177</v>
      </c>
      <c r="S578" s="414">
        <f>All_Detail_v2[[#This Row],[Install Date]]</f>
        <v>0</v>
      </c>
    </row>
    <row r="579" spans="1:19">
      <c r="A579">
        <v>575</v>
      </c>
      <c r="B579" s="687" t="s">
        <v>425</v>
      </c>
      <c r="C579" s="689" t="s">
        <v>705</v>
      </c>
      <c r="D579" s="689" t="s">
        <v>732</v>
      </c>
      <c r="E579" s="689" t="s">
        <v>370</v>
      </c>
      <c r="F579" s="689">
        <v>1</v>
      </c>
      <c r="G579" s="689"/>
      <c r="H579" s="695"/>
      <c r="I579" s="695">
        <v>46177</v>
      </c>
      <c r="J579" s="689" t="s">
        <v>365</v>
      </c>
      <c r="K579" t="str">
        <f t="shared" ref="K579:K642" si="31">IF(ISNUMBER(SEARCH("Access Point",E579)),"AP",IF(OR(ISNUMBER(SEARCH("Switch",E579)),ISNUMBER(SEARCH("Control Type",E579))),"Switch","Infra"))</f>
        <v>Switch</v>
      </c>
      <c r="M579" s="412">
        <f t="shared" si="30"/>
        <v>0</v>
      </c>
      <c r="N579" s="412">
        <f t="shared" si="29"/>
        <v>0</v>
      </c>
      <c r="O579" s="412">
        <f>All_Detail_v2[[#This Row],[Qty. Success]]</f>
        <v>0</v>
      </c>
      <c r="P579" s="230">
        <f>IF(All_Detail_v2[[#This Row],[Qty]]=0,1,(M579+N579+O579)/(All_Detail_v2[[#This Row],[Qty]]*3))</f>
        <v>0</v>
      </c>
      <c r="Q579" s="195"/>
      <c r="R579" s="414">
        <f>All_Detail_v2[[#This Row],[Scheduled Date]]</f>
        <v>46177</v>
      </c>
      <c r="S579" s="414">
        <f>All_Detail_v2[[#This Row],[Install Date]]</f>
        <v>0</v>
      </c>
    </row>
    <row r="580" spans="1:19">
      <c r="A580">
        <v>576</v>
      </c>
      <c r="B580" s="687" t="s">
        <v>425</v>
      </c>
      <c r="C580" s="689" t="s">
        <v>705</v>
      </c>
      <c r="D580" s="689" t="s">
        <v>733</v>
      </c>
      <c r="E580" s="689" t="s">
        <v>370</v>
      </c>
      <c r="F580" s="689">
        <v>1</v>
      </c>
      <c r="G580" s="689"/>
      <c r="H580" s="695"/>
      <c r="I580" s="695">
        <v>46177</v>
      </c>
      <c r="J580" s="689" t="s">
        <v>365</v>
      </c>
      <c r="K580" t="str">
        <f t="shared" si="31"/>
        <v>Switch</v>
      </c>
      <c r="M580" s="412">
        <f t="shared" si="30"/>
        <v>0</v>
      </c>
      <c r="N580" s="412">
        <f t="shared" si="29"/>
        <v>0</v>
      </c>
      <c r="O580" s="412">
        <f>All_Detail_v2[[#This Row],[Qty. Success]]</f>
        <v>0</v>
      </c>
      <c r="P580" s="230">
        <f>IF(All_Detail_v2[[#This Row],[Qty]]=0,1,(M580+N580+O580)/(All_Detail_v2[[#This Row],[Qty]]*3))</f>
        <v>0</v>
      </c>
      <c r="Q580" s="195"/>
      <c r="R580" s="414">
        <f>All_Detail_v2[[#This Row],[Scheduled Date]]</f>
        <v>46177</v>
      </c>
      <c r="S580" s="414">
        <f>All_Detail_v2[[#This Row],[Install Date]]</f>
        <v>0</v>
      </c>
    </row>
    <row r="581" spans="1:19">
      <c r="A581">
        <v>577</v>
      </c>
      <c r="B581" s="687" t="s">
        <v>425</v>
      </c>
      <c r="C581" s="689" t="s">
        <v>705</v>
      </c>
      <c r="D581" s="689" t="s">
        <v>734</v>
      </c>
      <c r="E581" s="689" t="s">
        <v>370</v>
      </c>
      <c r="F581" s="689">
        <v>1</v>
      </c>
      <c r="G581" s="689"/>
      <c r="H581" s="695"/>
      <c r="I581" s="695">
        <v>46177</v>
      </c>
      <c r="J581" s="689" t="s">
        <v>365</v>
      </c>
      <c r="K581" t="str">
        <f t="shared" si="31"/>
        <v>Switch</v>
      </c>
      <c r="M581" s="412">
        <f t="shared" si="30"/>
        <v>0</v>
      </c>
      <c r="N581" s="412">
        <f t="shared" si="29"/>
        <v>0</v>
      </c>
      <c r="O581" s="412">
        <f>All_Detail_v2[[#This Row],[Qty. Success]]</f>
        <v>0</v>
      </c>
      <c r="P581" s="230">
        <f>IF(All_Detail_v2[[#This Row],[Qty]]=0,1,(M581+N581+O581)/(All_Detail_v2[[#This Row],[Qty]]*3))</f>
        <v>0</v>
      </c>
      <c r="Q581" s="195"/>
      <c r="R581" s="414">
        <f>All_Detail_v2[[#This Row],[Scheduled Date]]</f>
        <v>46177</v>
      </c>
      <c r="S581" s="414">
        <f>All_Detail_v2[[#This Row],[Install Date]]</f>
        <v>0</v>
      </c>
    </row>
    <row r="582" spans="1:19">
      <c r="A582">
        <v>578</v>
      </c>
      <c r="B582" s="687" t="s">
        <v>425</v>
      </c>
      <c r="C582" s="689" t="s">
        <v>705</v>
      </c>
      <c r="D582" s="689" t="s">
        <v>734</v>
      </c>
      <c r="E582" s="689" t="s">
        <v>375</v>
      </c>
      <c r="F582" s="689">
        <v>1</v>
      </c>
      <c r="G582" s="689"/>
      <c r="H582" s="695"/>
      <c r="I582" s="695">
        <v>46177</v>
      </c>
      <c r="J582" s="689" t="s">
        <v>365</v>
      </c>
      <c r="K582" t="str">
        <f t="shared" si="31"/>
        <v>Switch</v>
      </c>
      <c r="M582" s="412">
        <f t="shared" si="30"/>
        <v>0</v>
      </c>
      <c r="N582" s="412">
        <f t="shared" ref="N582:N645" si="32">O582</f>
        <v>0</v>
      </c>
      <c r="O582" s="412">
        <f>All_Detail_v2[[#This Row],[Qty. Success]]</f>
        <v>0</v>
      </c>
      <c r="P582" s="230">
        <f>IF(All_Detail_v2[[#This Row],[Qty]]=0,1,(M582+N582+O582)/(All_Detail_v2[[#This Row],[Qty]]*3))</f>
        <v>0</v>
      </c>
      <c r="Q582" s="195"/>
      <c r="R582" s="414">
        <f>All_Detail_v2[[#This Row],[Scheduled Date]]</f>
        <v>46177</v>
      </c>
      <c r="S582" s="414">
        <f>All_Detail_v2[[#This Row],[Install Date]]</f>
        <v>0</v>
      </c>
    </row>
    <row r="583" spans="1:19">
      <c r="A583">
        <v>579</v>
      </c>
      <c r="B583" s="687" t="s">
        <v>425</v>
      </c>
      <c r="C583" s="689" t="s">
        <v>735</v>
      </c>
      <c r="D583" s="689" t="s">
        <v>736</v>
      </c>
      <c r="E583" s="689" t="s">
        <v>370</v>
      </c>
      <c r="F583" s="689">
        <v>2</v>
      </c>
      <c r="G583" s="689"/>
      <c r="H583" s="695"/>
      <c r="I583" s="695">
        <v>46170</v>
      </c>
      <c r="J583" s="689" t="s">
        <v>365</v>
      </c>
      <c r="K583" t="str">
        <f t="shared" si="31"/>
        <v>Switch</v>
      </c>
      <c r="M583" s="412">
        <f t="shared" si="30"/>
        <v>0</v>
      </c>
      <c r="N583" s="412">
        <f t="shared" si="32"/>
        <v>0</v>
      </c>
      <c r="O583" s="412">
        <f>All_Detail_v2[[#This Row],[Qty. Success]]</f>
        <v>0</v>
      </c>
      <c r="P583" s="230">
        <f>IF(All_Detail_v2[[#This Row],[Qty]]=0,1,(M583+N583+O583)/(All_Detail_v2[[#This Row],[Qty]]*3))</f>
        <v>0</v>
      </c>
      <c r="Q583" s="195"/>
      <c r="R583" s="414">
        <f>All_Detail_v2[[#This Row],[Scheduled Date]]</f>
        <v>46170</v>
      </c>
      <c r="S583" s="414">
        <f>All_Detail_v2[[#This Row],[Install Date]]</f>
        <v>0</v>
      </c>
    </row>
    <row r="584" spans="1:19">
      <c r="A584">
        <v>580</v>
      </c>
      <c r="B584" s="687" t="s">
        <v>425</v>
      </c>
      <c r="C584" s="689" t="s">
        <v>735</v>
      </c>
      <c r="D584" s="689" t="s">
        <v>736</v>
      </c>
      <c r="E584" s="689" t="s">
        <v>375</v>
      </c>
      <c r="F584" s="689">
        <v>1</v>
      </c>
      <c r="G584" s="689"/>
      <c r="H584" s="695"/>
      <c r="I584" s="695">
        <v>46170</v>
      </c>
      <c r="J584" s="689" t="s">
        <v>365</v>
      </c>
      <c r="K584" t="str">
        <f t="shared" si="31"/>
        <v>Switch</v>
      </c>
      <c r="M584" s="412">
        <f t="shared" si="30"/>
        <v>0</v>
      </c>
      <c r="N584" s="412">
        <f t="shared" si="32"/>
        <v>0</v>
      </c>
      <c r="O584" s="412">
        <f>All_Detail_v2[[#This Row],[Qty. Success]]</f>
        <v>0</v>
      </c>
      <c r="P584" s="230">
        <f>IF(All_Detail_v2[[#This Row],[Qty]]=0,1,(M584+N584+O584)/(All_Detail_v2[[#This Row],[Qty]]*3))</f>
        <v>0</v>
      </c>
      <c r="Q584" s="195"/>
      <c r="R584" s="414">
        <f>All_Detail_v2[[#This Row],[Scheduled Date]]</f>
        <v>46170</v>
      </c>
      <c r="S584" s="414">
        <f>All_Detail_v2[[#This Row],[Install Date]]</f>
        <v>0</v>
      </c>
    </row>
    <row r="585" spans="1:19">
      <c r="A585">
        <v>581</v>
      </c>
      <c r="B585" s="687" t="s">
        <v>425</v>
      </c>
      <c r="C585" s="689" t="s">
        <v>735</v>
      </c>
      <c r="D585" s="689" t="s">
        <v>736</v>
      </c>
      <c r="E585" s="689" t="s">
        <v>412</v>
      </c>
      <c r="F585" s="689">
        <v>1</v>
      </c>
      <c r="G585" s="689"/>
      <c r="H585" s="695"/>
      <c r="I585" s="695">
        <v>46170</v>
      </c>
      <c r="J585" s="689" t="s">
        <v>365</v>
      </c>
      <c r="K585" t="str">
        <f t="shared" si="31"/>
        <v>Switch</v>
      </c>
      <c r="M585" s="412">
        <f t="shared" si="30"/>
        <v>0</v>
      </c>
      <c r="N585" s="412">
        <f t="shared" si="32"/>
        <v>0</v>
      </c>
      <c r="O585" s="412">
        <f>All_Detail_v2[[#This Row],[Qty. Success]]</f>
        <v>0</v>
      </c>
      <c r="P585" s="230">
        <f>IF(All_Detail_v2[[#This Row],[Qty]]=0,1,(M585+N585+O585)/(All_Detail_v2[[#This Row],[Qty]]*3))</f>
        <v>0</v>
      </c>
      <c r="Q585" s="195"/>
      <c r="R585" s="414">
        <f>All_Detail_v2[[#This Row],[Scheduled Date]]</f>
        <v>46170</v>
      </c>
      <c r="S585" s="414">
        <f>All_Detail_v2[[#This Row],[Install Date]]</f>
        <v>0</v>
      </c>
    </row>
    <row r="586" spans="1:19">
      <c r="A586">
        <v>582</v>
      </c>
      <c r="B586" s="687" t="s">
        <v>425</v>
      </c>
      <c r="C586" s="689" t="s">
        <v>735</v>
      </c>
      <c r="D586" s="689" t="s">
        <v>737</v>
      </c>
      <c r="E586" s="689" t="s">
        <v>370</v>
      </c>
      <c r="F586" s="689">
        <v>1</v>
      </c>
      <c r="G586" s="689"/>
      <c r="H586" s="695"/>
      <c r="I586" s="695">
        <v>46170</v>
      </c>
      <c r="J586" s="689" t="s">
        <v>365</v>
      </c>
      <c r="K586" t="str">
        <f t="shared" si="31"/>
        <v>Switch</v>
      </c>
      <c r="M586" s="412">
        <f t="shared" si="30"/>
        <v>0</v>
      </c>
      <c r="N586" s="412">
        <f t="shared" si="32"/>
        <v>0</v>
      </c>
      <c r="O586" s="412">
        <f>All_Detail_v2[[#This Row],[Qty. Success]]</f>
        <v>0</v>
      </c>
      <c r="P586" s="230">
        <f>IF(All_Detail_v2[[#This Row],[Qty]]=0,1,(M586+N586+O586)/(All_Detail_v2[[#This Row],[Qty]]*3))</f>
        <v>0</v>
      </c>
      <c r="Q586" s="195"/>
      <c r="R586" s="414">
        <f>All_Detail_v2[[#This Row],[Scheduled Date]]</f>
        <v>46170</v>
      </c>
      <c r="S586" s="414">
        <f>All_Detail_v2[[#This Row],[Install Date]]</f>
        <v>0</v>
      </c>
    </row>
    <row r="587" spans="1:19">
      <c r="A587">
        <v>583</v>
      </c>
      <c r="B587" s="687" t="s">
        <v>425</v>
      </c>
      <c r="C587" s="689" t="s">
        <v>735</v>
      </c>
      <c r="D587" s="689" t="s">
        <v>737</v>
      </c>
      <c r="E587" s="689" t="s">
        <v>375</v>
      </c>
      <c r="F587" s="689">
        <v>1</v>
      </c>
      <c r="G587" s="689"/>
      <c r="H587" s="695"/>
      <c r="I587" s="695">
        <v>46170</v>
      </c>
      <c r="J587" s="689" t="s">
        <v>365</v>
      </c>
      <c r="K587" t="str">
        <f t="shared" si="31"/>
        <v>Switch</v>
      </c>
      <c r="M587" s="412">
        <f t="shared" si="30"/>
        <v>0</v>
      </c>
      <c r="N587" s="412">
        <f t="shared" si="32"/>
        <v>0</v>
      </c>
      <c r="O587" s="412">
        <f>All_Detail_v2[[#This Row],[Qty. Success]]</f>
        <v>0</v>
      </c>
      <c r="P587" s="230">
        <f>IF(All_Detail_v2[[#This Row],[Qty]]=0,1,(M587+N587+O587)/(All_Detail_v2[[#This Row],[Qty]]*3))</f>
        <v>0</v>
      </c>
      <c r="Q587" s="195"/>
      <c r="R587" s="414">
        <f>All_Detail_v2[[#This Row],[Scheduled Date]]</f>
        <v>46170</v>
      </c>
      <c r="S587" s="414">
        <f>All_Detail_v2[[#This Row],[Install Date]]</f>
        <v>0</v>
      </c>
    </row>
    <row r="588" spans="1:19">
      <c r="A588">
        <v>584</v>
      </c>
      <c r="B588" s="687" t="s">
        <v>425</v>
      </c>
      <c r="C588" s="689" t="s">
        <v>735</v>
      </c>
      <c r="D588" s="689" t="s">
        <v>737</v>
      </c>
      <c r="E588" s="689" t="s">
        <v>410</v>
      </c>
      <c r="F588" s="689">
        <v>1</v>
      </c>
      <c r="G588" s="689"/>
      <c r="H588" s="695"/>
      <c r="I588" s="695">
        <v>46170</v>
      </c>
      <c r="J588" s="689" t="s">
        <v>365</v>
      </c>
      <c r="K588" t="str">
        <f t="shared" si="31"/>
        <v>Switch</v>
      </c>
      <c r="M588" s="412">
        <f t="shared" si="30"/>
        <v>0</v>
      </c>
      <c r="N588" s="412">
        <f t="shared" si="32"/>
        <v>0</v>
      </c>
      <c r="O588" s="412">
        <f>All_Detail_v2[[#This Row],[Qty. Success]]</f>
        <v>0</v>
      </c>
      <c r="P588" s="230">
        <f>IF(All_Detail_v2[[#This Row],[Qty]]=0,1,(M588+N588+O588)/(All_Detail_v2[[#This Row],[Qty]]*3))</f>
        <v>0</v>
      </c>
      <c r="Q588" s="195"/>
      <c r="R588" s="414">
        <f>All_Detail_v2[[#This Row],[Scheduled Date]]</f>
        <v>46170</v>
      </c>
      <c r="S588" s="414">
        <f>All_Detail_v2[[#This Row],[Install Date]]</f>
        <v>0</v>
      </c>
    </row>
    <row r="589" spans="1:19">
      <c r="A589">
        <v>585</v>
      </c>
      <c r="B589" s="687" t="s">
        <v>425</v>
      </c>
      <c r="C589" s="689" t="s">
        <v>735</v>
      </c>
      <c r="D589" s="689" t="s">
        <v>738</v>
      </c>
      <c r="E589" s="689" t="s">
        <v>370</v>
      </c>
      <c r="F589" s="689">
        <v>1</v>
      </c>
      <c r="G589" s="689"/>
      <c r="H589" s="695"/>
      <c r="I589" s="695">
        <v>46170</v>
      </c>
      <c r="J589" s="689" t="s">
        <v>365</v>
      </c>
      <c r="K589" t="str">
        <f t="shared" si="31"/>
        <v>Switch</v>
      </c>
      <c r="M589" s="412">
        <f t="shared" si="30"/>
        <v>0</v>
      </c>
      <c r="N589" s="412">
        <f t="shared" si="32"/>
        <v>0</v>
      </c>
      <c r="O589" s="412">
        <f>All_Detail_v2[[#This Row],[Qty. Success]]</f>
        <v>0</v>
      </c>
      <c r="P589" s="230">
        <f>IF(All_Detail_v2[[#This Row],[Qty]]=0,1,(M589+N589+O589)/(All_Detail_v2[[#This Row],[Qty]]*3))</f>
        <v>0</v>
      </c>
      <c r="Q589" s="195"/>
      <c r="R589" s="414">
        <f>All_Detail_v2[[#This Row],[Scheduled Date]]</f>
        <v>46170</v>
      </c>
      <c r="S589" s="414">
        <f>All_Detail_v2[[#This Row],[Install Date]]</f>
        <v>0</v>
      </c>
    </row>
    <row r="590" spans="1:19">
      <c r="A590">
        <v>586</v>
      </c>
      <c r="B590" s="687" t="s">
        <v>425</v>
      </c>
      <c r="C590" s="689" t="s">
        <v>735</v>
      </c>
      <c r="D590" s="689" t="s">
        <v>738</v>
      </c>
      <c r="E590" s="689" t="s">
        <v>375</v>
      </c>
      <c r="F590" s="689">
        <v>1</v>
      </c>
      <c r="G590" s="689"/>
      <c r="H590" s="695"/>
      <c r="I590" s="695">
        <v>46170</v>
      </c>
      <c r="J590" s="689" t="s">
        <v>365</v>
      </c>
      <c r="K590" t="str">
        <f t="shared" si="31"/>
        <v>Switch</v>
      </c>
      <c r="M590" s="412">
        <f t="shared" si="30"/>
        <v>0</v>
      </c>
      <c r="N590" s="412">
        <f t="shared" si="32"/>
        <v>0</v>
      </c>
      <c r="O590" s="412">
        <f>All_Detail_v2[[#This Row],[Qty. Success]]</f>
        <v>0</v>
      </c>
      <c r="P590" s="230">
        <f>IF(All_Detail_v2[[#This Row],[Qty]]=0,1,(M590+N590+O590)/(All_Detail_v2[[#This Row],[Qty]]*3))</f>
        <v>0</v>
      </c>
      <c r="Q590" s="195"/>
      <c r="R590" s="414">
        <f>All_Detail_v2[[#This Row],[Scheduled Date]]</f>
        <v>46170</v>
      </c>
      <c r="S590" s="414">
        <f>All_Detail_v2[[#This Row],[Install Date]]</f>
        <v>0</v>
      </c>
    </row>
    <row r="591" spans="1:19">
      <c r="A591">
        <v>587</v>
      </c>
      <c r="B591" s="687" t="s">
        <v>425</v>
      </c>
      <c r="C591" s="689" t="s">
        <v>735</v>
      </c>
      <c r="D591" s="689" t="s">
        <v>738</v>
      </c>
      <c r="E591" s="689" t="s">
        <v>410</v>
      </c>
      <c r="F591" s="689">
        <v>1</v>
      </c>
      <c r="G591" s="689"/>
      <c r="H591" s="695"/>
      <c r="I591" s="695">
        <v>46170</v>
      </c>
      <c r="J591" s="689" t="s">
        <v>365</v>
      </c>
      <c r="K591" t="str">
        <f t="shared" si="31"/>
        <v>Switch</v>
      </c>
      <c r="M591" s="412">
        <f t="shared" si="30"/>
        <v>0</v>
      </c>
      <c r="N591" s="412">
        <f t="shared" si="32"/>
        <v>0</v>
      </c>
      <c r="O591" s="412">
        <f>All_Detail_v2[[#This Row],[Qty. Success]]</f>
        <v>0</v>
      </c>
      <c r="P591" s="230">
        <f>IF(All_Detail_v2[[#This Row],[Qty]]=0,1,(M591+N591+O591)/(All_Detail_v2[[#This Row],[Qty]]*3))</f>
        <v>0</v>
      </c>
      <c r="Q591" s="195"/>
      <c r="R591" s="414">
        <f>All_Detail_v2[[#This Row],[Scheduled Date]]</f>
        <v>46170</v>
      </c>
      <c r="S591" s="414">
        <f>All_Detail_v2[[#This Row],[Install Date]]</f>
        <v>0</v>
      </c>
    </row>
    <row r="592" spans="1:19">
      <c r="A592">
        <v>588</v>
      </c>
      <c r="B592" s="687" t="s">
        <v>425</v>
      </c>
      <c r="C592" s="689" t="s">
        <v>735</v>
      </c>
      <c r="D592" s="689" t="s">
        <v>739</v>
      </c>
      <c r="E592" s="689" t="s">
        <v>370</v>
      </c>
      <c r="F592" s="689">
        <v>1</v>
      </c>
      <c r="G592" s="689"/>
      <c r="H592" s="695"/>
      <c r="I592" s="695">
        <v>46170</v>
      </c>
      <c r="J592" s="689" t="s">
        <v>365</v>
      </c>
      <c r="K592" t="str">
        <f t="shared" si="31"/>
        <v>Switch</v>
      </c>
      <c r="M592" s="412">
        <f t="shared" si="30"/>
        <v>0</v>
      </c>
      <c r="N592" s="412">
        <f t="shared" si="32"/>
        <v>0</v>
      </c>
      <c r="O592" s="412">
        <f>All_Detail_v2[[#This Row],[Qty. Success]]</f>
        <v>0</v>
      </c>
      <c r="P592" s="230">
        <f>IF(All_Detail_v2[[#This Row],[Qty]]=0,1,(M592+N592+O592)/(All_Detail_v2[[#This Row],[Qty]]*3))</f>
        <v>0</v>
      </c>
      <c r="Q592" s="195"/>
      <c r="R592" s="414">
        <f>All_Detail_v2[[#This Row],[Scheduled Date]]</f>
        <v>46170</v>
      </c>
      <c r="S592" s="414">
        <f>All_Detail_v2[[#This Row],[Install Date]]</f>
        <v>0</v>
      </c>
    </row>
    <row r="593" spans="1:19">
      <c r="A593">
        <v>589</v>
      </c>
      <c r="B593" s="687" t="s">
        <v>425</v>
      </c>
      <c r="C593" s="689" t="s">
        <v>735</v>
      </c>
      <c r="D593" s="689" t="s">
        <v>739</v>
      </c>
      <c r="E593" s="689" t="s">
        <v>375</v>
      </c>
      <c r="F593" s="689">
        <v>1</v>
      </c>
      <c r="G593" s="689"/>
      <c r="H593" s="695"/>
      <c r="I593" s="695">
        <v>46170</v>
      </c>
      <c r="J593" s="689" t="s">
        <v>365</v>
      </c>
      <c r="K593" t="str">
        <f t="shared" si="31"/>
        <v>Switch</v>
      </c>
      <c r="M593" s="412">
        <f t="shared" si="30"/>
        <v>0</v>
      </c>
      <c r="N593" s="412">
        <f t="shared" si="32"/>
        <v>0</v>
      </c>
      <c r="O593" s="412">
        <f>All_Detail_v2[[#This Row],[Qty. Success]]</f>
        <v>0</v>
      </c>
      <c r="P593" s="230">
        <f>IF(All_Detail_v2[[#This Row],[Qty]]=0,1,(M593+N593+O593)/(All_Detail_v2[[#This Row],[Qty]]*3))</f>
        <v>0</v>
      </c>
      <c r="Q593" s="195"/>
      <c r="R593" s="414">
        <f>All_Detail_v2[[#This Row],[Scheduled Date]]</f>
        <v>46170</v>
      </c>
      <c r="S593" s="414">
        <f>All_Detail_v2[[#This Row],[Install Date]]</f>
        <v>0</v>
      </c>
    </row>
    <row r="594" spans="1:19">
      <c r="A594">
        <v>590</v>
      </c>
      <c r="B594" s="687" t="s">
        <v>425</v>
      </c>
      <c r="C594" s="689" t="s">
        <v>735</v>
      </c>
      <c r="D594" s="689" t="s">
        <v>739</v>
      </c>
      <c r="E594" s="689" t="s">
        <v>410</v>
      </c>
      <c r="F594" s="689">
        <v>1</v>
      </c>
      <c r="G594" s="689"/>
      <c r="H594" s="695"/>
      <c r="I594" s="695">
        <v>46170</v>
      </c>
      <c r="J594" s="689" t="s">
        <v>365</v>
      </c>
      <c r="K594" t="str">
        <f t="shared" si="31"/>
        <v>Switch</v>
      </c>
      <c r="M594" s="412">
        <f t="shared" si="30"/>
        <v>0</v>
      </c>
      <c r="N594" s="412">
        <f t="shared" si="32"/>
        <v>0</v>
      </c>
      <c r="O594" s="412">
        <f>All_Detail_v2[[#This Row],[Qty. Success]]</f>
        <v>0</v>
      </c>
      <c r="P594" s="230">
        <f>IF(All_Detail_v2[[#This Row],[Qty]]=0,1,(M594+N594+O594)/(All_Detail_v2[[#This Row],[Qty]]*3))</f>
        <v>0</v>
      </c>
      <c r="Q594" s="195"/>
      <c r="R594" s="414">
        <f>All_Detail_v2[[#This Row],[Scheduled Date]]</f>
        <v>46170</v>
      </c>
      <c r="S594" s="414">
        <f>All_Detail_v2[[#This Row],[Install Date]]</f>
        <v>0</v>
      </c>
    </row>
    <row r="595" spans="1:19">
      <c r="A595">
        <v>591</v>
      </c>
      <c r="B595" s="687" t="s">
        <v>425</v>
      </c>
      <c r="C595" s="689" t="s">
        <v>735</v>
      </c>
      <c r="D595" s="689" t="s">
        <v>740</v>
      </c>
      <c r="E595" s="689" t="s">
        <v>370</v>
      </c>
      <c r="F595" s="689">
        <v>1</v>
      </c>
      <c r="G595" s="689"/>
      <c r="H595" s="695"/>
      <c r="I595" s="695">
        <v>46171</v>
      </c>
      <c r="J595" s="689" t="s">
        <v>365</v>
      </c>
      <c r="K595" t="str">
        <f t="shared" si="31"/>
        <v>Switch</v>
      </c>
      <c r="M595" s="412">
        <f t="shared" si="30"/>
        <v>0</v>
      </c>
      <c r="N595" s="412">
        <f t="shared" si="32"/>
        <v>0</v>
      </c>
      <c r="O595" s="412">
        <f>All_Detail_v2[[#This Row],[Qty. Success]]</f>
        <v>0</v>
      </c>
      <c r="P595" s="230">
        <f>IF(All_Detail_v2[[#This Row],[Qty]]=0,1,(M595+N595+O595)/(All_Detail_v2[[#This Row],[Qty]]*3))</f>
        <v>0</v>
      </c>
      <c r="Q595" s="195"/>
      <c r="R595" s="414">
        <f>All_Detail_v2[[#This Row],[Scheduled Date]]</f>
        <v>46171</v>
      </c>
      <c r="S595" s="414">
        <f>All_Detail_v2[[#This Row],[Install Date]]</f>
        <v>0</v>
      </c>
    </row>
    <row r="596" spans="1:19">
      <c r="A596">
        <v>592</v>
      </c>
      <c r="B596" s="687" t="s">
        <v>425</v>
      </c>
      <c r="C596" s="689" t="s">
        <v>735</v>
      </c>
      <c r="D596" s="689" t="s">
        <v>740</v>
      </c>
      <c r="E596" s="689" t="s">
        <v>375</v>
      </c>
      <c r="F596" s="689">
        <v>2</v>
      </c>
      <c r="G596" s="689"/>
      <c r="H596" s="695"/>
      <c r="I596" s="695">
        <v>46171</v>
      </c>
      <c r="J596" s="689" t="s">
        <v>365</v>
      </c>
      <c r="K596" t="str">
        <f t="shared" si="31"/>
        <v>Switch</v>
      </c>
      <c r="M596" s="412">
        <f t="shared" si="30"/>
        <v>0</v>
      </c>
      <c r="N596" s="412">
        <f t="shared" si="32"/>
        <v>0</v>
      </c>
      <c r="O596" s="412">
        <f>All_Detail_v2[[#This Row],[Qty. Success]]</f>
        <v>0</v>
      </c>
      <c r="P596" s="230">
        <f>IF(All_Detail_v2[[#This Row],[Qty]]=0,1,(M596+N596+O596)/(All_Detail_v2[[#This Row],[Qty]]*3))</f>
        <v>0</v>
      </c>
      <c r="Q596" s="195"/>
      <c r="R596" s="414">
        <f>All_Detail_v2[[#This Row],[Scheduled Date]]</f>
        <v>46171</v>
      </c>
      <c r="S596" s="414">
        <f>All_Detail_v2[[#This Row],[Install Date]]</f>
        <v>0</v>
      </c>
    </row>
    <row r="597" spans="1:19">
      <c r="A597">
        <v>593</v>
      </c>
      <c r="B597" s="687" t="s">
        <v>425</v>
      </c>
      <c r="C597" s="689" t="s">
        <v>735</v>
      </c>
      <c r="D597" s="689" t="s">
        <v>740</v>
      </c>
      <c r="E597" s="689" t="s">
        <v>410</v>
      </c>
      <c r="F597" s="689">
        <v>1</v>
      </c>
      <c r="G597" s="689"/>
      <c r="H597" s="695"/>
      <c r="I597" s="695">
        <v>46171</v>
      </c>
      <c r="J597" s="689" t="s">
        <v>365</v>
      </c>
      <c r="K597" t="str">
        <f t="shared" si="31"/>
        <v>Switch</v>
      </c>
      <c r="M597" s="412">
        <f t="shared" si="30"/>
        <v>0</v>
      </c>
      <c r="N597" s="412">
        <f t="shared" si="32"/>
        <v>0</v>
      </c>
      <c r="O597" s="412">
        <f>All_Detail_v2[[#This Row],[Qty. Success]]</f>
        <v>0</v>
      </c>
      <c r="P597" s="230">
        <f>IF(All_Detail_v2[[#This Row],[Qty]]=0,1,(M597+N597+O597)/(All_Detail_v2[[#This Row],[Qty]]*3))</f>
        <v>0</v>
      </c>
      <c r="Q597" s="195"/>
      <c r="R597" s="414">
        <f>All_Detail_v2[[#This Row],[Scheduled Date]]</f>
        <v>46171</v>
      </c>
      <c r="S597" s="414">
        <f>All_Detail_v2[[#This Row],[Install Date]]</f>
        <v>0</v>
      </c>
    </row>
    <row r="598" spans="1:19">
      <c r="A598">
        <v>594</v>
      </c>
      <c r="B598" s="687" t="s">
        <v>425</v>
      </c>
      <c r="C598" s="689" t="s">
        <v>735</v>
      </c>
      <c r="D598" s="689" t="s">
        <v>741</v>
      </c>
      <c r="E598" s="689" t="s">
        <v>370</v>
      </c>
      <c r="F598" s="689">
        <v>1</v>
      </c>
      <c r="G598" s="689"/>
      <c r="H598" s="695"/>
      <c r="I598" s="695">
        <v>46171</v>
      </c>
      <c r="J598" s="689" t="s">
        <v>365</v>
      </c>
      <c r="K598" t="str">
        <f t="shared" si="31"/>
        <v>Switch</v>
      </c>
      <c r="M598" s="412">
        <f t="shared" si="30"/>
        <v>0</v>
      </c>
      <c r="N598" s="412">
        <f t="shared" si="32"/>
        <v>0</v>
      </c>
      <c r="O598" s="412">
        <f>All_Detail_v2[[#This Row],[Qty. Success]]</f>
        <v>0</v>
      </c>
      <c r="P598" s="230">
        <f>IF(All_Detail_v2[[#This Row],[Qty]]=0,1,(M598+N598+O598)/(All_Detail_v2[[#This Row],[Qty]]*3))</f>
        <v>0</v>
      </c>
      <c r="Q598" s="195"/>
      <c r="R598" s="414">
        <f>All_Detail_v2[[#This Row],[Scheduled Date]]</f>
        <v>46171</v>
      </c>
      <c r="S598" s="414">
        <f>All_Detail_v2[[#This Row],[Install Date]]</f>
        <v>0</v>
      </c>
    </row>
    <row r="599" spans="1:19">
      <c r="A599">
        <v>595</v>
      </c>
      <c r="B599" s="687" t="s">
        <v>425</v>
      </c>
      <c r="C599" s="689" t="s">
        <v>735</v>
      </c>
      <c r="D599" s="689" t="s">
        <v>741</v>
      </c>
      <c r="E599" s="689" t="s">
        <v>375</v>
      </c>
      <c r="F599" s="689">
        <v>1</v>
      </c>
      <c r="G599" s="689"/>
      <c r="H599" s="695"/>
      <c r="I599" s="695">
        <v>46171</v>
      </c>
      <c r="J599" s="689" t="s">
        <v>365</v>
      </c>
      <c r="K599" t="str">
        <f t="shared" si="31"/>
        <v>Switch</v>
      </c>
      <c r="M599" s="412">
        <f t="shared" si="30"/>
        <v>0</v>
      </c>
      <c r="N599" s="412">
        <f t="shared" si="32"/>
        <v>0</v>
      </c>
      <c r="O599" s="412">
        <f>All_Detail_v2[[#This Row],[Qty. Success]]</f>
        <v>0</v>
      </c>
      <c r="P599" s="230">
        <f>IF(All_Detail_v2[[#This Row],[Qty]]=0,1,(M599+N599+O599)/(All_Detail_v2[[#This Row],[Qty]]*3))</f>
        <v>0</v>
      </c>
      <c r="Q599" s="195"/>
      <c r="R599" s="414">
        <f>All_Detail_v2[[#This Row],[Scheduled Date]]</f>
        <v>46171</v>
      </c>
      <c r="S599" s="414">
        <f>All_Detail_v2[[#This Row],[Install Date]]</f>
        <v>0</v>
      </c>
    </row>
    <row r="600" spans="1:19">
      <c r="A600">
        <v>596</v>
      </c>
      <c r="B600" s="687" t="s">
        <v>425</v>
      </c>
      <c r="C600" s="689" t="s">
        <v>735</v>
      </c>
      <c r="D600" s="689" t="s">
        <v>742</v>
      </c>
      <c r="E600" s="689" t="s">
        <v>370</v>
      </c>
      <c r="F600" s="689">
        <v>1</v>
      </c>
      <c r="G600" s="689"/>
      <c r="H600" s="695"/>
      <c r="I600" s="695">
        <v>46171</v>
      </c>
      <c r="J600" s="689" t="s">
        <v>365</v>
      </c>
      <c r="K600" t="str">
        <f t="shared" si="31"/>
        <v>Switch</v>
      </c>
      <c r="M600" s="412">
        <f t="shared" si="30"/>
        <v>0</v>
      </c>
      <c r="N600" s="412">
        <f t="shared" si="32"/>
        <v>0</v>
      </c>
      <c r="O600" s="412">
        <f>All_Detail_v2[[#This Row],[Qty. Success]]</f>
        <v>0</v>
      </c>
      <c r="P600" s="230">
        <f>IF(All_Detail_v2[[#This Row],[Qty]]=0,1,(M600+N600+O600)/(All_Detail_v2[[#This Row],[Qty]]*3))</f>
        <v>0</v>
      </c>
      <c r="Q600" s="195"/>
      <c r="R600" s="414">
        <f>All_Detail_v2[[#This Row],[Scheduled Date]]</f>
        <v>46171</v>
      </c>
      <c r="S600" s="414">
        <f>All_Detail_v2[[#This Row],[Install Date]]</f>
        <v>0</v>
      </c>
    </row>
    <row r="601" spans="1:19">
      <c r="A601">
        <v>597</v>
      </c>
      <c r="B601" s="687" t="s">
        <v>425</v>
      </c>
      <c r="C601" s="689" t="s">
        <v>735</v>
      </c>
      <c r="D601" s="689" t="s">
        <v>742</v>
      </c>
      <c r="E601" s="689" t="s">
        <v>375</v>
      </c>
      <c r="F601" s="689">
        <v>1</v>
      </c>
      <c r="G601" s="689"/>
      <c r="H601" s="695"/>
      <c r="I601" s="695">
        <v>46171</v>
      </c>
      <c r="J601" s="689" t="s">
        <v>365</v>
      </c>
      <c r="K601" t="str">
        <f t="shared" si="31"/>
        <v>Switch</v>
      </c>
      <c r="M601" s="412">
        <f t="shared" si="30"/>
        <v>0</v>
      </c>
      <c r="N601" s="412">
        <f t="shared" si="32"/>
        <v>0</v>
      </c>
      <c r="O601" s="412">
        <f>All_Detail_v2[[#This Row],[Qty. Success]]</f>
        <v>0</v>
      </c>
      <c r="P601" s="230">
        <f>IF(All_Detail_v2[[#This Row],[Qty]]=0,1,(M601+N601+O601)/(All_Detail_v2[[#This Row],[Qty]]*3))</f>
        <v>0</v>
      </c>
      <c r="Q601" s="195"/>
      <c r="R601" s="414">
        <f>All_Detail_v2[[#This Row],[Scheduled Date]]</f>
        <v>46171</v>
      </c>
      <c r="S601" s="414">
        <f>All_Detail_v2[[#This Row],[Install Date]]</f>
        <v>0</v>
      </c>
    </row>
    <row r="602" spans="1:19">
      <c r="A602">
        <v>598</v>
      </c>
      <c r="B602" s="687" t="s">
        <v>425</v>
      </c>
      <c r="C602" s="689" t="s">
        <v>735</v>
      </c>
      <c r="D602" s="689" t="s">
        <v>743</v>
      </c>
      <c r="E602" s="689" t="s">
        <v>370</v>
      </c>
      <c r="F602" s="689">
        <v>1</v>
      </c>
      <c r="G602" s="689"/>
      <c r="H602" s="695"/>
      <c r="I602" s="695">
        <v>46171</v>
      </c>
      <c r="J602" s="689" t="s">
        <v>365</v>
      </c>
      <c r="K602" t="str">
        <f t="shared" si="31"/>
        <v>Switch</v>
      </c>
      <c r="M602" s="412">
        <f t="shared" si="30"/>
        <v>0</v>
      </c>
      <c r="N602" s="412">
        <f t="shared" si="32"/>
        <v>0</v>
      </c>
      <c r="O602" s="412">
        <f>All_Detail_v2[[#This Row],[Qty. Success]]</f>
        <v>0</v>
      </c>
      <c r="P602" s="230">
        <f>IF(All_Detail_v2[[#This Row],[Qty]]=0,1,(M602+N602+O602)/(All_Detail_v2[[#This Row],[Qty]]*3))</f>
        <v>0</v>
      </c>
      <c r="Q602" s="195"/>
      <c r="R602" s="414">
        <f>All_Detail_v2[[#This Row],[Scheduled Date]]</f>
        <v>46171</v>
      </c>
      <c r="S602" s="414">
        <f>All_Detail_v2[[#This Row],[Install Date]]</f>
        <v>0</v>
      </c>
    </row>
    <row r="603" spans="1:19">
      <c r="A603">
        <v>599</v>
      </c>
      <c r="B603" s="687" t="s">
        <v>425</v>
      </c>
      <c r="C603" s="689" t="s">
        <v>735</v>
      </c>
      <c r="D603" s="689" t="s">
        <v>743</v>
      </c>
      <c r="E603" s="689" t="s">
        <v>375</v>
      </c>
      <c r="F603" s="689">
        <v>1</v>
      </c>
      <c r="G603" s="689"/>
      <c r="H603" s="695"/>
      <c r="I603" s="695">
        <v>46171</v>
      </c>
      <c r="J603" s="689" t="s">
        <v>365</v>
      </c>
      <c r="K603" t="str">
        <f t="shared" si="31"/>
        <v>Switch</v>
      </c>
      <c r="M603" s="412">
        <f t="shared" si="30"/>
        <v>0</v>
      </c>
      <c r="N603" s="412">
        <f t="shared" si="32"/>
        <v>0</v>
      </c>
      <c r="O603" s="412">
        <f>All_Detail_v2[[#This Row],[Qty. Success]]</f>
        <v>0</v>
      </c>
      <c r="P603" s="230">
        <f>IF(All_Detail_v2[[#This Row],[Qty]]=0,1,(M603+N603+O603)/(All_Detail_v2[[#This Row],[Qty]]*3))</f>
        <v>0</v>
      </c>
      <c r="Q603" s="195"/>
      <c r="R603" s="414">
        <f>All_Detail_v2[[#This Row],[Scheduled Date]]</f>
        <v>46171</v>
      </c>
      <c r="S603" s="414">
        <f>All_Detail_v2[[#This Row],[Install Date]]</f>
        <v>0</v>
      </c>
    </row>
    <row r="604" spans="1:19">
      <c r="A604">
        <v>600</v>
      </c>
      <c r="B604" s="687" t="s">
        <v>425</v>
      </c>
      <c r="C604" s="689" t="s">
        <v>735</v>
      </c>
      <c r="D604" s="689" t="s">
        <v>744</v>
      </c>
      <c r="E604" s="689" t="s">
        <v>370</v>
      </c>
      <c r="F604" s="689">
        <v>1</v>
      </c>
      <c r="G604" s="689"/>
      <c r="H604" s="695"/>
      <c r="I604" s="695">
        <v>46171</v>
      </c>
      <c r="J604" s="689" t="s">
        <v>365</v>
      </c>
      <c r="K604" t="str">
        <f t="shared" si="31"/>
        <v>Switch</v>
      </c>
      <c r="M604" s="412">
        <f t="shared" si="30"/>
        <v>0</v>
      </c>
      <c r="N604" s="412">
        <f t="shared" si="32"/>
        <v>0</v>
      </c>
      <c r="O604" s="412">
        <f>All_Detail_v2[[#This Row],[Qty. Success]]</f>
        <v>0</v>
      </c>
      <c r="P604" s="230">
        <f>IF(All_Detail_v2[[#This Row],[Qty]]=0,1,(M604+N604+O604)/(All_Detail_v2[[#This Row],[Qty]]*3))</f>
        <v>0</v>
      </c>
      <c r="Q604" s="195"/>
      <c r="R604" s="414">
        <f>All_Detail_v2[[#This Row],[Scheduled Date]]</f>
        <v>46171</v>
      </c>
      <c r="S604" s="414">
        <f>All_Detail_v2[[#This Row],[Install Date]]</f>
        <v>0</v>
      </c>
    </row>
    <row r="605" spans="1:19">
      <c r="A605">
        <v>601</v>
      </c>
      <c r="B605" s="687" t="s">
        <v>425</v>
      </c>
      <c r="C605" s="689" t="s">
        <v>735</v>
      </c>
      <c r="D605" s="689" t="s">
        <v>744</v>
      </c>
      <c r="E605" s="689" t="s">
        <v>375</v>
      </c>
      <c r="F605" s="689">
        <v>1</v>
      </c>
      <c r="G605" s="689"/>
      <c r="H605" s="695"/>
      <c r="I605" s="695">
        <v>46171</v>
      </c>
      <c r="J605" s="689" t="s">
        <v>365</v>
      </c>
      <c r="K605" t="str">
        <f t="shared" si="31"/>
        <v>Switch</v>
      </c>
      <c r="M605" s="412">
        <f t="shared" si="30"/>
        <v>0</v>
      </c>
      <c r="N605" s="412">
        <f t="shared" si="32"/>
        <v>0</v>
      </c>
      <c r="O605" s="412">
        <f>All_Detail_v2[[#This Row],[Qty. Success]]</f>
        <v>0</v>
      </c>
      <c r="P605" s="230">
        <f>IF(All_Detail_v2[[#This Row],[Qty]]=0,1,(M605+N605+O605)/(All_Detail_v2[[#This Row],[Qty]]*3))</f>
        <v>0</v>
      </c>
      <c r="Q605" s="195"/>
      <c r="R605" s="414">
        <f>All_Detail_v2[[#This Row],[Scheduled Date]]</f>
        <v>46171</v>
      </c>
      <c r="S605" s="414">
        <f>All_Detail_v2[[#This Row],[Install Date]]</f>
        <v>0</v>
      </c>
    </row>
    <row r="606" spans="1:19">
      <c r="A606">
        <v>602</v>
      </c>
      <c r="B606" s="687" t="s">
        <v>425</v>
      </c>
      <c r="C606" s="689" t="s">
        <v>735</v>
      </c>
      <c r="D606" s="689" t="s">
        <v>745</v>
      </c>
      <c r="E606" s="689" t="s">
        <v>370</v>
      </c>
      <c r="F606" s="689">
        <v>1</v>
      </c>
      <c r="G606" s="689"/>
      <c r="H606" s="695"/>
      <c r="I606" s="695">
        <v>46174</v>
      </c>
      <c r="J606" s="689" t="s">
        <v>365</v>
      </c>
      <c r="K606" t="str">
        <f t="shared" si="31"/>
        <v>Switch</v>
      </c>
      <c r="M606" s="412">
        <f t="shared" si="30"/>
        <v>0</v>
      </c>
      <c r="N606" s="412">
        <f t="shared" si="32"/>
        <v>0</v>
      </c>
      <c r="O606" s="412">
        <f>All_Detail_v2[[#This Row],[Qty. Success]]</f>
        <v>0</v>
      </c>
      <c r="P606" s="230">
        <f>IF(All_Detail_v2[[#This Row],[Qty]]=0,1,(M606+N606+O606)/(All_Detail_v2[[#This Row],[Qty]]*3))</f>
        <v>0</v>
      </c>
      <c r="Q606" s="195"/>
      <c r="R606" s="414">
        <f>All_Detail_v2[[#This Row],[Scheduled Date]]</f>
        <v>46174</v>
      </c>
      <c r="S606" s="414">
        <f>All_Detail_v2[[#This Row],[Install Date]]</f>
        <v>0</v>
      </c>
    </row>
    <row r="607" spans="1:19">
      <c r="A607">
        <v>603</v>
      </c>
      <c r="B607" s="687" t="s">
        <v>425</v>
      </c>
      <c r="C607" s="689" t="s">
        <v>735</v>
      </c>
      <c r="D607" s="689" t="s">
        <v>745</v>
      </c>
      <c r="E607" s="689" t="s">
        <v>375</v>
      </c>
      <c r="F607" s="689">
        <v>1</v>
      </c>
      <c r="G607" s="689"/>
      <c r="H607" s="695"/>
      <c r="I607" s="695">
        <v>46174</v>
      </c>
      <c r="J607" s="689" t="s">
        <v>365</v>
      </c>
      <c r="K607" t="str">
        <f t="shared" si="31"/>
        <v>Switch</v>
      </c>
      <c r="M607" s="412">
        <f t="shared" si="30"/>
        <v>0</v>
      </c>
      <c r="N607" s="412">
        <f t="shared" si="32"/>
        <v>0</v>
      </c>
      <c r="O607" s="412">
        <f>All_Detail_v2[[#This Row],[Qty. Success]]</f>
        <v>0</v>
      </c>
      <c r="P607" s="230">
        <f>IF(All_Detail_v2[[#This Row],[Qty]]=0,1,(M607+N607+O607)/(All_Detail_v2[[#This Row],[Qty]]*3))</f>
        <v>0</v>
      </c>
      <c r="Q607" s="195"/>
      <c r="R607" s="414">
        <f>All_Detail_v2[[#This Row],[Scheduled Date]]</f>
        <v>46174</v>
      </c>
      <c r="S607" s="414">
        <f>All_Detail_v2[[#This Row],[Install Date]]</f>
        <v>0</v>
      </c>
    </row>
    <row r="608" spans="1:19">
      <c r="A608">
        <v>604</v>
      </c>
      <c r="B608" s="687" t="s">
        <v>425</v>
      </c>
      <c r="C608" s="689" t="s">
        <v>735</v>
      </c>
      <c r="D608" s="689" t="s">
        <v>746</v>
      </c>
      <c r="E608" s="689" t="s">
        <v>370</v>
      </c>
      <c r="F608" s="689">
        <v>1</v>
      </c>
      <c r="G608" s="689"/>
      <c r="H608" s="695"/>
      <c r="I608" s="695">
        <v>46174</v>
      </c>
      <c r="J608" s="689" t="s">
        <v>365</v>
      </c>
      <c r="K608" t="str">
        <f t="shared" si="31"/>
        <v>Switch</v>
      </c>
      <c r="M608" s="412">
        <f t="shared" si="30"/>
        <v>0</v>
      </c>
      <c r="N608" s="412">
        <f t="shared" si="32"/>
        <v>0</v>
      </c>
      <c r="O608" s="412">
        <f>All_Detail_v2[[#This Row],[Qty. Success]]</f>
        <v>0</v>
      </c>
      <c r="P608" s="230">
        <f>IF(All_Detail_v2[[#This Row],[Qty]]=0,1,(M608+N608+O608)/(All_Detail_v2[[#This Row],[Qty]]*3))</f>
        <v>0</v>
      </c>
      <c r="Q608" s="195"/>
      <c r="R608" s="414">
        <f>All_Detail_v2[[#This Row],[Scheduled Date]]</f>
        <v>46174</v>
      </c>
      <c r="S608" s="414">
        <f>All_Detail_v2[[#This Row],[Install Date]]</f>
        <v>0</v>
      </c>
    </row>
    <row r="609" spans="1:19">
      <c r="A609">
        <v>605</v>
      </c>
      <c r="B609" s="687" t="s">
        <v>425</v>
      </c>
      <c r="C609" s="689" t="s">
        <v>735</v>
      </c>
      <c r="D609" s="689" t="s">
        <v>746</v>
      </c>
      <c r="E609" s="689" t="s">
        <v>375</v>
      </c>
      <c r="F609" s="689">
        <v>1</v>
      </c>
      <c r="G609" s="689"/>
      <c r="H609" s="695"/>
      <c r="I609" s="695">
        <v>46174</v>
      </c>
      <c r="J609" s="689" t="s">
        <v>365</v>
      </c>
      <c r="K609" t="str">
        <f t="shared" si="31"/>
        <v>Switch</v>
      </c>
      <c r="M609" s="412">
        <f t="shared" si="30"/>
        <v>0</v>
      </c>
      <c r="N609" s="412">
        <f t="shared" si="32"/>
        <v>0</v>
      </c>
      <c r="O609" s="412">
        <f>All_Detail_v2[[#This Row],[Qty. Success]]</f>
        <v>0</v>
      </c>
      <c r="P609" s="230">
        <f>IF(All_Detail_v2[[#This Row],[Qty]]=0,1,(M609+N609+O609)/(All_Detail_v2[[#This Row],[Qty]]*3))</f>
        <v>0</v>
      </c>
      <c r="Q609" s="195"/>
      <c r="R609" s="414">
        <f>All_Detail_v2[[#This Row],[Scheduled Date]]</f>
        <v>46174</v>
      </c>
      <c r="S609" s="414">
        <f>All_Detail_v2[[#This Row],[Install Date]]</f>
        <v>0</v>
      </c>
    </row>
    <row r="610" spans="1:19">
      <c r="A610">
        <v>606</v>
      </c>
      <c r="B610" s="687" t="s">
        <v>425</v>
      </c>
      <c r="C610" s="689" t="s">
        <v>735</v>
      </c>
      <c r="D610" s="689" t="s">
        <v>747</v>
      </c>
      <c r="E610" s="689" t="s">
        <v>370</v>
      </c>
      <c r="F610" s="689">
        <v>2</v>
      </c>
      <c r="G610" s="689"/>
      <c r="H610" s="695"/>
      <c r="I610" s="695">
        <v>46174</v>
      </c>
      <c r="J610" s="689" t="s">
        <v>365</v>
      </c>
      <c r="K610" t="str">
        <f t="shared" si="31"/>
        <v>Switch</v>
      </c>
      <c r="M610" s="412">
        <f t="shared" si="30"/>
        <v>0</v>
      </c>
      <c r="N610" s="412">
        <f t="shared" si="32"/>
        <v>0</v>
      </c>
      <c r="O610" s="412">
        <f>All_Detail_v2[[#This Row],[Qty. Success]]</f>
        <v>0</v>
      </c>
      <c r="P610" s="230">
        <f>IF(All_Detail_v2[[#This Row],[Qty]]=0,1,(M610+N610+O610)/(All_Detail_v2[[#This Row],[Qty]]*3))</f>
        <v>0</v>
      </c>
      <c r="Q610" s="195"/>
      <c r="R610" s="414">
        <f>All_Detail_v2[[#This Row],[Scheduled Date]]</f>
        <v>46174</v>
      </c>
      <c r="S610" s="414">
        <f>All_Detail_v2[[#This Row],[Install Date]]</f>
        <v>0</v>
      </c>
    </row>
    <row r="611" spans="1:19">
      <c r="A611">
        <v>607</v>
      </c>
      <c r="B611" s="687" t="s">
        <v>425</v>
      </c>
      <c r="C611" s="689" t="s">
        <v>735</v>
      </c>
      <c r="D611" s="689" t="s">
        <v>747</v>
      </c>
      <c r="E611" s="689" t="s">
        <v>375</v>
      </c>
      <c r="F611" s="689">
        <v>2</v>
      </c>
      <c r="G611" s="689"/>
      <c r="H611" s="695"/>
      <c r="I611" s="695">
        <v>46174</v>
      </c>
      <c r="J611" s="689" t="s">
        <v>365</v>
      </c>
      <c r="K611" t="str">
        <f t="shared" si="31"/>
        <v>Switch</v>
      </c>
      <c r="M611" s="412">
        <f t="shared" si="30"/>
        <v>0</v>
      </c>
      <c r="N611" s="412">
        <f t="shared" si="32"/>
        <v>0</v>
      </c>
      <c r="O611" s="412">
        <f>All_Detail_v2[[#This Row],[Qty. Success]]</f>
        <v>0</v>
      </c>
      <c r="P611" s="230">
        <f>IF(All_Detail_v2[[#This Row],[Qty]]=0,1,(M611+N611+O611)/(All_Detail_v2[[#This Row],[Qty]]*3))</f>
        <v>0</v>
      </c>
      <c r="Q611" s="195"/>
      <c r="R611" s="414">
        <f>All_Detail_v2[[#This Row],[Scheduled Date]]</f>
        <v>46174</v>
      </c>
      <c r="S611" s="414">
        <f>All_Detail_v2[[#This Row],[Install Date]]</f>
        <v>0</v>
      </c>
    </row>
    <row r="612" spans="1:19">
      <c r="A612">
        <v>608</v>
      </c>
      <c r="B612" s="687" t="s">
        <v>425</v>
      </c>
      <c r="C612" s="689" t="s">
        <v>735</v>
      </c>
      <c r="D612" s="689" t="s">
        <v>747</v>
      </c>
      <c r="E612" s="689" t="s">
        <v>410</v>
      </c>
      <c r="F612" s="689">
        <v>1</v>
      </c>
      <c r="G612" s="689"/>
      <c r="H612" s="695"/>
      <c r="I612" s="695">
        <v>46174</v>
      </c>
      <c r="J612" s="689" t="s">
        <v>365</v>
      </c>
      <c r="K612" t="str">
        <f t="shared" si="31"/>
        <v>Switch</v>
      </c>
      <c r="M612" s="412">
        <f t="shared" si="30"/>
        <v>0</v>
      </c>
      <c r="N612" s="412">
        <f t="shared" si="32"/>
        <v>0</v>
      </c>
      <c r="O612" s="412">
        <f>All_Detail_v2[[#This Row],[Qty. Success]]</f>
        <v>0</v>
      </c>
      <c r="P612" s="230">
        <f>IF(All_Detail_v2[[#This Row],[Qty]]=0,1,(M612+N612+O612)/(All_Detail_v2[[#This Row],[Qty]]*3))</f>
        <v>0</v>
      </c>
      <c r="Q612" s="195"/>
      <c r="R612" s="414">
        <f>All_Detail_v2[[#This Row],[Scheduled Date]]</f>
        <v>46174</v>
      </c>
      <c r="S612" s="414">
        <f>All_Detail_v2[[#This Row],[Install Date]]</f>
        <v>0</v>
      </c>
    </row>
    <row r="613" spans="1:19">
      <c r="A613">
        <v>609</v>
      </c>
      <c r="B613" s="687" t="s">
        <v>425</v>
      </c>
      <c r="C613" s="689" t="s">
        <v>735</v>
      </c>
      <c r="D613" s="689" t="s">
        <v>748</v>
      </c>
      <c r="E613" s="689" t="s">
        <v>370</v>
      </c>
      <c r="F613" s="689">
        <v>1</v>
      </c>
      <c r="G613" s="689"/>
      <c r="H613" s="695"/>
      <c r="I613" s="695">
        <v>46174</v>
      </c>
      <c r="J613" s="689" t="s">
        <v>365</v>
      </c>
      <c r="K613" t="str">
        <f t="shared" si="31"/>
        <v>Switch</v>
      </c>
      <c r="M613" s="412">
        <f t="shared" si="30"/>
        <v>0</v>
      </c>
      <c r="N613" s="412">
        <f t="shared" si="32"/>
        <v>0</v>
      </c>
      <c r="O613" s="412">
        <f>All_Detail_v2[[#This Row],[Qty. Success]]</f>
        <v>0</v>
      </c>
      <c r="P613" s="230">
        <f>IF(All_Detail_v2[[#This Row],[Qty]]=0,1,(M613+N613+O613)/(All_Detail_v2[[#This Row],[Qty]]*3))</f>
        <v>0</v>
      </c>
      <c r="Q613" s="195"/>
      <c r="R613" s="414">
        <f>All_Detail_v2[[#This Row],[Scheduled Date]]</f>
        <v>46174</v>
      </c>
      <c r="S613" s="414">
        <f>All_Detail_v2[[#This Row],[Install Date]]</f>
        <v>0</v>
      </c>
    </row>
    <row r="614" spans="1:19">
      <c r="A614">
        <v>610</v>
      </c>
      <c r="B614" s="687" t="s">
        <v>425</v>
      </c>
      <c r="C614" s="689" t="s">
        <v>735</v>
      </c>
      <c r="D614" s="689" t="s">
        <v>748</v>
      </c>
      <c r="E614" s="689" t="s">
        <v>375</v>
      </c>
      <c r="F614" s="689">
        <v>1</v>
      </c>
      <c r="G614" s="689"/>
      <c r="H614" s="695"/>
      <c r="I614" s="695">
        <v>46174</v>
      </c>
      <c r="J614" s="689" t="s">
        <v>365</v>
      </c>
      <c r="K614" t="str">
        <f t="shared" si="31"/>
        <v>Switch</v>
      </c>
      <c r="M614" s="412">
        <f t="shared" si="30"/>
        <v>0</v>
      </c>
      <c r="N614" s="412">
        <f t="shared" si="32"/>
        <v>0</v>
      </c>
      <c r="O614" s="412">
        <f>All_Detail_v2[[#This Row],[Qty. Success]]</f>
        <v>0</v>
      </c>
      <c r="P614" s="230">
        <f>IF(All_Detail_v2[[#This Row],[Qty]]=0,1,(M614+N614+O614)/(All_Detail_v2[[#This Row],[Qty]]*3))</f>
        <v>0</v>
      </c>
      <c r="Q614" s="195"/>
      <c r="R614" s="414">
        <f>All_Detail_v2[[#This Row],[Scheduled Date]]</f>
        <v>46174</v>
      </c>
      <c r="S614" s="414">
        <f>All_Detail_v2[[#This Row],[Install Date]]</f>
        <v>0</v>
      </c>
    </row>
    <row r="615" spans="1:19">
      <c r="A615">
        <v>611</v>
      </c>
      <c r="B615" s="687" t="s">
        <v>425</v>
      </c>
      <c r="C615" s="689" t="s">
        <v>749</v>
      </c>
      <c r="D615" s="689" t="s">
        <v>750</v>
      </c>
      <c r="E615" s="689" t="s">
        <v>370</v>
      </c>
      <c r="F615" s="689">
        <v>2</v>
      </c>
      <c r="G615" s="689"/>
      <c r="H615" s="695"/>
      <c r="I615" s="695">
        <v>46175</v>
      </c>
      <c r="J615" s="689" t="s">
        <v>365</v>
      </c>
      <c r="K615" t="str">
        <f t="shared" si="31"/>
        <v>Switch</v>
      </c>
      <c r="M615" s="412">
        <f t="shared" si="30"/>
        <v>0</v>
      </c>
      <c r="N615" s="412">
        <f t="shared" si="32"/>
        <v>0</v>
      </c>
      <c r="O615" s="412">
        <f>All_Detail_v2[[#This Row],[Qty. Success]]</f>
        <v>0</v>
      </c>
      <c r="P615" s="230">
        <f>IF(All_Detail_v2[[#This Row],[Qty]]=0,1,(M615+N615+O615)/(All_Detail_v2[[#This Row],[Qty]]*3))</f>
        <v>0</v>
      </c>
      <c r="Q615" s="195"/>
      <c r="R615" s="414">
        <f>All_Detail_v2[[#This Row],[Scheduled Date]]</f>
        <v>46175</v>
      </c>
      <c r="S615" s="414">
        <f>All_Detail_v2[[#This Row],[Install Date]]</f>
        <v>0</v>
      </c>
    </row>
    <row r="616" spans="1:19">
      <c r="A616">
        <v>612</v>
      </c>
      <c r="B616" s="687" t="s">
        <v>425</v>
      </c>
      <c r="C616" s="689" t="s">
        <v>749</v>
      </c>
      <c r="D616" s="689" t="s">
        <v>750</v>
      </c>
      <c r="E616" s="689" t="s">
        <v>375</v>
      </c>
      <c r="F616" s="689">
        <v>1</v>
      </c>
      <c r="G616" s="689"/>
      <c r="H616" s="695"/>
      <c r="I616" s="695">
        <v>46175</v>
      </c>
      <c r="J616" s="689" t="s">
        <v>365</v>
      </c>
      <c r="K616" t="str">
        <f t="shared" si="31"/>
        <v>Switch</v>
      </c>
      <c r="M616" s="412">
        <f t="shared" si="30"/>
        <v>0</v>
      </c>
      <c r="N616" s="412">
        <f t="shared" si="32"/>
        <v>0</v>
      </c>
      <c r="O616" s="412">
        <f>All_Detail_v2[[#This Row],[Qty. Success]]</f>
        <v>0</v>
      </c>
      <c r="P616" s="230">
        <f>IF(All_Detail_v2[[#This Row],[Qty]]=0,1,(M616+N616+O616)/(All_Detail_v2[[#This Row],[Qty]]*3))</f>
        <v>0</v>
      </c>
      <c r="Q616" s="195"/>
      <c r="R616" s="414">
        <f>All_Detail_v2[[#This Row],[Scheduled Date]]</f>
        <v>46175</v>
      </c>
      <c r="S616" s="414">
        <f>All_Detail_v2[[#This Row],[Install Date]]</f>
        <v>0</v>
      </c>
    </row>
    <row r="617" spans="1:19">
      <c r="A617">
        <v>613</v>
      </c>
      <c r="B617" s="687" t="s">
        <v>425</v>
      </c>
      <c r="C617" s="689" t="s">
        <v>749</v>
      </c>
      <c r="D617" s="689" t="s">
        <v>750</v>
      </c>
      <c r="E617" s="689" t="s">
        <v>410</v>
      </c>
      <c r="F617" s="689">
        <v>1</v>
      </c>
      <c r="G617" s="689"/>
      <c r="H617" s="695"/>
      <c r="I617" s="695">
        <v>46175</v>
      </c>
      <c r="J617" s="689" t="s">
        <v>365</v>
      </c>
      <c r="K617" t="str">
        <f t="shared" si="31"/>
        <v>Switch</v>
      </c>
      <c r="M617" s="412">
        <f t="shared" si="30"/>
        <v>0</v>
      </c>
      <c r="N617" s="412">
        <f t="shared" si="32"/>
        <v>0</v>
      </c>
      <c r="O617" s="412">
        <f>All_Detail_v2[[#This Row],[Qty. Success]]</f>
        <v>0</v>
      </c>
      <c r="P617" s="230">
        <f>IF(All_Detail_v2[[#This Row],[Qty]]=0,1,(M617+N617+O617)/(All_Detail_v2[[#This Row],[Qty]]*3))</f>
        <v>0</v>
      </c>
      <c r="Q617" s="195"/>
      <c r="R617" s="414">
        <f>All_Detail_v2[[#This Row],[Scheduled Date]]</f>
        <v>46175</v>
      </c>
      <c r="S617" s="414">
        <f>All_Detail_v2[[#This Row],[Install Date]]</f>
        <v>0</v>
      </c>
    </row>
    <row r="618" spans="1:19">
      <c r="A618">
        <v>614</v>
      </c>
      <c r="B618" s="687" t="s">
        <v>425</v>
      </c>
      <c r="C618" s="689" t="s">
        <v>749</v>
      </c>
      <c r="D618" s="689" t="s">
        <v>751</v>
      </c>
      <c r="E618" s="689" t="s">
        <v>370</v>
      </c>
      <c r="F618" s="689">
        <v>1</v>
      </c>
      <c r="G618" s="689"/>
      <c r="H618" s="695"/>
      <c r="I618" s="695">
        <v>46175</v>
      </c>
      <c r="J618" s="689" t="s">
        <v>365</v>
      </c>
      <c r="K618" t="str">
        <f t="shared" si="31"/>
        <v>Switch</v>
      </c>
      <c r="M618" s="412">
        <f t="shared" si="30"/>
        <v>0</v>
      </c>
      <c r="N618" s="412">
        <f t="shared" si="32"/>
        <v>0</v>
      </c>
      <c r="O618" s="412">
        <f>All_Detail_v2[[#This Row],[Qty. Success]]</f>
        <v>0</v>
      </c>
      <c r="P618" s="230">
        <f>IF(All_Detail_v2[[#This Row],[Qty]]=0,1,(M618+N618+O618)/(All_Detail_v2[[#This Row],[Qty]]*3))</f>
        <v>0</v>
      </c>
      <c r="Q618" s="195"/>
      <c r="R618" s="414">
        <f>All_Detail_v2[[#This Row],[Scheduled Date]]</f>
        <v>46175</v>
      </c>
      <c r="S618" s="414">
        <f>All_Detail_v2[[#This Row],[Install Date]]</f>
        <v>0</v>
      </c>
    </row>
    <row r="619" spans="1:19">
      <c r="A619">
        <v>615</v>
      </c>
      <c r="B619" s="687" t="s">
        <v>425</v>
      </c>
      <c r="C619" s="689" t="s">
        <v>749</v>
      </c>
      <c r="D619" s="689" t="s">
        <v>751</v>
      </c>
      <c r="E619" s="689" t="s">
        <v>375</v>
      </c>
      <c r="F619" s="689">
        <v>1</v>
      </c>
      <c r="G619" s="689"/>
      <c r="H619" s="695"/>
      <c r="I619" s="695">
        <v>46175</v>
      </c>
      <c r="J619" s="689" t="s">
        <v>365</v>
      </c>
      <c r="K619" t="str">
        <f t="shared" si="31"/>
        <v>Switch</v>
      </c>
      <c r="M619" s="412">
        <f t="shared" si="30"/>
        <v>0</v>
      </c>
      <c r="N619" s="412">
        <f t="shared" si="32"/>
        <v>0</v>
      </c>
      <c r="O619" s="412">
        <f>All_Detail_v2[[#This Row],[Qty. Success]]</f>
        <v>0</v>
      </c>
      <c r="P619" s="230">
        <f>IF(All_Detail_v2[[#This Row],[Qty]]=0,1,(M619+N619+O619)/(All_Detail_v2[[#This Row],[Qty]]*3))</f>
        <v>0</v>
      </c>
      <c r="Q619" s="195"/>
      <c r="R619" s="414">
        <f>All_Detail_v2[[#This Row],[Scheduled Date]]</f>
        <v>46175</v>
      </c>
      <c r="S619" s="414">
        <f>All_Detail_v2[[#This Row],[Install Date]]</f>
        <v>0</v>
      </c>
    </row>
    <row r="620" spans="1:19">
      <c r="A620">
        <v>616</v>
      </c>
      <c r="B620" s="687" t="s">
        <v>425</v>
      </c>
      <c r="C620" s="689" t="s">
        <v>749</v>
      </c>
      <c r="D620" s="689" t="s">
        <v>751</v>
      </c>
      <c r="E620" s="689" t="s">
        <v>410</v>
      </c>
      <c r="F620" s="689">
        <v>1</v>
      </c>
      <c r="G620" s="689"/>
      <c r="H620" s="695"/>
      <c r="I620" s="695">
        <v>46175</v>
      </c>
      <c r="J620" s="689" t="s">
        <v>365</v>
      </c>
      <c r="K620" t="str">
        <f t="shared" si="31"/>
        <v>Switch</v>
      </c>
      <c r="M620" s="412">
        <f t="shared" si="30"/>
        <v>0</v>
      </c>
      <c r="N620" s="412">
        <f t="shared" si="32"/>
        <v>0</v>
      </c>
      <c r="O620" s="412">
        <f>All_Detail_v2[[#This Row],[Qty. Success]]</f>
        <v>0</v>
      </c>
      <c r="P620" s="230">
        <f>IF(All_Detail_v2[[#This Row],[Qty]]=0,1,(M620+N620+O620)/(All_Detail_v2[[#This Row],[Qty]]*3))</f>
        <v>0</v>
      </c>
      <c r="Q620" s="195"/>
      <c r="R620" s="414">
        <f>All_Detail_v2[[#This Row],[Scheduled Date]]</f>
        <v>46175</v>
      </c>
      <c r="S620" s="414">
        <f>All_Detail_v2[[#This Row],[Install Date]]</f>
        <v>0</v>
      </c>
    </row>
    <row r="621" spans="1:19">
      <c r="A621">
        <v>617</v>
      </c>
      <c r="B621" s="687" t="s">
        <v>425</v>
      </c>
      <c r="C621" s="689" t="s">
        <v>749</v>
      </c>
      <c r="D621" s="689" t="s">
        <v>752</v>
      </c>
      <c r="E621" s="689" t="s">
        <v>370</v>
      </c>
      <c r="F621" s="689">
        <v>1</v>
      </c>
      <c r="G621" s="689"/>
      <c r="H621" s="695"/>
      <c r="I621" s="695">
        <v>46175</v>
      </c>
      <c r="J621" s="689" t="s">
        <v>365</v>
      </c>
      <c r="K621" t="str">
        <f t="shared" si="31"/>
        <v>Switch</v>
      </c>
      <c r="M621" s="412">
        <f t="shared" si="30"/>
        <v>0</v>
      </c>
      <c r="N621" s="412">
        <f t="shared" si="32"/>
        <v>0</v>
      </c>
      <c r="O621" s="412">
        <f>All_Detail_v2[[#This Row],[Qty. Success]]</f>
        <v>0</v>
      </c>
      <c r="P621" s="230">
        <f>IF(All_Detail_v2[[#This Row],[Qty]]=0,1,(M621+N621+O621)/(All_Detail_v2[[#This Row],[Qty]]*3))</f>
        <v>0</v>
      </c>
      <c r="Q621" s="195"/>
      <c r="R621" s="414">
        <f>All_Detail_v2[[#This Row],[Scheduled Date]]</f>
        <v>46175</v>
      </c>
      <c r="S621" s="414">
        <f>All_Detail_v2[[#This Row],[Install Date]]</f>
        <v>0</v>
      </c>
    </row>
    <row r="622" spans="1:19">
      <c r="A622">
        <v>618</v>
      </c>
      <c r="B622" s="687" t="s">
        <v>425</v>
      </c>
      <c r="C622" s="689" t="s">
        <v>749</v>
      </c>
      <c r="D622" s="689" t="s">
        <v>752</v>
      </c>
      <c r="E622" s="689" t="s">
        <v>375</v>
      </c>
      <c r="F622" s="689">
        <v>1</v>
      </c>
      <c r="G622" s="689"/>
      <c r="H622" s="695"/>
      <c r="I622" s="695">
        <v>46175</v>
      </c>
      <c r="J622" s="689" t="s">
        <v>365</v>
      </c>
      <c r="K622" t="str">
        <f t="shared" si="31"/>
        <v>Switch</v>
      </c>
      <c r="M622" s="412">
        <f t="shared" si="30"/>
        <v>0</v>
      </c>
      <c r="N622" s="412">
        <f t="shared" si="32"/>
        <v>0</v>
      </c>
      <c r="O622" s="412">
        <f>All_Detail_v2[[#This Row],[Qty. Success]]</f>
        <v>0</v>
      </c>
      <c r="P622" s="230">
        <f>IF(All_Detail_v2[[#This Row],[Qty]]=0,1,(M622+N622+O622)/(All_Detail_v2[[#This Row],[Qty]]*3))</f>
        <v>0</v>
      </c>
      <c r="Q622" s="195"/>
      <c r="R622" s="414">
        <f>All_Detail_v2[[#This Row],[Scheduled Date]]</f>
        <v>46175</v>
      </c>
      <c r="S622" s="414">
        <f>All_Detail_v2[[#This Row],[Install Date]]</f>
        <v>0</v>
      </c>
    </row>
    <row r="623" spans="1:19">
      <c r="A623">
        <v>619</v>
      </c>
      <c r="B623" s="687" t="s">
        <v>425</v>
      </c>
      <c r="C623" s="689" t="s">
        <v>749</v>
      </c>
      <c r="D623" s="689" t="s">
        <v>752</v>
      </c>
      <c r="E623" s="689" t="s">
        <v>410</v>
      </c>
      <c r="F623" s="689">
        <v>1</v>
      </c>
      <c r="G623" s="689"/>
      <c r="H623" s="695"/>
      <c r="I623" s="695">
        <v>46175</v>
      </c>
      <c r="J623" s="689" t="s">
        <v>365</v>
      </c>
      <c r="K623" t="str">
        <f t="shared" si="31"/>
        <v>Switch</v>
      </c>
      <c r="M623" s="412">
        <f t="shared" si="30"/>
        <v>0</v>
      </c>
      <c r="N623" s="412">
        <f t="shared" si="32"/>
        <v>0</v>
      </c>
      <c r="O623" s="412">
        <f>All_Detail_v2[[#This Row],[Qty. Success]]</f>
        <v>0</v>
      </c>
      <c r="P623" s="230">
        <f>IF(All_Detail_v2[[#This Row],[Qty]]=0,1,(M623+N623+O623)/(All_Detail_v2[[#This Row],[Qty]]*3))</f>
        <v>0</v>
      </c>
      <c r="Q623" s="195"/>
      <c r="R623" s="414">
        <f>All_Detail_v2[[#This Row],[Scheduled Date]]</f>
        <v>46175</v>
      </c>
      <c r="S623" s="414">
        <f>All_Detail_v2[[#This Row],[Install Date]]</f>
        <v>0</v>
      </c>
    </row>
    <row r="624" spans="1:19">
      <c r="A624">
        <v>620</v>
      </c>
      <c r="B624" s="687" t="s">
        <v>425</v>
      </c>
      <c r="C624" s="689" t="s">
        <v>749</v>
      </c>
      <c r="D624" s="689" t="s">
        <v>753</v>
      </c>
      <c r="E624" s="689" t="s">
        <v>370</v>
      </c>
      <c r="F624" s="689">
        <v>1</v>
      </c>
      <c r="G624" s="689"/>
      <c r="H624" s="695"/>
      <c r="I624" s="695">
        <v>46175</v>
      </c>
      <c r="J624" s="689" t="s">
        <v>365</v>
      </c>
      <c r="K624" t="str">
        <f t="shared" si="31"/>
        <v>Switch</v>
      </c>
      <c r="M624" s="412">
        <f t="shared" si="30"/>
        <v>0</v>
      </c>
      <c r="N624" s="412">
        <f t="shared" si="32"/>
        <v>0</v>
      </c>
      <c r="O624" s="412">
        <f>All_Detail_v2[[#This Row],[Qty. Success]]</f>
        <v>0</v>
      </c>
      <c r="P624" s="230">
        <f>IF(All_Detail_v2[[#This Row],[Qty]]=0,1,(M624+N624+O624)/(All_Detail_v2[[#This Row],[Qty]]*3))</f>
        <v>0</v>
      </c>
      <c r="Q624" s="195"/>
      <c r="R624" s="414">
        <f>All_Detail_v2[[#This Row],[Scheduled Date]]</f>
        <v>46175</v>
      </c>
      <c r="S624" s="414">
        <f>All_Detail_v2[[#This Row],[Install Date]]</f>
        <v>0</v>
      </c>
    </row>
    <row r="625" spans="1:19">
      <c r="A625">
        <v>621</v>
      </c>
      <c r="B625" s="687" t="s">
        <v>425</v>
      </c>
      <c r="C625" s="689" t="s">
        <v>749</v>
      </c>
      <c r="D625" s="689" t="s">
        <v>753</v>
      </c>
      <c r="E625" s="689" t="s">
        <v>375</v>
      </c>
      <c r="F625" s="689">
        <v>1</v>
      </c>
      <c r="G625" s="689"/>
      <c r="H625" s="695"/>
      <c r="I625" s="695">
        <v>46175</v>
      </c>
      <c r="J625" s="689" t="s">
        <v>365</v>
      </c>
      <c r="K625" t="str">
        <f t="shared" si="31"/>
        <v>Switch</v>
      </c>
      <c r="M625" s="412">
        <f t="shared" si="30"/>
        <v>0</v>
      </c>
      <c r="N625" s="412">
        <f t="shared" si="32"/>
        <v>0</v>
      </c>
      <c r="O625" s="412">
        <f>All_Detail_v2[[#This Row],[Qty. Success]]</f>
        <v>0</v>
      </c>
      <c r="P625" s="230">
        <f>IF(All_Detail_v2[[#This Row],[Qty]]=0,1,(M625+N625+O625)/(All_Detail_v2[[#This Row],[Qty]]*3))</f>
        <v>0</v>
      </c>
      <c r="Q625" s="195"/>
      <c r="R625" s="414">
        <f>All_Detail_v2[[#This Row],[Scheduled Date]]</f>
        <v>46175</v>
      </c>
      <c r="S625" s="414">
        <f>All_Detail_v2[[#This Row],[Install Date]]</f>
        <v>0</v>
      </c>
    </row>
    <row r="626" spans="1:19">
      <c r="A626">
        <v>622</v>
      </c>
      <c r="B626" s="687" t="s">
        <v>425</v>
      </c>
      <c r="C626" s="689" t="s">
        <v>749</v>
      </c>
      <c r="D626" s="689" t="s">
        <v>754</v>
      </c>
      <c r="E626" s="689" t="s">
        <v>370</v>
      </c>
      <c r="F626" s="689">
        <v>1</v>
      </c>
      <c r="G626" s="689"/>
      <c r="H626" s="695"/>
      <c r="I626" s="695">
        <v>46177</v>
      </c>
      <c r="J626" s="689" t="s">
        <v>365</v>
      </c>
      <c r="K626" t="str">
        <f t="shared" si="31"/>
        <v>Switch</v>
      </c>
      <c r="M626" s="412">
        <f t="shared" si="30"/>
        <v>0</v>
      </c>
      <c r="N626" s="412">
        <f t="shared" si="32"/>
        <v>0</v>
      </c>
      <c r="O626" s="412">
        <f>All_Detail_v2[[#This Row],[Qty. Success]]</f>
        <v>0</v>
      </c>
      <c r="P626" s="230">
        <f>IF(All_Detail_v2[[#This Row],[Qty]]=0,1,(M626+N626+O626)/(All_Detail_v2[[#This Row],[Qty]]*3))</f>
        <v>0</v>
      </c>
      <c r="Q626" s="195"/>
      <c r="R626" s="414">
        <f>All_Detail_v2[[#This Row],[Scheduled Date]]</f>
        <v>46177</v>
      </c>
      <c r="S626" s="414">
        <f>All_Detail_v2[[#This Row],[Install Date]]</f>
        <v>0</v>
      </c>
    </row>
    <row r="627" spans="1:19">
      <c r="A627">
        <v>623</v>
      </c>
      <c r="B627" s="687" t="s">
        <v>425</v>
      </c>
      <c r="C627" s="689" t="s">
        <v>749</v>
      </c>
      <c r="D627" s="689" t="s">
        <v>754</v>
      </c>
      <c r="E627" s="689" t="s">
        <v>375</v>
      </c>
      <c r="F627" s="689">
        <v>1</v>
      </c>
      <c r="G627" s="689"/>
      <c r="H627" s="695"/>
      <c r="I627" s="695">
        <v>46177</v>
      </c>
      <c r="J627" s="689" t="s">
        <v>365</v>
      </c>
      <c r="K627" t="str">
        <f t="shared" si="31"/>
        <v>Switch</v>
      </c>
      <c r="M627" s="412">
        <f t="shared" si="30"/>
        <v>0</v>
      </c>
      <c r="N627" s="412">
        <f t="shared" si="32"/>
        <v>0</v>
      </c>
      <c r="O627" s="412">
        <f>All_Detail_v2[[#This Row],[Qty. Success]]</f>
        <v>0</v>
      </c>
      <c r="P627" s="230">
        <f>IF(All_Detail_v2[[#This Row],[Qty]]=0,1,(M627+N627+O627)/(All_Detail_v2[[#This Row],[Qty]]*3))</f>
        <v>0</v>
      </c>
      <c r="Q627" s="195"/>
      <c r="R627" s="414">
        <f>All_Detail_v2[[#This Row],[Scheduled Date]]</f>
        <v>46177</v>
      </c>
      <c r="S627" s="414">
        <f>All_Detail_v2[[#This Row],[Install Date]]</f>
        <v>0</v>
      </c>
    </row>
    <row r="628" spans="1:19">
      <c r="A628">
        <v>624</v>
      </c>
      <c r="B628" s="687" t="s">
        <v>425</v>
      </c>
      <c r="C628" s="689" t="s">
        <v>749</v>
      </c>
      <c r="D628" s="689" t="s">
        <v>755</v>
      </c>
      <c r="E628" s="689" t="s">
        <v>370</v>
      </c>
      <c r="F628" s="689">
        <v>1</v>
      </c>
      <c r="G628" s="689"/>
      <c r="H628" s="695"/>
      <c r="I628" s="695">
        <v>46177</v>
      </c>
      <c r="J628" s="689" t="s">
        <v>365</v>
      </c>
      <c r="K628" t="str">
        <f t="shared" si="31"/>
        <v>Switch</v>
      </c>
      <c r="M628" s="412">
        <f t="shared" si="30"/>
        <v>0</v>
      </c>
      <c r="N628" s="412">
        <f t="shared" si="32"/>
        <v>0</v>
      </c>
      <c r="O628" s="412">
        <f>All_Detail_v2[[#This Row],[Qty. Success]]</f>
        <v>0</v>
      </c>
      <c r="P628" s="230">
        <f>IF(All_Detail_v2[[#This Row],[Qty]]=0,1,(M628+N628+O628)/(All_Detail_v2[[#This Row],[Qty]]*3))</f>
        <v>0</v>
      </c>
      <c r="Q628" s="195"/>
      <c r="R628" s="414">
        <f>All_Detail_v2[[#This Row],[Scheduled Date]]</f>
        <v>46177</v>
      </c>
      <c r="S628" s="414">
        <f>All_Detail_v2[[#This Row],[Install Date]]</f>
        <v>0</v>
      </c>
    </row>
    <row r="629" spans="1:19">
      <c r="A629">
        <v>625</v>
      </c>
      <c r="B629" s="687" t="s">
        <v>425</v>
      </c>
      <c r="C629" s="689" t="s">
        <v>749</v>
      </c>
      <c r="D629" s="689" t="s">
        <v>755</v>
      </c>
      <c r="E629" s="689" t="s">
        <v>375</v>
      </c>
      <c r="F629" s="689">
        <v>1</v>
      </c>
      <c r="G629" s="689"/>
      <c r="H629" s="695"/>
      <c r="I629" s="695">
        <v>46177</v>
      </c>
      <c r="J629" s="689" t="s">
        <v>365</v>
      </c>
      <c r="K629" t="str">
        <f t="shared" si="31"/>
        <v>Switch</v>
      </c>
      <c r="M629" s="412">
        <f t="shared" si="30"/>
        <v>0</v>
      </c>
      <c r="N629" s="412">
        <f t="shared" si="32"/>
        <v>0</v>
      </c>
      <c r="O629" s="412">
        <f>All_Detail_v2[[#This Row],[Qty. Success]]</f>
        <v>0</v>
      </c>
      <c r="P629" s="230">
        <f>IF(All_Detail_v2[[#This Row],[Qty]]=0,1,(M629+N629+O629)/(All_Detail_v2[[#This Row],[Qty]]*3))</f>
        <v>0</v>
      </c>
      <c r="Q629" s="195"/>
      <c r="R629" s="414">
        <f>All_Detail_v2[[#This Row],[Scheduled Date]]</f>
        <v>46177</v>
      </c>
      <c r="S629" s="414">
        <f>All_Detail_v2[[#This Row],[Install Date]]</f>
        <v>0</v>
      </c>
    </row>
    <row r="630" spans="1:19">
      <c r="A630">
        <v>626</v>
      </c>
      <c r="B630" s="687" t="s">
        <v>425</v>
      </c>
      <c r="C630" s="689" t="s">
        <v>749</v>
      </c>
      <c r="D630" s="689" t="s">
        <v>756</v>
      </c>
      <c r="E630" s="689" t="s">
        <v>370</v>
      </c>
      <c r="F630" s="689">
        <v>1</v>
      </c>
      <c r="G630" s="689"/>
      <c r="H630" s="695"/>
      <c r="I630" s="695">
        <v>46177</v>
      </c>
      <c r="J630" s="689" t="s">
        <v>365</v>
      </c>
      <c r="K630" t="str">
        <f t="shared" si="31"/>
        <v>Switch</v>
      </c>
      <c r="M630" s="412">
        <f t="shared" si="30"/>
        <v>0</v>
      </c>
      <c r="N630" s="412">
        <f t="shared" si="32"/>
        <v>0</v>
      </c>
      <c r="O630" s="412">
        <f>All_Detail_v2[[#This Row],[Qty. Success]]</f>
        <v>0</v>
      </c>
      <c r="P630" s="230">
        <f>IF(All_Detail_v2[[#This Row],[Qty]]=0,1,(M630+N630+O630)/(All_Detail_v2[[#This Row],[Qty]]*3))</f>
        <v>0</v>
      </c>
      <c r="Q630" s="195"/>
      <c r="R630" s="414">
        <f>All_Detail_v2[[#This Row],[Scheduled Date]]</f>
        <v>46177</v>
      </c>
      <c r="S630" s="414">
        <f>All_Detail_v2[[#This Row],[Install Date]]</f>
        <v>0</v>
      </c>
    </row>
    <row r="631" spans="1:19">
      <c r="A631">
        <v>627</v>
      </c>
      <c r="B631" s="687" t="s">
        <v>425</v>
      </c>
      <c r="C631" s="689" t="s">
        <v>749</v>
      </c>
      <c r="D631" s="689" t="s">
        <v>756</v>
      </c>
      <c r="E631" s="689" t="s">
        <v>375</v>
      </c>
      <c r="F631" s="689">
        <v>1</v>
      </c>
      <c r="G631" s="689"/>
      <c r="H631" s="695"/>
      <c r="I631" s="695">
        <v>46177</v>
      </c>
      <c r="J631" s="689" t="s">
        <v>365</v>
      </c>
      <c r="K631" t="str">
        <f t="shared" si="31"/>
        <v>Switch</v>
      </c>
      <c r="M631" s="412">
        <f t="shared" si="30"/>
        <v>0</v>
      </c>
      <c r="N631" s="412">
        <f t="shared" si="32"/>
        <v>0</v>
      </c>
      <c r="O631" s="412">
        <f>All_Detail_v2[[#This Row],[Qty. Success]]</f>
        <v>0</v>
      </c>
      <c r="P631" s="230">
        <f>IF(All_Detail_v2[[#This Row],[Qty]]=0,1,(M631+N631+O631)/(All_Detail_v2[[#This Row],[Qty]]*3))</f>
        <v>0</v>
      </c>
      <c r="Q631" s="195"/>
      <c r="R631" s="414">
        <f>All_Detail_v2[[#This Row],[Scheduled Date]]</f>
        <v>46177</v>
      </c>
      <c r="S631" s="414">
        <f>All_Detail_v2[[#This Row],[Install Date]]</f>
        <v>0</v>
      </c>
    </row>
    <row r="632" spans="1:19">
      <c r="A632">
        <v>628</v>
      </c>
      <c r="B632" s="687" t="s">
        <v>425</v>
      </c>
      <c r="C632" s="689" t="s">
        <v>749</v>
      </c>
      <c r="D632" s="689" t="s">
        <v>757</v>
      </c>
      <c r="E632" s="689" t="s">
        <v>370</v>
      </c>
      <c r="F632" s="689">
        <v>1</v>
      </c>
      <c r="G632" s="689"/>
      <c r="H632" s="695"/>
      <c r="I632" s="695">
        <v>46177</v>
      </c>
      <c r="J632" s="689" t="s">
        <v>365</v>
      </c>
      <c r="K632" t="str">
        <f t="shared" si="31"/>
        <v>Switch</v>
      </c>
      <c r="M632" s="412">
        <f t="shared" si="30"/>
        <v>0</v>
      </c>
      <c r="N632" s="412">
        <f t="shared" si="32"/>
        <v>0</v>
      </c>
      <c r="O632" s="412">
        <f>All_Detail_v2[[#This Row],[Qty. Success]]</f>
        <v>0</v>
      </c>
      <c r="P632" s="230">
        <f>IF(All_Detail_v2[[#This Row],[Qty]]=0,1,(M632+N632+O632)/(All_Detail_v2[[#This Row],[Qty]]*3))</f>
        <v>0</v>
      </c>
      <c r="Q632" s="195"/>
      <c r="R632" s="414">
        <f>All_Detail_v2[[#This Row],[Scheduled Date]]</f>
        <v>46177</v>
      </c>
      <c r="S632" s="414">
        <f>All_Detail_v2[[#This Row],[Install Date]]</f>
        <v>0</v>
      </c>
    </row>
    <row r="633" spans="1:19">
      <c r="A633">
        <v>629</v>
      </c>
      <c r="B633" s="687" t="s">
        <v>425</v>
      </c>
      <c r="C633" s="689" t="s">
        <v>749</v>
      </c>
      <c r="D633" s="689" t="s">
        <v>757</v>
      </c>
      <c r="E633" s="689" t="s">
        <v>375</v>
      </c>
      <c r="F633" s="689">
        <v>1</v>
      </c>
      <c r="G633" s="689"/>
      <c r="H633" s="695"/>
      <c r="I633" s="695">
        <v>46177</v>
      </c>
      <c r="J633" s="689" t="s">
        <v>365</v>
      </c>
      <c r="K633" t="str">
        <f t="shared" si="31"/>
        <v>Switch</v>
      </c>
      <c r="M633" s="412">
        <f t="shared" si="30"/>
        <v>0</v>
      </c>
      <c r="N633" s="412">
        <f t="shared" si="32"/>
        <v>0</v>
      </c>
      <c r="O633" s="412">
        <f>All_Detail_v2[[#This Row],[Qty. Success]]</f>
        <v>0</v>
      </c>
      <c r="P633" s="230">
        <f>IF(All_Detail_v2[[#This Row],[Qty]]=0,1,(M633+N633+O633)/(All_Detail_v2[[#This Row],[Qty]]*3))</f>
        <v>0</v>
      </c>
      <c r="Q633" s="195"/>
      <c r="R633" s="414">
        <f>All_Detail_v2[[#This Row],[Scheduled Date]]</f>
        <v>46177</v>
      </c>
      <c r="S633" s="414">
        <f>All_Detail_v2[[#This Row],[Install Date]]</f>
        <v>0</v>
      </c>
    </row>
    <row r="634" spans="1:19">
      <c r="A634">
        <v>630</v>
      </c>
      <c r="B634" s="687" t="s">
        <v>425</v>
      </c>
      <c r="C634" s="689" t="s">
        <v>749</v>
      </c>
      <c r="D634" s="689" t="s">
        <v>757</v>
      </c>
      <c r="E634" s="689" t="s">
        <v>410</v>
      </c>
      <c r="F634" s="689">
        <v>1</v>
      </c>
      <c r="G634" s="689"/>
      <c r="H634" s="695"/>
      <c r="I634" s="695">
        <v>46177</v>
      </c>
      <c r="J634" s="689" t="s">
        <v>365</v>
      </c>
      <c r="K634" t="str">
        <f t="shared" si="31"/>
        <v>Switch</v>
      </c>
      <c r="M634" s="412">
        <f t="shared" si="30"/>
        <v>0</v>
      </c>
      <c r="N634" s="412">
        <f t="shared" si="32"/>
        <v>0</v>
      </c>
      <c r="O634" s="412">
        <f>All_Detail_v2[[#This Row],[Qty. Success]]</f>
        <v>0</v>
      </c>
      <c r="P634" s="230">
        <f>IF(All_Detail_v2[[#This Row],[Qty]]=0,1,(M634+N634+O634)/(All_Detail_v2[[#This Row],[Qty]]*3))</f>
        <v>0</v>
      </c>
      <c r="Q634" s="195"/>
      <c r="R634" s="414">
        <f>All_Detail_v2[[#This Row],[Scheduled Date]]</f>
        <v>46177</v>
      </c>
      <c r="S634" s="414">
        <f>All_Detail_v2[[#This Row],[Install Date]]</f>
        <v>0</v>
      </c>
    </row>
    <row r="635" spans="1:19">
      <c r="A635">
        <v>631</v>
      </c>
      <c r="B635" s="687" t="s">
        <v>425</v>
      </c>
      <c r="C635" s="689" t="s">
        <v>749</v>
      </c>
      <c r="D635" s="689" t="s">
        <v>758</v>
      </c>
      <c r="E635" s="689" t="s">
        <v>370</v>
      </c>
      <c r="F635" s="689">
        <v>1</v>
      </c>
      <c r="G635" s="689"/>
      <c r="H635" s="695"/>
      <c r="I635" s="695">
        <v>46177</v>
      </c>
      <c r="J635" s="689" t="s">
        <v>365</v>
      </c>
      <c r="K635" t="str">
        <f t="shared" si="31"/>
        <v>Switch</v>
      </c>
      <c r="M635" s="412">
        <f t="shared" si="30"/>
        <v>0</v>
      </c>
      <c r="N635" s="412">
        <f t="shared" si="32"/>
        <v>0</v>
      </c>
      <c r="O635" s="412">
        <f>All_Detail_v2[[#This Row],[Qty. Success]]</f>
        <v>0</v>
      </c>
      <c r="P635" s="230">
        <f>IF(All_Detail_v2[[#This Row],[Qty]]=0,1,(M635+N635+O635)/(All_Detail_v2[[#This Row],[Qty]]*3))</f>
        <v>0</v>
      </c>
      <c r="Q635" s="195"/>
      <c r="R635" s="414">
        <f>All_Detail_v2[[#This Row],[Scheduled Date]]</f>
        <v>46177</v>
      </c>
      <c r="S635" s="414">
        <f>All_Detail_v2[[#This Row],[Install Date]]</f>
        <v>0</v>
      </c>
    </row>
    <row r="636" spans="1:19">
      <c r="A636">
        <v>632</v>
      </c>
      <c r="B636" s="687" t="s">
        <v>425</v>
      </c>
      <c r="C636" s="689" t="s">
        <v>749</v>
      </c>
      <c r="D636" s="689" t="s">
        <v>758</v>
      </c>
      <c r="E636" s="689" t="s">
        <v>375</v>
      </c>
      <c r="F636" s="689">
        <v>1</v>
      </c>
      <c r="G636" s="689"/>
      <c r="H636" s="695"/>
      <c r="I636" s="695">
        <v>46177</v>
      </c>
      <c r="J636" s="689" t="s">
        <v>365</v>
      </c>
      <c r="K636" t="str">
        <f t="shared" si="31"/>
        <v>Switch</v>
      </c>
      <c r="M636" s="412">
        <f t="shared" si="30"/>
        <v>0</v>
      </c>
      <c r="N636" s="412">
        <f t="shared" si="32"/>
        <v>0</v>
      </c>
      <c r="O636" s="412">
        <f>All_Detail_v2[[#This Row],[Qty. Success]]</f>
        <v>0</v>
      </c>
      <c r="P636" s="230">
        <f>IF(All_Detail_v2[[#This Row],[Qty]]=0,1,(M636+N636+O636)/(All_Detail_v2[[#This Row],[Qty]]*3))</f>
        <v>0</v>
      </c>
      <c r="Q636" s="195"/>
      <c r="R636" s="414">
        <f>All_Detail_v2[[#This Row],[Scheduled Date]]</f>
        <v>46177</v>
      </c>
      <c r="S636" s="414">
        <f>All_Detail_v2[[#This Row],[Install Date]]</f>
        <v>0</v>
      </c>
    </row>
    <row r="637" spans="1:19">
      <c r="A637">
        <v>633</v>
      </c>
      <c r="B637" s="687" t="s">
        <v>425</v>
      </c>
      <c r="C637" s="688" t="s">
        <v>759</v>
      </c>
      <c r="D637" s="689" t="s">
        <v>41</v>
      </c>
      <c r="E637" s="689" t="s">
        <v>364</v>
      </c>
      <c r="F637" s="689">
        <v>11</v>
      </c>
      <c r="G637" s="689"/>
      <c r="H637" s="695"/>
      <c r="I637" s="695">
        <v>46177</v>
      </c>
      <c r="J637" s="689" t="s">
        <v>365</v>
      </c>
      <c r="K637" t="str">
        <f t="shared" si="31"/>
        <v>AP</v>
      </c>
      <c r="M637" s="412">
        <f t="shared" si="30"/>
        <v>0</v>
      </c>
      <c r="N637" s="412">
        <f t="shared" si="32"/>
        <v>0</v>
      </c>
      <c r="O637" s="412">
        <f>All_Detail_v2[[#This Row],[Qty. Success]]</f>
        <v>0</v>
      </c>
      <c r="P637" s="230">
        <f>IF(All_Detail_v2[[#This Row],[Qty]]=0,1,(M637+N637+O637)/(All_Detail_v2[[#This Row],[Qty]]*3))</f>
        <v>0</v>
      </c>
      <c r="Q637" s="195"/>
      <c r="R637" s="414">
        <f>All_Detail_v2[[#This Row],[Scheduled Date]]</f>
        <v>46177</v>
      </c>
      <c r="S637" s="414">
        <f>All_Detail_v2[[#This Row],[Install Date]]</f>
        <v>0</v>
      </c>
    </row>
    <row r="638" spans="1:19">
      <c r="A638">
        <v>634</v>
      </c>
      <c r="B638" s="687" t="s">
        <v>425</v>
      </c>
      <c r="C638" s="688" t="s">
        <v>759</v>
      </c>
      <c r="D638" s="689" t="s">
        <v>520</v>
      </c>
      <c r="E638" s="689" t="s">
        <v>410</v>
      </c>
      <c r="F638" s="689">
        <v>1</v>
      </c>
      <c r="G638" s="689"/>
      <c r="H638" s="695"/>
      <c r="I638" s="695">
        <v>46178</v>
      </c>
      <c r="J638" s="689" t="s">
        <v>365</v>
      </c>
      <c r="K638" t="str">
        <f t="shared" si="31"/>
        <v>Switch</v>
      </c>
      <c r="M638" s="412">
        <f t="shared" si="30"/>
        <v>0</v>
      </c>
      <c r="N638" s="412">
        <f t="shared" si="32"/>
        <v>0</v>
      </c>
      <c r="O638" s="412">
        <f>All_Detail_v2[[#This Row],[Qty. Success]]</f>
        <v>0</v>
      </c>
      <c r="P638" s="230">
        <f>IF(All_Detail_v2[[#This Row],[Qty]]=0,1,(M638+N638+O638)/(All_Detail_v2[[#This Row],[Qty]]*3))</f>
        <v>0</v>
      </c>
      <c r="Q638" s="195"/>
      <c r="R638" s="414">
        <f>All_Detail_v2[[#This Row],[Scheduled Date]]</f>
        <v>46178</v>
      </c>
      <c r="S638" s="414">
        <f>All_Detail_v2[[#This Row],[Install Date]]</f>
        <v>0</v>
      </c>
    </row>
    <row r="639" spans="1:19">
      <c r="A639">
        <v>635</v>
      </c>
      <c r="B639" s="687" t="s">
        <v>425</v>
      </c>
      <c r="C639" s="688" t="s">
        <v>759</v>
      </c>
      <c r="D639" s="689" t="s">
        <v>760</v>
      </c>
      <c r="E639" s="689" t="s">
        <v>370</v>
      </c>
      <c r="F639" s="689">
        <v>1</v>
      </c>
      <c r="G639" s="689"/>
      <c r="H639" s="695"/>
      <c r="I639" s="695">
        <v>46178</v>
      </c>
      <c r="J639" s="689" t="s">
        <v>365</v>
      </c>
      <c r="K639" t="str">
        <f t="shared" si="31"/>
        <v>Switch</v>
      </c>
      <c r="M639" s="412">
        <f t="shared" si="30"/>
        <v>0</v>
      </c>
      <c r="N639" s="412">
        <f t="shared" si="32"/>
        <v>0</v>
      </c>
      <c r="O639" s="412">
        <f>All_Detail_v2[[#This Row],[Qty. Success]]</f>
        <v>0</v>
      </c>
      <c r="P639" s="230">
        <f>IF(All_Detail_v2[[#This Row],[Qty]]=0,1,(M639+N639+O639)/(All_Detail_v2[[#This Row],[Qty]]*3))</f>
        <v>0</v>
      </c>
      <c r="Q639" s="195"/>
      <c r="R639" s="414">
        <f>All_Detail_v2[[#This Row],[Scheduled Date]]</f>
        <v>46178</v>
      </c>
      <c r="S639" s="414">
        <f>All_Detail_v2[[#This Row],[Install Date]]</f>
        <v>0</v>
      </c>
    </row>
    <row r="640" spans="1:19">
      <c r="A640">
        <v>636</v>
      </c>
      <c r="B640" s="687" t="s">
        <v>425</v>
      </c>
      <c r="C640" s="688" t="s">
        <v>759</v>
      </c>
      <c r="D640" s="689" t="s">
        <v>761</v>
      </c>
      <c r="E640" s="689" t="s">
        <v>370</v>
      </c>
      <c r="F640" s="689">
        <v>1</v>
      </c>
      <c r="G640" s="689"/>
      <c r="H640" s="695"/>
      <c r="I640" s="695">
        <v>46181</v>
      </c>
      <c r="J640" s="689" t="s">
        <v>365</v>
      </c>
      <c r="K640" t="str">
        <f t="shared" si="31"/>
        <v>Switch</v>
      </c>
      <c r="M640" s="412">
        <f t="shared" si="30"/>
        <v>0</v>
      </c>
      <c r="N640" s="412">
        <f t="shared" si="32"/>
        <v>0</v>
      </c>
      <c r="O640" s="412">
        <f>All_Detail_v2[[#This Row],[Qty. Success]]</f>
        <v>0</v>
      </c>
      <c r="P640" s="230">
        <f>IF(All_Detail_v2[[#This Row],[Qty]]=0,1,(M640+N640+O640)/(All_Detail_v2[[#This Row],[Qty]]*3))</f>
        <v>0</v>
      </c>
      <c r="Q640" s="195"/>
      <c r="R640" s="414">
        <f>All_Detail_v2[[#This Row],[Scheduled Date]]</f>
        <v>46181</v>
      </c>
      <c r="S640" s="414">
        <f>All_Detail_v2[[#This Row],[Install Date]]</f>
        <v>0</v>
      </c>
    </row>
    <row r="641" spans="1:19">
      <c r="A641">
        <v>637</v>
      </c>
      <c r="B641" s="687" t="s">
        <v>425</v>
      </c>
      <c r="C641" s="688" t="s">
        <v>759</v>
      </c>
      <c r="D641" s="689" t="s">
        <v>761</v>
      </c>
      <c r="E641" s="689" t="s">
        <v>375</v>
      </c>
      <c r="F641" s="689">
        <v>1</v>
      </c>
      <c r="G641" s="689"/>
      <c r="H641" s="695"/>
      <c r="I641" s="695">
        <v>46181</v>
      </c>
      <c r="J641" s="689" t="s">
        <v>365</v>
      </c>
      <c r="K641" t="str">
        <f t="shared" si="31"/>
        <v>Switch</v>
      </c>
      <c r="M641" s="412">
        <f t="shared" si="30"/>
        <v>0</v>
      </c>
      <c r="N641" s="412">
        <f t="shared" si="32"/>
        <v>0</v>
      </c>
      <c r="O641" s="412">
        <f>All_Detail_v2[[#This Row],[Qty. Success]]</f>
        <v>0</v>
      </c>
      <c r="P641" s="230">
        <f>IF(All_Detail_v2[[#This Row],[Qty]]=0,1,(M641+N641+O641)/(All_Detail_v2[[#This Row],[Qty]]*3))</f>
        <v>0</v>
      </c>
      <c r="Q641" s="195"/>
      <c r="R641" s="414">
        <f>All_Detail_v2[[#This Row],[Scheduled Date]]</f>
        <v>46181</v>
      </c>
      <c r="S641" s="414">
        <f>All_Detail_v2[[#This Row],[Install Date]]</f>
        <v>0</v>
      </c>
    </row>
    <row r="642" spans="1:19">
      <c r="A642">
        <v>638</v>
      </c>
      <c r="B642" s="687" t="s">
        <v>425</v>
      </c>
      <c r="C642" s="688" t="s">
        <v>759</v>
      </c>
      <c r="D642" s="689" t="s">
        <v>762</v>
      </c>
      <c r="E642" s="689" t="s">
        <v>370</v>
      </c>
      <c r="F642" s="689">
        <v>1</v>
      </c>
      <c r="G642" s="689"/>
      <c r="H642" s="695"/>
      <c r="I642" s="695">
        <v>46181</v>
      </c>
      <c r="J642" s="689" t="s">
        <v>365</v>
      </c>
      <c r="K642" t="str">
        <f t="shared" si="31"/>
        <v>Switch</v>
      </c>
      <c r="M642" s="412">
        <f t="shared" ref="M642:M705" si="33">O642</f>
        <v>0</v>
      </c>
      <c r="N642" s="412">
        <f t="shared" si="32"/>
        <v>0</v>
      </c>
      <c r="O642" s="412">
        <f>All_Detail_v2[[#This Row],[Qty. Success]]</f>
        <v>0</v>
      </c>
      <c r="P642" s="230">
        <f>IF(All_Detail_v2[[#This Row],[Qty]]=0,1,(M642+N642+O642)/(All_Detail_v2[[#This Row],[Qty]]*3))</f>
        <v>0</v>
      </c>
      <c r="Q642" s="195"/>
      <c r="R642" s="414">
        <f>All_Detail_v2[[#This Row],[Scheduled Date]]</f>
        <v>46181</v>
      </c>
      <c r="S642" s="414">
        <f>All_Detail_v2[[#This Row],[Install Date]]</f>
        <v>0</v>
      </c>
    </row>
    <row r="643" spans="1:19">
      <c r="A643">
        <v>639</v>
      </c>
      <c r="B643" s="687" t="s">
        <v>425</v>
      </c>
      <c r="C643" s="688" t="s">
        <v>759</v>
      </c>
      <c r="D643" s="689" t="s">
        <v>762</v>
      </c>
      <c r="E643" s="689" t="s">
        <v>375</v>
      </c>
      <c r="F643" s="689">
        <v>1</v>
      </c>
      <c r="G643" s="689"/>
      <c r="H643" s="695"/>
      <c r="I643" s="695">
        <v>46181</v>
      </c>
      <c r="J643" s="689" t="s">
        <v>365</v>
      </c>
      <c r="K643" t="str">
        <f t="shared" ref="K643:K706" si="34">IF(ISNUMBER(SEARCH("Access Point",E643)),"AP",IF(OR(ISNUMBER(SEARCH("Switch",E643)),ISNUMBER(SEARCH("Control Type",E643))),"Switch","Infra"))</f>
        <v>Switch</v>
      </c>
      <c r="M643" s="412">
        <f t="shared" si="33"/>
        <v>0</v>
      </c>
      <c r="N643" s="412">
        <f t="shared" si="32"/>
        <v>0</v>
      </c>
      <c r="O643" s="412">
        <f>All_Detail_v2[[#This Row],[Qty. Success]]</f>
        <v>0</v>
      </c>
      <c r="P643" s="230">
        <f>IF(All_Detail_v2[[#This Row],[Qty]]=0,1,(M643+N643+O643)/(All_Detail_v2[[#This Row],[Qty]]*3))</f>
        <v>0</v>
      </c>
      <c r="Q643" s="195"/>
      <c r="R643" s="414">
        <f>All_Detail_v2[[#This Row],[Scheduled Date]]</f>
        <v>46181</v>
      </c>
      <c r="S643" s="414">
        <f>All_Detail_v2[[#This Row],[Install Date]]</f>
        <v>0</v>
      </c>
    </row>
    <row r="644" spans="1:19">
      <c r="A644">
        <v>640</v>
      </c>
      <c r="B644" s="687" t="s">
        <v>425</v>
      </c>
      <c r="C644" s="688" t="s">
        <v>763</v>
      </c>
      <c r="D644" s="689" t="s">
        <v>764</v>
      </c>
      <c r="E644" s="689" t="s">
        <v>370</v>
      </c>
      <c r="F644" s="689">
        <v>2</v>
      </c>
      <c r="G644" s="689"/>
      <c r="H644" s="695"/>
      <c r="I644" s="695">
        <v>46177</v>
      </c>
      <c r="J644" s="689" t="s">
        <v>365</v>
      </c>
      <c r="K644" t="str">
        <f t="shared" si="34"/>
        <v>Switch</v>
      </c>
      <c r="M644" s="412">
        <f t="shared" si="33"/>
        <v>0</v>
      </c>
      <c r="N644" s="412">
        <f t="shared" si="32"/>
        <v>0</v>
      </c>
      <c r="O644" s="412">
        <f>All_Detail_v2[[#This Row],[Qty. Success]]</f>
        <v>0</v>
      </c>
      <c r="P644" s="230">
        <f>IF(All_Detail_v2[[#This Row],[Qty]]=0,1,(M644+N644+O644)/(All_Detail_v2[[#This Row],[Qty]]*3))</f>
        <v>0</v>
      </c>
      <c r="Q644" s="195"/>
      <c r="R644" s="414">
        <f>All_Detail_v2[[#This Row],[Scheduled Date]]</f>
        <v>46177</v>
      </c>
      <c r="S644" s="414">
        <f>All_Detail_v2[[#This Row],[Install Date]]</f>
        <v>0</v>
      </c>
    </row>
    <row r="645" spans="1:19">
      <c r="A645">
        <v>641</v>
      </c>
      <c r="B645" s="687" t="s">
        <v>425</v>
      </c>
      <c r="C645" s="688" t="s">
        <v>763</v>
      </c>
      <c r="D645" s="689" t="s">
        <v>764</v>
      </c>
      <c r="E645" s="689" t="s">
        <v>375</v>
      </c>
      <c r="F645" s="689">
        <v>1</v>
      </c>
      <c r="G645" s="689"/>
      <c r="H645" s="695"/>
      <c r="I645" s="695">
        <v>46177</v>
      </c>
      <c r="J645" s="689" t="s">
        <v>365</v>
      </c>
      <c r="K645" t="str">
        <f t="shared" si="34"/>
        <v>Switch</v>
      </c>
      <c r="M645" s="412">
        <f t="shared" si="33"/>
        <v>0</v>
      </c>
      <c r="N645" s="412">
        <f t="shared" si="32"/>
        <v>0</v>
      </c>
      <c r="O645" s="412">
        <f>All_Detail_v2[[#This Row],[Qty. Success]]</f>
        <v>0</v>
      </c>
      <c r="P645" s="230">
        <f>IF(All_Detail_v2[[#This Row],[Qty]]=0,1,(M645+N645+O645)/(All_Detail_v2[[#This Row],[Qty]]*3))</f>
        <v>0</v>
      </c>
      <c r="Q645" s="195"/>
      <c r="R645" s="414">
        <f>All_Detail_v2[[#This Row],[Scheduled Date]]</f>
        <v>46177</v>
      </c>
      <c r="S645" s="414">
        <f>All_Detail_v2[[#This Row],[Install Date]]</f>
        <v>0</v>
      </c>
    </row>
    <row r="646" spans="1:19">
      <c r="A646">
        <v>642</v>
      </c>
      <c r="B646" s="687" t="s">
        <v>425</v>
      </c>
      <c r="C646" s="689" t="s">
        <v>765</v>
      </c>
      <c r="D646" s="689" t="s">
        <v>765</v>
      </c>
      <c r="E646" s="689" t="s">
        <v>370</v>
      </c>
      <c r="F646" s="689">
        <v>1</v>
      </c>
      <c r="G646" s="689"/>
      <c r="H646" s="695"/>
      <c r="I646" s="695">
        <v>46178</v>
      </c>
      <c r="J646" s="689" t="s">
        <v>365</v>
      </c>
      <c r="K646" t="str">
        <f t="shared" si="34"/>
        <v>Switch</v>
      </c>
      <c r="M646" s="412">
        <f t="shared" si="33"/>
        <v>0</v>
      </c>
      <c r="N646" s="412">
        <f t="shared" ref="N646:N709" si="35">O646</f>
        <v>0</v>
      </c>
      <c r="O646" s="412">
        <f>All_Detail_v2[[#This Row],[Qty. Success]]</f>
        <v>0</v>
      </c>
      <c r="P646" s="230">
        <f>IF(All_Detail_v2[[#This Row],[Qty]]=0,1,(M646+N646+O646)/(All_Detail_v2[[#This Row],[Qty]]*3))</f>
        <v>0</v>
      </c>
      <c r="Q646" s="195"/>
      <c r="R646" s="414">
        <f>All_Detail_v2[[#This Row],[Scheduled Date]]</f>
        <v>46178</v>
      </c>
      <c r="S646" s="414">
        <f>All_Detail_v2[[#This Row],[Install Date]]</f>
        <v>0</v>
      </c>
    </row>
    <row r="647" spans="1:19">
      <c r="A647">
        <v>643</v>
      </c>
      <c r="B647" s="687" t="s">
        <v>425</v>
      </c>
      <c r="C647" s="689" t="s">
        <v>765</v>
      </c>
      <c r="D647" s="689" t="s">
        <v>765</v>
      </c>
      <c r="E647" s="689" t="s">
        <v>375</v>
      </c>
      <c r="F647" s="689">
        <v>1</v>
      </c>
      <c r="G647" s="689"/>
      <c r="H647" s="695"/>
      <c r="I647" s="695">
        <v>46178</v>
      </c>
      <c r="J647" s="689" t="s">
        <v>365</v>
      </c>
      <c r="K647" t="str">
        <f t="shared" si="34"/>
        <v>Switch</v>
      </c>
      <c r="M647" s="412">
        <f t="shared" si="33"/>
        <v>0</v>
      </c>
      <c r="N647" s="412">
        <f t="shared" si="35"/>
        <v>0</v>
      </c>
      <c r="O647" s="412">
        <f>All_Detail_v2[[#This Row],[Qty. Success]]</f>
        <v>0</v>
      </c>
      <c r="P647" s="230">
        <f>IF(All_Detail_v2[[#This Row],[Qty]]=0,1,(M647+N647+O647)/(All_Detail_v2[[#This Row],[Qty]]*3))</f>
        <v>0</v>
      </c>
      <c r="Q647" s="195"/>
      <c r="R647" s="414">
        <f>All_Detail_v2[[#This Row],[Scheduled Date]]</f>
        <v>46178</v>
      </c>
      <c r="S647" s="414">
        <f>All_Detail_v2[[#This Row],[Install Date]]</f>
        <v>0</v>
      </c>
    </row>
    <row r="648" spans="1:19">
      <c r="A648">
        <v>644</v>
      </c>
      <c r="B648" s="687" t="s">
        <v>425</v>
      </c>
      <c r="C648" s="688" t="s">
        <v>766</v>
      </c>
      <c r="D648" s="689" t="s">
        <v>764</v>
      </c>
      <c r="E648" s="689" t="s">
        <v>370</v>
      </c>
      <c r="F648" s="689">
        <v>1</v>
      </c>
      <c r="G648" s="689"/>
      <c r="H648" s="695"/>
      <c r="I648" s="695">
        <v>46178</v>
      </c>
      <c r="J648" s="689" t="s">
        <v>365</v>
      </c>
      <c r="K648" t="str">
        <f t="shared" si="34"/>
        <v>Switch</v>
      </c>
      <c r="M648" s="412">
        <f t="shared" si="33"/>
        <v>0</v>
      </c>
      <c r="N648" s="412">
        <f t="shared" si="35"/>
        <v>0</v>
      </c>
      <c r="O648" s="412">
        <f>All_Detail_v2[[#This Row],[Qty. Success]]</f>
        <v>0</v>
      </c>
      <c r="P648" s="230">
        <f>IF(All_Detail_v2[[#This Row],[Qty]]=0,1,(M648+N648+O648)/(All_Detail_v2[[#This Row],[Qty]]*3))</f>
        <v>0</v>
      </c>
      <c r="Q648" s="195"/>
      <c r="R648" s="414">
        <f>All_Detail_v2[[#This Row],[Scheduled Date]]</f>
        <v>46178</v>
      </c>
      <c r="S648" s="414">
        <f>All_Detail_v2[[#This Row],[Install Date]]</f>
        <v>0</v>
      </c>
    </row>
    <row r="649" spans="1:19">
      <c r="A649">
        <v>645</v>
      </c>
      <c r="B649" s="687" t="s">
        <v>425</v>
      </c>
      <c r="C649" s="688" t="s">
        <v>766</v>
      </c>
      <c r="D649" s="689" t="s">
        <v>764</v>
      </c>
      <c r="E649" s="689" t="s">
        <v>375</v>
      </c>
      <c r="F649" s="689">
        <v>1</v>
      </c>
      <c r="G649" s="689"/>
      <c r="H649" s="695"/>
      <c r="I649" s="695">
        <v>46178</v>
      </c>
      <c r="J649" s="689" t="s">
        <v>365</v>
      </c>
      <c r="K649" t="str">
        <f t="shared" si="34"/>
        <v>Switch</v>
      </c>
      <c r="M649" s="412">
        <f t="shared" si="33"/>
        <v>0</v>
      </c>
      <c r="N649" s="412">
        <f t="shared" si="35"/>
        <v>0</v>
      </c>
      <c r="O649" s="412">
        <f>All_Detail_v2[[#This Row],[Qty. Success]]</f>
        <v>0</v>
      </c>
      <c r="P649" s="230">
        <f>IF(All_Detail_v2[[#This Row],[Qty]]=0,1,(M649+N649+O649)/(All_Detail_v2[[#This Row],[Qty]]*3))</f>
        <v>0</v>
      </c>
      <c r="Q649" s="195"/>
      <c r="R649" s="414">
        <f>All_Detail_v2[[#This Row],[Scheduled Date]]</f>
        <v>46178</v>
      </c>
      <c r="S649" s="414">
        <f>All_Detail_v2[[#This Row],[Install Date]]</f>
        <v>0</v>
      </c>
    </row>
    <row r="650" spans="1:19">
      <c r="A650">
        <v>646</v>
      </c>
      <c r="B650" s="687" t="s">
        <v>425</v>
      </c>
      <c r="C650" s="689" t="s">
        <v>767</v>
      </c>
      <c r="D650" s="688" t="s">
        <v>768</v>
      </c>
      <c r="E650" s="689" t="s">
        <v>370</v>
      </c>
      <c r="F650" s="689">
        <v>1</v>
      </c>
      <c r="G650" s="689"/>
      <c r="H650" s="695"/>
      <c r="I650" s="695">
        <v>46178</v>
      </c>
      <c r="J650" s="689" t="s">
        <v>365</v>
      </c>
      <c r="K650" t="str">
        <f t="shared" si="34"/>
        <v>Switch</v>
      </c>
      <c r="M650" s="412">
        <f t="shared" si="33"/>
        <v>0</v>
      </c>
      <c r="N650" s="412">
        <f t="shared" si="35"/>
        <v>0</v>
      </c>
      <c r="O650" s="412">
        <f>All_Detail_v2[[#This Row],[Qty. Success]]</f>
        <v>0</v>
      </c>
      <c r="P650" s="230">
        <f>IF(All_Detail_v2[[#This Row],[Qty]]=0,1,(M650+N650+O650)/(All_Detail_v2[[#This Row],[Qty]]*3))</f>
        <v>0</v>
      </c>
      <c r="Q650" s="195"/>
      <c r="R650" s="414">
        <f>All_Detail_v2[[#This Row],[Scheduled Date]]</f>
        <v>46178</v>
      </c>
      <c r="S650" s="414">
        <f>All_Detail_v2[[#This Row],[Install Date]]</f>
        <v>0</v>
      </c>
    </row>
    <row r="651" spans="1:19">
      <c r="A651">
        <v>647</v>
      </c>
      <c r="B651" s="687" t="s">
        <v>425</v>
      </c>
      <c r="C651" s="688" t="s">
        <v>769</v>
      </c>
      <c r="D651" s="689" t="s">
        <v>770</v>
      </c>
      <c r="E651" s="689" t="s">
        <v>370</v>
      </c>
      <c r="F651" s="689">
        <v>1</v>
      </c>
      <c r="G651" s="689"/>
      <c r="H651" s="695"/>
      <c r="I651" s="695">
        <v>46178</v>
      </c>
      <c r="J651" s="689" t="s">
        <v>365</v>
      </c>
      <c r="K651" t="str">
        <f t="shared" si="34"/>
        <v>Switch</v>
      </c>
      <c r="M651" s="412">
        <f t="shared" si="33"/>
        <v>0</v>
      </c>
      <c r="N651" s="412">
        <f t="shared" si="35"/>
        <v>0</v>
      </c>
      <c r="O651" s="412">
        <f>All_Detail_v2[[#This Row],[Qty. Success]]</f>
        <v>0</v>
      </c>
      <c r="P651" s="230">
        <f>IF(All_Detail_v2[[#This Row],[Qty]]=0,1,(M651+N651+O651)/(All_Detail_v2[[#This Row],[Qty]]*3))</f>
        <v>0</v>
      </c>
      <c r="Q651" s="195"/>
      <c r="R651" s="414">
        <f>All_Detail_v2[[#This Row],[Scheduled Date]]</f>
        <v>46178</v>
      </c>
      <c r="S651" s="414">
        <f>All_Detail_v2[[#This Row],[Install Date]]</f>
        <v>0</v>
      </c>
    </row>
    <row r="652" spans="1:19">
      <c r="A652">
        <v>648</v>
      </c>
      <c r="B652" s="687" t="s">
        <v>425</v>
      </c>
      <c r="C652" s="688" t="s">
        <v>771</v>
      </c>
      <c r="D652" s="689" t="s">
        <v>772</v>
      </c>
      <c r="E652" s="689" t="s">
        <v>370</v>
      </c>
      <c r="F652" s="689">
        <v>1</v>
      </c>
      <c r="G652" s="689"/>
      <c r="H652" s="695"/>
      <c r="I652" s="695">
        <v>46178</v>
      </c>
      <c r="J652" s="689" t="s">
        <v>365</v>
      </c>
      <c r="K652" t="str">
        <f t="shared" si="34"/>
        <v>Switch</v>
      </c>
      <c r="M652" s="412">
        <f t="shared" si="33"/>
        <v>0</v>
      </c>
      <c r="N652" s="412">
        <f t="shared" si="35"/>
        <v>0</v>
      </c>
      <c r="O652" s="412">
        <f>All_Detail_v2[[#This Row],[Qty. Success]]</f>
        <v>0</v>
      </c>
      <c r="P652" s="230">
        <f>IF(All_Detail_v2[[#This Row],[Qty]]=0,1,(M652+N652+O652)/(All_Detail_v2[[#This Row],[Qty]]*3))</f>
        <v>0</v>
      </c>
      <c r="Q652" s="195"/>
      <c r="R652" s="414">
        <f>All_Detail_v2[[#This Row],[Scheduled Date]]</f>
        <v>46178</v>
      </c>
      <c r="S652" s="414">
        <f>All_Detail_v2[[#This Row],[Install Date]]</f>
        <v>0</v>
      </c>
    </row>
    <row r="653" spans="1:19">
      <c r="A653">
        <v>649</v>
      </c>
      <c r="B653" s="687" t="s">
        <v>773</v>
      </c>
      <c r="C653" s="689" t="s">
        <v>773</v>
      </c>
      <c r="D653" s="689" t="s">
        <v>41</v>
      </c>
      <c r="E653" s="689" t="s">
        <v>364</v>
      </c>
      <c r="F653" s="689">
        <v>25</v>
      </c>
      <c r="G653" s="689"/>
      <c r="H653" s="695"/>
      <c r="I653" s="695">
        <v>46182</v>
      </c>
      <c r="J653" s="689" t="s">
        <v>365</v>
      </c>
      <c r="K653" t="str">
        <f t="shared" si="34"/>
        <v>AP</v>
      </c>
      <c r="M653" s="412">
        <f t="shared" si="33"/>
        <v>0</v>
      </c>
      <c r="N653" s="412">
        <f t="shared" si="35"/>
        <v>0</v>
      </c>
      <c r="O653" s="412">
        <f>All_Detail_v2[[#This Row],[Qty. Success]]</f>
        <v>0</v>
      </c>
      <c r="P653" s="230">
        <f>IF(All_Detail_v2[[#This Row],[Qty]]=0,1,(M653+N653+O653)/(All_Detail_v2[[#This Row],[Qty]]*3))</f>
        <v>0</v>
      </c>
      <c r="Q653" s="195"/>
      <c r="R653" s="414">
        <f>All_Detail_v2[[#This Row],[Scheduled Date]]</f>
        <v>46182</v>
      </c>
      <c r="S653" s="414">
        <f>All_Detail_v2[[#This Row],[Install Date]]</f>
        <v>0</v>
      </c>
    </row>
    <row r="654" spans="1:19">
      <c r="A654">
        <v>650</v>
      </c>
      <c r="B654" s="687" t="s">
        <v>773</v>
      </c>
      <c r="C654" s="689" t="s">
        <v>773</v>
      </c>
      <c r="D654" s="689" t="s">
        <v>774</v>
      </c>
      <c r="E654" s="689" t="s">
        <v>370</v>
      </c>
      <c r="F654" s="689">
        <v>2</v>
      </c>
      <c r="G654" s="689"/>
      <c r="H654" s="695"/>
      <c r="I654" s="695">
        <v>46184</v>
      </c>
      <c r="J654" s="689" t="s">
        <v>365</v>
      </c>
      <c r="K654" t="str">
        <f t="shared" si="34"/>
        <v>Switch</v>
      </c>
      <c r="M654" s="412">
        <f t="shared" si="33"/>
        <v>0</v>
      </c>
      <c r="N654" s="412">
        <f t="shared" si="35"/>
        <v>0</v>
      </c>
      <c r="O654" s="412">
        <f>All_Detail_v2[[#This Row],[Qty. Success]]</f>
        <v>0</v>
      </c>
      <c r="P654" s="230">
        <f>IF(All_Detail_v2[[#This Row],[Qty]]=0,1,(M654+N654+O654)/(All_Detail_v2[[#This Row],[Qty]]*3))</f>
        <v>0</v>
      </c>
      <c r="Q654" s="195"/>
      <c r="R654" s="414">
        <f>All_Detail_v2[[#This Row],[Scheduled Date]]</f>
        <v>46184</v>
      </c>
      <c r="S654" s="414">
        <f>All_Detail_v2[[#This Row],[Install Date]]</f>
        <v>0</v>
      </c>
    </row>
    <row r="655" spans="1:19">
      <c r="A655">
        <v>651</v>
      </c>
      <c r="B655" s="687" t="s">
        <v>773</v>
      </c>
      <c r="C655" s="689" t="s">
        <v>773</v>
      </c>
      <c r="D655" s="689" t="s">
        <v>775</v>
      </c>
      <c r="E655" s="689" t="s">
        <v>370</v>
      </c>
      <c r="F655" s="689">
        <v>4</v>
      </c>
      <c r="G655" s="689"/>
      <c r="H655" s="695"/>
      <c r="I655" s="695">
        <v>46184</v>
      </c>
      <c r="J655" s="689" t="s">
        <v>365</v>
      </c>
      <c r="K655" t="str">
        <f t="shared" si="34"/>
        <v>Switch</v>
      </c>
      <c r="M655" s="412">
        <f t="shared" si="33"/>
        <v>0</v>
      </c>
      <c r="N655" s="412">
        <f t="shared" si="35"/>
        <v>0</v>
      </c>
      <c r="O655" s="412">
        <f>All_Detail_v2[[#This Row],[Qty. Success]]</f>
        <v>0</v>
      </c>
      <c r="P655" s="230">
        <f>IF(All_Detail_v2[[#This Row],[Qty]]=0,1,(M655+N655+O655)/(All_Detail_v2[[#This Row],[Qty]]*3))</f>
        <v>0</v>
      </c>
      <c r="Q655" s="195"/>
      <c r="R655" s="414">
        <f>All_Detail_v2[[#This Row],[Scheduled Date]]</f>
        <v>46184</v>
      </c>
      <c r="S655" s="414">
        <f>All_Detail_v2[[#This Row],[Install Date]]</f>
        <v>0</v>
      </c>
    </row>
    <row r="656" spans="1:19">
      <c r="A656">
        <v>652</v>
      </c>
      <c r="B656" s="687" t="s">
        <v>773</v>
      </c>
      <c r="C656" s="689" t="s">
        <v>773</v>
      </c>
      <c r="D656" s="689" t="s">
        <v>776</v>
      </c>
      <c r="E656" s="689" t="s">
        <v>375</v>
      </c>
      <c r="F656" s="689">
        <v>3</v>
      </c>
      <c r="G656" s="689"/>
      <c r="H656" s="695"/>
      <c r="I656" s="695">
        <v>46184</v>
      </c>
      <c r="J656" s="689" t="s">
        <v>365</v>
      </c>
      <c r="K656" t="str">
        <f t="shared" si="34"/>
        <v>Switch</v>
      </c>
      <c r="M656" s="412">
        <f t="shared" si="33"/>
        <v>0</v>
      </c>
      <c r="N656" s="412">
        <f t="shared" si="35"/>
        <v>0</v>
      </c>
      <c r="O656" s="412">
        <f>All_Detail_v2[[#This Row],[Qty. Success]]</f>
        <v>0</v>
      </c>
      <c r="P656" s="230">
        <f>IF(All_Detail_v2[[#This Row],[Qty]]=0,1,(M656+N656+O656)/(All_Detail_v2[[#This Row],[Qty]]*3))</f>
        <v>0</v>
      </c>
      <c r="Q656" s="195"/>
      <c r="R656" s="414">
        <f>All_Detail_v2[[#This Row],[Scheduled Date]]</f>
        <v>46184</v>
      </c>
      <c r="S656" s="414">
        <f>All_Detail_v2[[#This Row],[Install Date]]</f>
        <v>0</v>
      </c>
    </row>
    <row r="657" spans="1:19">
      <c r="A657">
        <v>653</v>
      </c>
      <c r="B657" s="687" t="s">
        <v>773</v>
      </c>
      <c r="C657" s="689" t="s">
        <v>773</v>
      </c>
      <c r="D657" s="689" t="s">
        <v>777</v>
      </c>
      <c r="E657" s="689" t="s">
        <v>375</v>
      </c>
      <c r="F657" s="689">
        <v>1</v>
      </c>
      <c r="G657" s="689"/>
      <c r="H657" s="695"/>
      <c r="I657" s="695">
        <v>46184</v>
      </c>
      <c r="J657" s="689" t="s">
        <v>365</v>
      </c>
      <c r="K657" t="str">
        <f t="shared" si="34"/>
        <v>Switch</v>
      </c>
      <c r="M657" s="412">
        <f t="shared" si="33"/>
        <v>0</v>
      </c>
      <c r="N657" s="412">
        <f t="shared" si="35"/>
        <v>0</v>
      </c>
      <c r="O657" s="412">
        <f>All_Detail_v2[[#This Row],[Qty. Success]]</f>
        <v>0</v>
      </c>
      <c r="P657" s="230">
        <f>IF(All_Detail_v2[[#This Row],[Qty]]=0,1,(M657+N657+O657)/(All_Detail_v2[[#This Row],[Qty]]*3))</f>
        <v>0</v>
      </c>
      <c r="Q657" s="195"/>
      <c r="R657" s="414">
        <f>All_Detail_v2[[#This Row],[Scheduled Date]]</f>
        <v>46184</v>
      </c>
      <c r="S657" s="414">
        <f>All_Detail_v2[[#This Row],[Install Date]]</f>
        <v>0</v>
      </c>
    </row>
    <row r="658" spans="1:19">
      <c r="A658">
        <v>654</v>
      </c>
      <c r="B658" s="687" t="s">
        <v>773</v>
      </c>
      <c r="C658" s="689" t="s">
        <v>773</v>
      </c>
      <c r="D658" s="689" t="s">
        <v>778</v>
      </c>
      <c r="E658" s="689" t="s">
        <v>418</v>
      </c>
      <c r="F658" s="689">
        <v>2</v>
      </c>
      <c r="G658" s="689"/>
      <c r="H658" s="695"/>
      <c r="I658" s="695">
        <v>46184</v>
      </c>
      <c r="J658" s="689" t="s">
        <v>365</v>
      </c>
      <c r="K658" t="str">
        <f t="shared" si="34"/>
        <v>Switch</v>
      </c>
      <c r="M658" s="412">
        <f t="shared" si="33"/>
        <v>0</v>
      </c>
      <c r="N658" s="412">
        <f t="shared" si="35"/>
        <v>0</v>
      </c>
      <c r="O658" s="412">
        <f>All_Detail_v2[[#This Row],[Qty. Success]]</f>
        <v>0</v>
      </c>
      <c r="P658" s="230">
        <f>IF(All_Detail_v2[[#This Row],[Qty]]=0,1,(M658+N658+O658)/(All_Detail_v2[[#This Row],[Qty]]*3))</f>
        <v>0</v>
      </c>
      <c r="Q658" s="195"/>
      <c r="R658" s="414">
        <f>All_Detail_v2[[#This Row],[Scheduled Date]]</f>
        <v>46184</v>
      </c>
      <c r="S658" s="414">
        <f>All_Detail_v2[[#This Row],[Install Date]]</f>
        <v>0</v>
      </c>
    </row>
    <row r="659" spans="1:19">
      <c r="A659">
        <v>655</v>
      </c>
      <c r="B659" s="687" t="s">
        <v>773</v>
      </c>
      <c r="C659" s="689" t="s">
        <v>773</v>
      </c>
      <c r="D659" s="689" t="s">
        <v>779</v>
      </c>
      <c r="E659" s="689" t="s">
        <v>374</v>
      </c>
      <c r="F659" s="689">
        <v>1</v>
      </c>
      <c r="G659" s="689"/>
      <c r="H659" s="695"/>
      <c r="I659" s="695">
        <v>46185</v>
      </c>
      <c r="J659" s="689" t="s">
        <v>365</v>
      </c>
      <c r="K659" t="str">
        <f t="shared" si="34"/>
        <v>Switch</v>
      </c>
      <c r="M659" s="412">
        <f t="shared" si="33"/>
        <v>0</v>
      </c>
      <c r="N659" s="412">
        <f t="shared" si="35"/>
        <v>0</v>
      </c>
      <c r="O659" s="412">
        <f>All_Detail_v2[[#This Row],[Qty. Success]]</f>
        <v>0</v>
      </c>
      <c r="P659" s="230">
        <f>IF(All_Detail_v2[[#This Row],[Qty]]=0,1,(M659+N659+O659)/(All_Detail_v2[[#This Row],[Qty]]*3))</f>
        <v>0</v>
      </c>
      <c r="Q659" s="195"/>
      <c r="R659" s="414">
        <f>All_Detail_v2[[#This Row],[Scheduled Date]]</f>
        <v>46185</v>
      </c>
      <c r="S659" s="414">
        <f>All_Detail_v2[[#This Row],[Install Date]]</f>
        <v>0</v>
      </c>
    </row>
    <row r="660" spans="1:19">
      <c r="A660">
        <v>656</v>
      </c>
      <c r="B660" s="687" t="s">
        <v>773</v>
      </c>
      <c r="C660" s="689" t="s">
        <v>773</v>
      </c>
      <c r="D660" s="689" t="s">
        <v>779</v>
      </c>
      <c r="E660" s="689" t="s">
        <v>421</v>
      </c>
      <c r="F660" s="689">
        <v>2</v>
      </c>
      <c r="G660" s="689">
        <v>2</v>
      </c>
      <c r="H660" s="695">
        <v>46063</v>
      </c>
      <c r="I660" s="695">
        <v>46063</v>
      </c>
      <c r="J660" s="689" t="s">
        <v>368</v>
      </c>
      <c r="K660" t="str">
        <f t="shared" si="34"/>
        <v>Infra</v>
      </c>
      <c r="M660" s="412">
        <f t="shared" si="33"/>
        <v>2</v>
      </c>
      <c r="N660" s="412">
        <f t="shared" si="35"/>
        <v>2</v>
      </c>
      <c r="O660" s="412">
        <f>All_Detail_v2[[#This Row],[Qty. Success]]</f>
        <v>2</v>
      </c>
      <c r="P660" s="230">
        <f>IF(All_Detail_v2[[#This Row],[Qty]]=0,1,(M660+N660+O660)/(All_Detail_v2[[#This Row],[Qty]]*3))</f>
        <v>1</v>
      </c>
      <c r="Q660" s="195"/>
      <c r="R660" s="414">
        <f>All_Detail_v2[[#This Row],[Scheduled Date]]</f>
        <v>46063</v>
      </c>
      <c r="S660" s="414">
        <f>All_Detail_v2[[#This Row],[Install Date]]</f>
        <v>46063</v>
      </c>
    </row>
    <row r="661" spans="1:19">
      <c r="A661">
        <v>657</v>
      </c>
      <c r="B661" s="687" t="s">
        <v>773</v>
      </c>
      <c r="C661" s="689" t="s">
        <v>773</v>
      </c>
      <c r="D661" s="689" t="s">
        <v>780</v>
      </c>
      <c r="E661" s="689" t="s">
        <v>374</v>
      </c>
      <c r="F661" s="689">
        <v>2</v>
      </c>
      <c r="G661" s="689"/>
      <c r="H661" s="695"/>
      <c r="I661" s="695">
        <v>46185</v>
      </c>
      <c r="J661" s="689" t="s">
        <v>365</v>
      </c>
      <c r="K661" t="str">
        <f t="shared" si="34"/>
        <v>Switch</v>
      </c>
      <c r="M661" s="412">
        <f t="shared" si="33"/>
        <v>0</v>
      </c>
      <c r="N661" s="412">
        <f t="shared" si="35"/>
        <v>0</v>
      </c>
      <c r="O661" s="412">
        <f>All_Detail_v2[[#This Row],[Qty. Success]]</f>
        <v>0</v>
      </c>
      <c r="P661" s="230">
        <f>IF(All_Detail_v2[[#This Row],[Qty]]=0,1,(M661+N661+O661)/(All_Detail_v2[[#This Row],[Qty]]*3))</f>
        <v>0</v>
      </c>
      <c r="Q661" s="195"/>
      <c r="R661" s="414">
        <f>All_Detail_v2[[#This Row],[Scheduled Date]]</f>
        <v>46185</v>
      </c>
      <c r="S661" s="414">
        <f>All_Detail_v2[[#This Row],[Install Date]]</f>
        <v>0</v>
      </c>
    </row>
    <row r="662" spans="1:19">
      <c r="A662">
        <v>658</v>
      </c>
      <c r="B662" s="687" t="s">
        <v>773</v>
      </c>
      <c r="C662" s="689" t="s">
        <v>773</v>
      </c>
      <c r="D662" s="688" t="s">
        <v>781</v>
      </c>
      <c r="E662" s="689" t="s">
        <v>375</v>
      </c>
      <c r="F662" s="689">
        <v>1</v>
      </c>
      <c r="G662" s="689"/>
      <c r="H662" s="695"/>
      <c r="I662" s="695">
        <v>46185</v>
      </c>
      <c r="J662" s="689" t="s">
        <v>365</v>
      </c>
      <c r="K662" t="str">
        <f t="shared" si="34"/>
        <v>Switch</v>
      </c>
      <c r="M662" s="412">
        <f t="shared" si="33"/>
        <v>0</v>
      </c>
      <c r="N662" s="412">
        <f t="shared" si="35"/>
        <v>0</v>
      </c>
      <c r="O662" s="412">
        <f>All_Detail_v2[[#This Row],[Qty. Success]]</f>
        <v>0</v>
      </c>
      <c r="P662" s="230">
        <f>IF(All_Detail_v2[[#This Row],[Qty]]=0,1,(M662+N662+O662)/(All_Detail_v2[[#This Row],[Qty]]*3))</f>
        <v>0</v>
      </c>
      <c r="Q662" s="195"/>
      <c r="R662" s="414">
        <f>All_Detail_v2[[#This Row],[Scheduled Date]]</f>
        <v>46185</v>
      </c>
      <c r="S662" s="414">
        <f>All_Detail_v2[[#This Row],[Install Date]]</f>
        <v>0</v>
      </c>
    </row>
    <row r="663" spans="1:19">
      <c r="A663">
        <v>659</v>
      </c>
      <c r="B663" s="687" t="s">
        <v>773</v>
      </c>
      <c r="C663" s="689" t="s">
        <v>773</v>
      </c>
      <c r="D663" s="688" t="s">
        <v>782</v>
      </c>
      <c r="E663" s="689" t="s">
        <v>412</v>
      </c>
      <c r="F663" s="689">
        <v>1</v>
      </c>
      <c r="G663" s="689"/>
      <c r="H663" s="695"/>
      <c r="I663" s="695">
        <v>46185</v>
      </c>
      <c r="J663" s="689" t="s">
        <v>365</v>
      </c>
      <c r="K663" t="str">
        <f t="shared" si="34"/>
        <v>Switch</v>
      </c>
      <c r="M663" s="412">
        <f t="shared" si="33"/>
        <v>0</v>
      </c>
      <c r="N663" s="412">
        <f t="shared" si="35"/>
        <v>0</v>
      </c>
      <c r="O663" s="412">
        <f>All_Detail_v2[[#This Row],[Qty. Success]]</f>
        <v>0</v>
      </c>
      <c r="P663" s="230">
        <f>IF(All_Detail_v2[[#This Row],[Qty]]=0,1,(M663+N663+O663)/(All_Detail_v2[[#This Row],[Qty]]*3))</f>
        <v>0</v>
      </c>
      <c r="Q663" s="195"/>
      <c r="R663" s="414">
        <f>All_Detail_v2[[#This Row],[Scheduled Date]]</f>
        <v>46185</v>
      </c>
      <c r="S663" s="414">
        <f>All_Detail_v2[[#This Row],[Install Date]]</f>
        <v>0</v>
      </c>
    </row>
    <row r="664" spans="1:19">
      <c r="A664">
        <v>660</v>
      </c>
      <c r="B664" s="687" t="s">
        <v>773</v>
      </c>
      <c r="C664" s="689" t="s">
        <v>773</v>
      </c>
      <c r="D664" s="688" t="s">
        <v>783</v>
      </c>
      <c r="E664" s="689" t="s">
        <v>375</v>
      </c>
      <c r="F664" s="689">
        <v>1</v>
      </c>
      <c r="G664" s="689"/>
      <c r="H664" s="695"/>
      <c r="I664" s="695">
        <v>46185</v>
      </c>
      <c r="J664" s="689" t="s">
        <v>365</v>
      </c>
      <c r="K664" t="str">
        <f t="shared" si="34"/>
        <v>Switch</v>
      </c>
      <c r="M664" s="412">
        <f t="shared" si="33"/>
        <v>0</v>
      </c>
      <c r="N664" s="412">
        <f t="shared" si="35"/>
        <v>0</v>
      </c>
      <c r="O664" s="412">
        <f>All_Detail_v2[[#This Row],[Qty. Success]]</f>
        <v>0</v>
      </c>
      <c r="P664" s="230">
        <f>IF(All_Detail_v2[[#This Row],[Qty]]=0,1,(M664+N664+O664)/(All_Detail_v2[[#This Row],[Qty]]*3))</f>
        <v>0</v>
      </c>
      <c r="Q664" s="195"/>
      <c r="R664" s="414">
        <f>All_Detail_v2[[#This Row],[Scheduled Date]]</f>
        <v>46185</v>
      </c>
      <c r="S664" s="414">
        <f>All_Detail_v2[[#This Row],[Install Date]]</f>
        <v>0</v>
      </c>
    </row>
    <row r="665" spans="1:19">
      <c r="A665">
        <v>661</v>
      </c>
      <c r="B665" s="687" t="s">
        <v>773</v>
      </c>
      <c r="C665" s="689" t="s">
        <v>773</v>
      </c>
      <c r="D665" s="688" t="s">
        <v>784</v>
      </c>
      <c r="E665" s="689" t="s">
        <v>375</v>
      </c>
      <c r="F665" s="689">
        <v>1</v>
      </c>
      <c r="G665" s="689"/>
      <c r="H665" s="695"/>
      <c r="I665" s="695">
        <v>46185</v>
      </c>
      <c r="J665" s="689" t="s">
        <v>365</v>
      </c>
      <c r="K665" t="str">
        <f t="shared" si="34"/>
        <v>Switch</v>
      </c>
      <c r="M665" s="412">
        <f t="shared" si="33"/>
        <v>0</v>
      </c>
      <c r="N665" s="412">
        <f t="shared" si="35"/>
        <v>0</v>
      </c>
      <c r="O665" s="412">
        <f>All_Detail_v2[[#This Row],[Qty. Success]]</f>
        <v>0</v>
      </c>
      <c r="P665" s="230">
        <f>IF(All_Detail_v2[[#This Row],[Qty]]=0,1,(M665+N665+O665)/(All_Detail_v2[[#This Row],[Qty]]*3))</f>
        <v>0</v>
      </c>
      <c r="Q665" s="195"/>
      <c r="R665" s="414">
        <f>All_Detail_v2[[#This Row],[Scheduled Date]]</f>
        <v>46185</v>
      </c>
      <c r="S665" s="414">
        <f>All_Detail_v2[[#This Row],[Install Date]]</f>
        <v>0</v>
      </c>
    </row>
    <row r="666" spans="1:19">
      <c r="A666">
        <v>662</v>
      </c>
      <c r="B666" s="687" t="s">
        <v>773</v>
      </c>
      <c r="C666" s="689" t="s">
        <v>773</v>
      </c>
      <c r="D666" s="688" t="s">
        <v>38</v>
      </c>
      <c r="E666" s="689" t="s">
        <v>375</v>
      </c>
      <c r="F666" s="689">
        <v>2</v>
      </c>
      <c r="G666" s="689"/>
      <c r="H666" s="695"/>
      <c r="I666" s="695">
        <v>46185</v>
      </c>
      <c r="J666" s="689" t="s">
        <v>365</v>
      </c>
      <c r="K666" t="str">
        <f t="shared" si="34"/>
        <v>Switch</v>
      </c>
      <c r="M666" s="412">
        <f t="shared" si="33"/>
        <v>0</v>
      </c>
      <c r="N666" s="412">
        <f t="shared" si="35"/>
        <v>0</v>
      </c>
      <c r="O666" s="412">
        <f>All_Detail_v2[[#This Row],[Qty. Success]]</f>
        <v>0</v>
      </c>
      <c r="P666" s="230">
        <f>IF(All_Detail_v2[[#This Row],[Qty]]=0,1,(M666+N666+O666)/(All_Detail_v2[[#This Row],[Qty]]*3))</f>
        <v>0</v>
      </c>
      <c r="Q666" s="195"/>
      <c r="R666" s="414">
        <f>All_Detail_v2[[#This Row],[Scheduled Date]]</f>
        <v>46185</v>
      </c>
      <c r="S666" s="414">
        <f>All_Detail_v2[[#This Row],[Install Date]]</f>
        <v>0</v>
      </c>
    </row>
    <row r="667" spans="1:19">
      <c r="A667">
        <v>663</v>
      </c>
      <c r="B667" s="687" t="s">
        <v>773</v>
      </c>
      <c r="C667" s="689" t="s">
        <v>773</v>
      </c>
      <c r="D667" s="688" t="s">
        <v>785</v>
      </c>
      <c r="E667" s="689" t="s">
        <v>375</v>
      </c>
      <c r="F667" s="689">
        <v>1</v>
      </c>
      <c r="G667" s="689"/>
      <c r="H667" s="695"/>
      <c r="I667" s="695">
        <v>46188</v>
      </c>
      <c r="J667" s="689" t="s">
        <v>365</v>
      </c>
      <c r="K667" t="str">
        <f t="shared" si="34"/>
        <v>Switch</v>
      </c>
      <c r="M667" s="412">
        <f t="shared" si="33"/>
        <v>0</v>
      </c>
      <c r="N667" s="412">
        <f t="shared" si="35"/>
        <v>0</v>
      </c>
      <c r="O667" s="412">
        <f>All_Detail_v2[[#This Row],[Qty. Success]]</f>
        <v>0</v>
      </c>
      <c r="P667" s="230">
        <f>IF(All_Detail_v2[[#This Row],[Qty]]=0,1,(M667+N667+O667)/(All_Detail_v2[[#This Row],[Qty]]*3))</f>
        <v>0</v>
      </c>
      <c r="Q667" s="195"/>
      <c r="R667" s="414">
        <f>All_Detail_v2[[#This Row],[Scheduled Date]]</f>
        <v>46188</v>
      </c>
      <c r="S667" s="414">
        <f>All_Detail_v2[[#This Row],[Install Date]]</f>
        <v>0</v>
      </c>
    </row>
    <row r="668" spans="1:19">
      <c r="A668">
        <v>664</v>
      </c>
      <c r="B668" s="687" t="s">
        <v>773</v>
      </c>
      <c r="C668" s="688" t="s">
        <v>786</v>
      </c>
      <c r="D668" s="689" t="s">
        <v>41</v>
      </c>
      <c r="E668" s="689" t="s">
        <v>364</v>
      </c>
      <c r="F668" s="689">
        <v>5</v>
      </c>
      <c r="G668" s="689"/>
      <c r="H668" s="695"/>
      <c r="I668" s="695">
        <v>46182</v>
      </c>
      <c r="J668" s="689" t="s">
        <v>365</v>
      </c>
      <c r="K668" t="str">
        <f t="shared" si="34"/>
        <v>AP</v>
      </c>
      <c r="M668" s="412">
        <f t="shared" si="33"/>
        <v>0</v>
      </c>
      <c r="N668" s="412">
        <f t="shared" si="35"/>
        <v>0</v>
      </c>
      <c r="O668" s="412">
        <f>All_Detail_v2[[#This Row],[Qty. Success]]</f>
        <v>0</v>
      </c>
      <c r="P668" s="230">
        <f>IF(All_Detail_v2[[#This Row],[Qty]]=0,1,(M668+N668+O668)/(All_Detail_v2[[#This Row],[Qty]]*3))</f>
        <v>0</v>
      </c>
      <c r="Q668" s="195"/>
      <c r="R668" s="414">
        <f>All_Detail_v2[[#This Row],[Scheduled Date]]</f>
        <v>46182</v>
      </c>
      <c r="S668" s="414">
        <f>All_Detail_v2[[#This Row],[Install Date]]</f>
        <v>0</v>
      </c>
    </row>
    <row r="669" spans="1:19">
      <c r="A669">
        <v>665</v>
      </c>
      <c r="B669" s="687" t="s">
        <v>773</v>
      </c>
      <c r="C669" s="688" t="s">
        <v>786</v>
      </c>
      <c r="D669" s="689" t="s">
        <v>787</v>
      </c>
      <c r="E669" s="689" t="s">
        <v>370</v>
      </c>
      <c r="F669" s="689">
        <v>3</v>
      </c>
      <c r="G669" s="689"/>
      <c r="H669" s="695"/>
      <c r="I669" s="695">
        <v>46182</v>
      </c>
      <c r="J669" s="689" t="s">
        <v>365</v>
      </c>
      <c r="K669" t="str">
        <f t="shared" si="34"/>
        <v>Switch</v>
      </c>
      <c r="M669" s="412">
        <f t="shared" si="33"/>
        <v>0</v>
      </c>
      <c r="N669" s="412">
        <f t="shared" si="35"/>
        <v>0</v>
      </c>
      <c r="O669" s="412">
        <f>All_Detail_v2[[#This Row],[Qty. Success]]</f>
        <v>0</v>
      </c>
      <c r="P669" s="230">
        <f>IF(All_Detail_v2[[#This Row],[Qty]]=0,1,(M669+N669+O669)/(All_Detail_v2[[#This Row],[Qty]]*3))</f>
        <v>0</v>
      </c>
      <c r="Q669" s="195"/>
      <c r="R669" s="414">
        <f>All_Detail_v2[[#This Row],[Scheduled Date]]</f>
        <v>46182</v>
      </c>
      <c r="S669" s="414">
        <f>All_Detail_v2[[#This Row],[Install Date]]</f>
        <v>0</v>
      </c>
    </row>
    <row r="670" spans="1:19">
      <c r="A670">
        <v>666</v>
      </c>
      <c r="B670" s="687" t="s">
        <v>773</v>
      </c>
      <c r="C670" s="688" t="s">
        <v>786</v>
      </c>
      <c r="D670" s="689" t="s">
        <v>788</v>
      </c>
      <c r="E670" s="689" t="s">
        <v>375</v>
      </c>
      <c r="F670" s="689">
        <v>2</v>
      </c>
      <c r="G670" s="689"/>
      <c r="H670" s="695"/>
      <c r="I670" s="695">
        <v>46182</v>
      </c>
      <c r="J670" s="689" t="s">
        <v>365</v>
      </c>
      <c r="K670" t="str">
        <f t="shared" si="34"/>
        <v>Switch</v>
      </c>
      <c r="M670" s="412">
        <f t="shared" si="33"/>
        <v>0</v>
      </c>
      <c r="N670" s="412">
        <f t="shared" si="35"/>
        <v>0</v>
      </c>
      <c r="O670" s="412">
        <f>All_Detail_v2[[#This Row],[Qty. Success]]</f>
        <v>0</v>
      </c>
      <c r="P670" s="230">
        <f>IF(All_Detail_v2[[#This Row],[Qty]]=0,1,(M670+N670+O670)/(All_Detail_v2[[#This Row],[Qty]]*3))</f>
        <v>0</v>
      </c>
      <c r="Q670" s="195"/>
      <c r="R670" s="414">
        <f>All_Detail_v2[[#This Row],[Scheduled Date]]</f>
        <v>46182</v>
      </c>
      <c r="S670" s="414">
        <f>All_Detail_v2[[#This Row],[Install Date]]</f>
        <v>0</v>
      </c>
    </row>
    <row r="671" spans="1:19">
      <c r="A671">
        <v>667</v>
      </c>
      <c r="B671" s="687" t="s">
        <v>773</v>
      </c>
      <c r="C671" s="688" t="s">
        <v>786</v>
      </c>
      <c r="D671" s="689" t="s">
        <v>789</v>
      </c>
      <c r="E671" s="689" t="s">
        <v>410</v>
      </c>
      <c r="F671" s="689">
        <v>2</v>
      </c>
      <c r="G671" s="689"/>
      <c r="H671" s="695"/>
      <c r="I671" s="695">
        <v>46182</v>
      </c>
      <c r="J671" s="689" t="s">
        <v>365</v>
      </c>
      <c r="K671" t="str">
        <f t="shared" si="34"/>
        <v>Switch</v>
      </c>
      <c r="M671" s="412">
        <f t="shared" si="33"/>
        <v>0</v>
      </c>
      <c r="N671" s="412">
        <f t="shared" si="35"/>
        <v>0</v>
      </c>
      <c r="O671" s="412">
        <f>All_Detail_v2[[#This Row],[Qty. Success]]</f>
        <v>0</v>
      </c>
      <c r="P671" s="230">
        <f>IF(All_Detail_v2[[#This Row],[Qty]]=0,1,(M671+N671+O671)/(All_Detail_v2[[#This Row],[Qty]]*3))</f>
        <v>0</v>
      </c>
      <c r="Q671" s="195"/>
      <c r="R671" s="414">
        <f>All_Detail_v2[[#This Row],[Scheduled Date]]</f>
        <v>46182</v>
      </c>
      <c r="S671" s="414">
        <f>All_Detail_v2[[#This Row],[Install Date]]</f>
        <v>0</v>
      </c>
    </row>
    <row r="672" spans="1:19">
      <c r="A672">
        <v>668</v>
      </c>
      <c r="B672" s="687" t="s">
        <v>773</v>
      </c>
      <c r="C672" s="688" t="s">
        <v>786</v>
      </c>
      <c r="D672" s="689" t="s">
        <v>774</v>
      </c>
      <c r="E672" s="689" t="s">
        <v>370</v>
      </c>
      <c r="F672" s="689">
        <v>4</v>
      </c>
      <c r="G672" s="689"/>
      <c r="H672" s="695"/>
      <c r="I672" s="695">
        <v>46183</v>
      </c>
      <c r="J672" s="689" t="s">
        <v>365</v>
      </c>
      <c r="K672" t="str">
        <f t="shared" si="34"/>
        <v>Switch</v>
      </c>
      <c r="M672" s="412">
        <f t="shared" si="33"/>
        <v>0</v>
      </c>
      <c r="N672" s="412">
        <f t="shared" si="35"/>
        <v>0</v>
      </c>
      <c r="O672" s="412">
        <f>All_Detail_v2[[#This Row],[Qty. Success]]</f>
        <v>0</v>
      </c>
      <c r="P672" s="230">
        <f>IF(All_Detail_v2[[#This Row],[Qty]]=0,1,(M672+N672+O672)/(All_Detail_v2[[#This Row],[Qty]]*3))</f>
        <v>0</v>
      </c>
      <c r="Q672" s="195"/>
      <c r="R672" s="414">
        <f>All_Detail_v2[[#This Row],[Scheduled Date]]</f>
        <v>46183</v>
      </c>
      <c r="S672" s="414">
        <f>All_Detail_v2[[#This Row],[Install Date]]</f>
        <v>0</v>
      </c>
    </row>
    <row r="673" spans="1:19">
      <c r="A673">
        <v>669</v>
      </c>
      <c r="B673" s="687" t="s">
        <v>773</v>
      </c>
      <c r="C673" s="688" t="s">
        <v>786</v>
      </c>
      <c r="D673" s="689" t="s">
        <v>790</v>
      </c>
      <c r="E673" s="689" t="s">
        <v>375</v>
      </c>
      <c r="F673" s="689">
        <v>1</v>
      </c>
      <c r="G673" s="689"/>
      <c r="H673" s="695"/>
      <c r="I673" s="695">
        <v>46183</v>
      </c>
      <c r="J673" s="689" t="s">
        <v>365</v>
      </c>
      <c r="K673" t="str">
        <f t="shared" si="34"/>
        <v>Switch</v>
      </c>
      <c r="M673" s="412">
        <f t="shared" si="33"/>
        <v>0</v>
      </c>
      <c r="N673" s="412">
        <f t="shared" si="35"/>
        <v>0</v>
      </c>
      <c r="O673" s="412">
        <f>All_Detail_v2[[#This Row],[Qty. Success]]</f>
        <v>0</v>
      </c>
      <c r="P673" s="230">
        <f>IF(All_Detail_v2[[#This Row],[Qty]]=0,1,(M673+N673+O673)/(All_Detail_v2[[#This Row],[Qty]]*3))</f>
        <v>0</v>
      </c>
      <c r="Q673" s="195"/>
      <c r="R673" s="414">
        <f>All_Detail_v2[[#This Row],[Scheduled Date]]</f>
        <v>46183</v>
      </c>
      <c r="S673" s="414">
        <f>All_Detail_v2[[#This Row],[Install Date]]</f>
        <v>0</v>
      </c>
    </row>
    <row r="674" spans="1:19">
      <c r="A674">
        <v>670</v>
      </c>
      <c r="B674" s="687" t="s">
        <v>773</v>
      </c>
      <c r="C674" s="688" t="s">
        <v>786</v>
      </c>
      <c r="D674" s="688" t="s">
        <v>791</v>
      </c>
      <c r="E674" s="689" t="s">
        <v>375</v>
      </c>
      <c r="F674" s="689">
        <v>2</v>
      </c>
      <c r="G674" s="689"/>
      <c r="H674" s="695"/>
      <c r="I674" s="695">
        <v>46183</v>
      </c>
      <c r="J674" s="689" t="s">
        <v>365</v>
      </c>
      <c r="K674" t="str">
        <f t="shared" si="34"/>
        <v>Switch</v>
      </c>
      <c r="M674" s="412">
        <f t="shared" si="33"/>
        <v>0</v>
      </c>
      <c r="N674" s="412">
        <f t="shared" si="35"/>
        <v>0</v>
      </c>
      <c r="O674" s="412">
        <f>All_Detail_v2[[#This Row],[Qty. Success]]</f>
        <v>0</v>
      </c>
      <c r="P674" s="230">
        <f>IF(All_Detail_v2[[#This Row],[Qty]]=0,1,(M674+N674+O674)/(All_Detail_v2[[#This Row],[Qty]]*3))</f>
        <v>0</v>
      </c>
      <c r="Q674" s="195"/>
      <c r="R674" s="414">
        <f>All_Detail_v2[[#This Row],[Scheduled Date]]</f>
        <v>46183</v>
      </c>
      <c r="S674" s="414">
        <f>All_Detail_v2[[#This Row],[Install Date]]</f>
        <v>0</v>
      </c>
    </row>
    <row r="675" spans="1:19">
      <c r="A675">
        <v>671</v>
      </c>
      <c r="B675" s="687" t="s">
        <v>773</v>
      </c>
      <c r="C675" s="688" t="s">
        <v>786</v>
      </c>
      <c r="D675" s="688" t="s">
        <v>792</v>
      </c>
      <c r="E675" s="689" t="s">
        <v>375</v>
      </c>
      <c r="F675" s="689">
        <v>2</v>
      </c>
      <c r="G675" s="689"/>
      <c r="H675" s="695"/>
      <c r="I675" s="695">
        <v>46183</v>
      </c>
      <c r="J675" s="689" t="s">
        <v>365</v>
      </c>
      <c r="K675" t="str">
        <f t="shared" si="34"/>
        <v>Switch</v>
      </c>
      <c r="M675" s="412">
        <f t="shared" si="33"/>
        <v>0</v>
      </c>
      <c r="N675" s="412">
        <f t="shared" si="35"/>
        <v>0</v>
      </c>
      <c r="O675" s="412">
        <f>All_Detail_v2[[#This Row],[Qty. Success]]</f>
        <v>0</v>
      </c>
      <c r="P675" s="230">
        <f>IF(All_Detail_v2[[#This Row],[Qty]]=0,1,(M675+N675+O675)/(All_Detail_v2[[#This Row],[Qty]]*3))</f>
        <v>0</v>
      </c>
      <c r="Q675" s="195"/>
      <c r="R675" s="414">
        <f>All_Detail_v2[[#This Row],[Scheduled Date]]</f>
        <v>46183</v>
      </c>
      <c r="S675" s="414">
        <f>All_Detail_v2[[#This Row],[Install Date]]</f>
        <v>0</v>
      </c>
    </row>
    <row r="676" spans="1:19">
      <c r="A676">
        <v>672</v>
      </c>
      <c r="B676" s="687" t="s">
        <v>773</v>
      </c>
      <c r="C676" s="688" t="s">
        <v>786</v>
      </c>
      <c r="D676" s="688" t="s">
        <v>793</v>
      </c>
      <c r="E676" s="689" t="s">
        <v>370</v>
      </c>
      <c r="F676" s="689">
        <v>2</v>
      </c>
      <c r="G676" s="689"/>
      <c r="H676" s="695"/>
      <c r="I676" s="695">
        <v>46183</v>
      </c>
      <c r="J676" s="689" t="s">
        <v>365</v>
      </c>
      <c r="K676" t="str">
        <f t="shared" si="34"/>
        <v>Switch</v>
      </c>
      <c r="M676" s="412">
        <f t="shared" si="33"/>
        <v>0</v>
      </c>
      <c r="N676" s="412">
        <f t="shared" si="35"/>
        <v>0</v>
      </c>
      <c r="O676" s="412">
        <f>All_Detail_v2[[#This Row],[Qty. Success]]</f>
        <v>0</v>
      </c>
      <c r="P676" s="230">
        <f>IF(All_Detail_v2[[#This Row],[Qty]]=0,1,(M676+N676+O676)/(All_Detail_v2[[#This Row],[Qty]]*3))</f>
        <v>0</v>
      </c>
      <c r="Q676" s="195"/>
      <c r="R676" s="414">
        <f>All_Detail_v2[[#This Row],[Scheduled Date]]</f>
        <v>46183</v>
      </c>
      <c r="S676" s="414">
        <f>All_Detail_v2[[#This Row],[Install Date]]</f>
        <v>0</v>
      </c>
    </row>
    <row r="677" spans="1:19">
      <c r="A677">
        <v>673</v>
      </c>
      <c r="B677" s="687" t="s">
        <v>773</v>
      </c>
      <c r="C677" s="689" t="s">
        <v>794</v>
      </c>
      <c r="D677" s="689" t="s">
        <v>41</v>
      </c>
      <c r="E677" s="689" t="s">
        <v>364</v>
      </c>
      <c r="F677" s="689">
        <v>1</v>
      </c>
      <c r="G677" s="689"/>
      <c r="H677" s="695"/>
      <c r="I677" s="695">
        <v>46183</v>
      </c>
      <c r="J677" s="689" t="s">
        <v>365</v>
      </c>
      <c r="K677" t="str">
        <f t="shared" si="34"/>
        <v>AP</v>
      </c>
      <c r="M677" s="412">
        <f t="shared" si="33"/>
        <v>0</v>
      </c>
      <c r="N677" s="412">
        <f t="shared" si="35"/>
        <v>0</v>
      </c>
      <c r="O677" s="412">
        <f>All_Detail_v2[[#This Row],[Qty. Success]]</f>
        <v>0</v>
      </c>
      <c r="P677" s="230">
        <f>IF(All_Detail_v2[[#This Row],[Qty]]=0,1,(M677+N677+O677)/(All_Detail_v2[[#This Row],[Qty]]*3))</f>
        <v>0</v>
      </c>
      <c r="Q677" s="195"/>
      <c r="R677" s="414">
        <f>All_Detail_v2[[#This Row],[Scheduled Date]]</f>
        <v>46183</v>
      </c>
      <c r="S677" s="414">
        <f>All_Detail_v2[[#This Row],[Install Date]]</f>
        <v>0</v>
      </c>
    </row>
    <row r="678" spans="1:19">
      <c r="A678">
        <v>674</v>
      </c>
      <c r="B678" s="687" t="s">
        <v>773</v>
      </c>
      <c r="C678" s="689" t="s">
        <v>794</v>
      </c>
      <c r="D678" s="689" t="s">
        <v>789</v>
      </c>
      <c r="E678" s="689" t="s">
        <v>370</v>
      </c>
      <c r="F678" s="689">
        <v>2</v>
      </c>
      <c r="G678" s="689"/>
      <c r="H678" s="695"/>
      <c r="I678" s="695">
        <v>46184</v>
      </c>
      <c r="J678" s="689" t="s">
        <v>365</v>
      </c>
      <c r="K678" t="str">
        <f t="shared" si="34"/>
        <v>Switch</v>
      </c>
      <c r="M678" s="412">
        <f t="shared" si="33"/>
        <v>0</v>
      </c>
      <c r="N678" s="412">
        <f t="shared" si="35"/>
        <v>0</v>
      </c>
      <c r="O678" s="412">
        <f>All_Detail_v2[[#This Row],[Qty. Success]]</f>
        <v>0</v>
      </c>
      <c r="P678" s="230">
        <f>IF(All_Detail_v2[[#This Row],[Qty]]=0,1,(M678+N678+O678)/(All_Detail_v2[[#This Row],[Qty]]*3))</f>
        <v>0</v>
      </c>
      <c r="Q678" s="195"/>
      <c r="R678" s="414">
        <f>All_Detail_v2[[#This Row],[Scheduled Date]]</f>
        <v>46184</v>
      </c>
      <c r="S678" s="414">
        <f>All_Detail_v2[[#This Row],[Install Date]]</f>
        <v>0</v>
      </c>
    </row>
    <row r="679" spans="1:19">
      <c r="A679">
        <v>675</v>
      </c>
      <c r="B679" s="687" t="s">
        <v>773</v>
      </c>
      <c r="C679" s="689" t="s">
        <v>795</v>
      </c>
      <c r="D679" s="689" t="s">
        <v>41</v>
      </c>
      <c r="E679" s="689" t="s">
        <v>364</v>
      </c>
      <c r="F679" s="689">
        <v>1</v>
      </c>
      <c r="G679" s="689"/>
      <c r="H679" s="695"/>
      <c r="I679" s="695">
        <v>46184</v>
      </c>
      <c r="J679" s="689" t="s">
        <v>365</v>
      </c>
      <c r="K679" t="str">
        <f t="shared" si="34"/>
        <v>AP</v>
      </c>
      <c r="M679" s="412">
        <f t="shared" si="33"/>
        <v>0</v>
      </c>
      <c r="N679" s="412">
        <f t="shared" si="35"/>
        <v>0</v>
      </c>
      <c r="O679" s="412">
        <f>All_Detail_v2[[#This Row],[Qty. Success]]</f>
        <v>0</v>
      </c>
      <c r="P679" s="230">
        <f>IF(All_Detail_v2[[#This Row],[Qty]]=0,1,(M679+N679+O679)/(All_Detail_v2[[#This Row],[Qty]]*3))</f>
        <v>0</v>
      </c>
      <c r="Q679" s="195"/>
      <c r="R679" s="414">
        <f>All_Detail_v2[[#This Row],[Scheduled Date]]</f>
        <v>46184</v>
      </c>
      <c r="S679" s="414">
        <f>All_Detail_v2[[#This Row],[Install Date]]</f>
        <v>0</v>
      </c>
    </row>
    <row r="680" spans="1:19">
      <c r="A680">
        <v>676</v>
      </c>
      <c r="B680" s="687" t="s">
        <v>773</v>
      </c>
      <c r="C680" s="689" t="s">
        <v>795</v>
      </c>
      <c r="D680" s="689" t="s">
        <v>789</v>
      </c>
      <c r="E680" s="689" t="s">
        <v>370</v>
      </c>
      <c r="F680" s="689">
        <v>2</v>
      </c>
      <c r="G680" s="689"/>
      <c r="H680" s="695"/>
      <c r="I680" s="695">
        <v>46184</v>
      </c>
      <c r="J680" s="689" t="s">
        <v>365</v>
      </c>
      <c r="K680" t="str">
        <f t="shared" si="34"/>
        <v>Switch</v>
      </c>
      <c r="M680" s="412">
        <f t="shared" si="33"/>
        <v>0</v>
      </c>
      <c r="N680" s="412">
        <f t="shared" si="35"/>
        <v>0</v>
      </c>
      <c r="O680" s="412">
        <f>All_Detail_v2[[#This Row],[Qty. Success]]</f>
        <v>0</v>
      </c>
      <c r="P680" s="230">
        <f>IF(All_Detail_v2[[#This Row],[Qty]]=0,1,(M680+N680+O680)/(All_Detail_v2[[#This Row],[Qty]]*3))</f>
        <v>0</v>
      </c>
      <c r="Q680" s="195"/>
      <c r="R680" s="414">
        <f>All_Detail_v2[[#This Row],[Scheduled Date]]</f>
        <v>46184</v>
      </c>
      <c r="S680" s="414">
        <f>All_Detail_v2[[#This Row],[Install Date]]</f>
        <v>0</v>
      </c>
    </row>
    <row r="681" spans="1:19">
      <c r="A681">
        <v>677</v>
      </c>
      <c r="B681" s="687" t="s">
        <v>773</v>
      </c>
      <c r="C681" s="689" t="s">
        <v>796</v>
      </c>
      <c r="D681" s="689" t="s">
        <v>789</v>
      </c>
      <c r="E681" s="689" t="s">
        <v>370</v>
      </c>
      <c r="F681" s="689">
        <v>2</v>
      </c>
      <c r="G681" s="689"/>
      <c r="H681" s="695"/>
      <c r="I681" s="695">
        <v>46184</v>
      </c>
      <c r="J681" s="689" t="s">
        <v>365</v>
      </c>
      <c r="K681" t="str">
        <f t="shared" si="34"/>
        <v>Switch</v>
      </c>
      <c r="M681" s="412">
        <f t="shared" si="33"/>
        <v>0</v>
      </c>
      <c r="N681" s="412">
        <f t="shared" si="35"/>
        <v>0</v>
      </c>
      <c r="O681" s="412">
        <f>All_Detail_v2[[#This Row],[Qty. Success]]</f>
        <v>0</v>
      </c>
      <c r="P681" s="230">
        <f>IF(All_Detail_v2[[#This Row],[Qty]]=0,1,(M681+N681+O681)/(All_Detail_v2[[#This Row],[Qty]]*3))</f>
        <v>0</v>
      </c>
      <c r="Q681" s="195"/>
      <c r="R681" s="414">
        <f>All_Detail_v2[[#This Row],[Scheduled Date]]</f>
        <v>46184</v>
      </c>
      <c r="S681" s="414">
        <f>All_Detail_v2[[#This Row],[Install Date]]</f>
        <v>0</v>
      </c>
    </row>
    <row r="682" spans="1:19">
      <c r="A682">
        <v>678</v>
      </c>
      <c r="B682" s="687" t="s">
        <v>773</v>
      </c>
      <c r="C682" s="689" t="s">
        <v>797</v>
      </c>
      <c r="D682" s="689" t="s">
        <v>798</v>
      </c>
      <c r="E682" s="689" t="s">
        <v>370</v>
      </c>
      <c r="F682" s="689">
        <v>2</v>
      </c>
      <c r="G682" s="689"/>
      <c r="H682" s="695"/>
      <c r="I682" s="695">
        <v>46184</v>
      </c>
      <c r="J682" s="689" t="s">
        <v>365</v>
      </c>
      <c r="K682" t="str">
        <f t="shared" si="34"/>
        <v>Switch</v>
      </c>
      <c r="M682" s="412">
        <f t="shared" si="33"/>
        <v>0</v>
      </c>
      <c r="N682" s="412">
        <f t="shared" si="35"/>
        <v>0</v>
      </c>
      <c r="O682" s="412">
        <f>All_Detail_v2[[#This Row],[Qty. Success]]</f>
        <v>0</v>
      </c>
      <c r="P682" s="230">
        <f>IF(All_Detail_v2[[#This Row],[Qty]]=0,1,(M682+N682+O682)/(All_Detail_v2[[#This Row],[Qty]]*3))</f>
        <v>0</v>
      </c>
      <c r="Q682" s="195"/>
      <c r="R682" s="414">
        <f>All_Detail_v2[[#This Row],[Scheduled Date]]</f>
        <v>46184</v>
      </c>
      <c r="S682" s="414">
        <f>All_Detail_v2[[#This Row],[Install Date]]</f>
        <v>0</v>
      </c>
    </row>
    <row r="683" spans="1:19">
      <c r="A683">
        <v>679</v>
      </c>
      <c r="B683" s="687" t="s">
        <v>773</v>
      </c>
      <c r="C683" s="689" t="s">
        <v>799</v>
      </c>
      <c r="D683" s="689" t="s">
        <v>800</v>
      </c>
      <c r="E683" s="689" t="s">
        <v>370</v>
      </c>
      <c r="F683" s="689">
        <v>2</v>
      </c>
      <c r="G683" s="689"/>
      <c r="H683" s="695"/>
      <c r="I683" s="695">
        <v>46184</v>
      </c>
      <c r="J683" s="689" t="s">
        <v>365</v>
      </c>
      <c r="K683" t="str">
        <f t="shared" si="34"/>
        <v>Switch</v>
      </c>
      <c r="M683" s="412">
        <f t="shared" si="33"/>
        <v>0</v>
      </c>
      <c r="N683" s="412">
        <f t="shared" si="35"/>
        <v>0</v>
      </c>
      <c r="O683" s="412">
        <f>All_Detail_v2[[#This Row],[Qty. Success]]</f>
        <v>0</v>
      </c>
      <c r="P683" s="230">
        <f>IF(All_Detail_v2[[#This Row],[Qty]]=0,1,(M683+N683+O683)/(All_Detail_v2[[#This Row],[Qty]]*3))</f>
        <v>0</v>
      </c>
      <c r="Q683" s="195"/>
      <c r="R683" s="414">
        <f>All_Detail_v2[[#This Row],[Scheduled Date]]</f>
        <v>46184</v>
      </c>
      <c r="S683" s="414">
        <f>All_Detail_v2[[#This Row],[Install Date]]</f>
        <v>0</v>
      </c>
    </row>
    <row r="684" spans="1:19">
      <c r="A684">
        <v>680</v>
      </c>
      <c r="B684" s="687" t="s">
        <v>773</v>
      </c>
      <c r="C684" s="689" t="s">
        <v>801</v>
      </c>
      <c r="D684" s="689" t="s">
        <v>600</v>
      </c>
      <c r="E684" s="689" t="s">
        <v>370</v>
      </c>
      <c r="F684" s="689">
        <v>2</v>
      </c>
      <c r="G684" s="689"/>
      <c r="H684" s="695"/>
      <c r="I684" s="695">
        <v>46184</v>
      </c>
      <c r="J684" s="689" t="s">
        <v>365</v>
      </c>
      <c r="K684" t="str">
        <f t="shared" si="34"/>
        <v>Switch</v>
      </c>
      <c r="M684" s="412">
        <f t="shared" si="33"/>
        <v>0</v>
      </c>
      <c r="N684" s="412">
        <f t="shared" si="35"/>
        <v>0</v>
      </c>
      <c r="O684" s="412">
        <f>All_Detail_v2[[#This Row],[Qty. Success]]</f>
        <v>0</v>
      </c>
      <c r="P684" s="230">
        <f>IF(All_Detail_v2[[#This Row],[Qty]]=0,1,(M684+N684+O684)/(All_Detail_v2[[#This Row],[Qty]]*3))</f>
        <v>0</v>
      </c>
      <c r="Q684" s="195"/>
      <c r="R684" s="414">
        <f>All_Detail_v2[[#This Row],[Scheduled Date]]</f>
        <v>46184</v>
      </c>
      <c r="S684" s="414">
        <f>All_Detail_v2[[#This Row],[Install Date]]</f>
        <v>0</v>
      </c>
    </row>
    <row r="685" spans="1:19">
      <c r="A685">
        <v>681</v>
      </c>
      <c r="B685" s="687" t="s">
        <v>773</v>
      </c>
      <c r="C685" s="689" t="s">
        <v>802</v>
      </c>
      <c r="D685" s="689" t="s">
        <v>803</v>
      </c>
      <c r="E685" s="689" t="s">
        <v>370</v>
      </c>
      <c r="F685" s="689">
        <v>2</v>
      </c>
      <c r="G685" s="689"/>
      <c r="H685" s="695"/>
      <c r="I685" s="695">
        <v>46185</v>
      </c>
      <c r="J685" s="689" t="s">
        <v>365</v>
      </c>
      <c r="K685" t="str">
        <f t="shared" si="34"/>
        <v>Switch</v>
      </c>
      <c r="M685" s="412">
        <f t="shared" si="33"/>
        <v>0</v>
      </c>
      <c r="N685" s="412">
        <f t="shared" si="35"/>
        <v>0</v>
      </c>
      <c r="O685" s="412">
        <f>All_Detail_v2[[#This Row],[Qty. Success]]</f>
        <v>0</v>
      </c>
      <c r="P685" s="230">
        <f>IF(All_Detail_v2[[#This Row],[Qty]]=0,1,(M685+N685+O685)/(All_Detail_v2[[#This Row],[Qty]]*3))</f>
        <v>0</v>
      </c>
      <c r="Q685" s="195"/>
      <c r="R685" s="414">
        <f>All_Detail_v2[[#This Row],[Scheduled Date]]</f>
        <v>46185</v>
      </c>
      <c r="S685" s="414">
        <f>All_Detail_v2[[#This Row],[Install Date]]</f>
        <v>0</v>
      </c>
    </row>
    <row r="686" spans="1:19">
      <c r="A686">
        <v>682</v>
      </c>
      <c r="B686" s="687" t="s">
        <v>773</v>
      </c>
      <c r="C686" s="689" t="s">
        <v>804</v>
      </c>
      <c r="D686" s="689" t="s">
        <v>760</v>
      </c>
      <c r="E686" s="689" t="s">
        <v>370</v>
      </c>
      <c r="F686" s="689">
        <v>2</v>
      </c>
      <c r="G686" s="689"/>
      <c r="H686" s="695"/>
      <c r="I686" s="695">
        <v>46185</v>
      </c>
      <c r="J686" s="689" t="s">
        <v>365</v>
      </c>
      <c r="K686" t="str">
        <f t="shared" si="34"/>
        <v>Switch</v>
      </c>
      <c r="M686" s="412">
        <f t="shared" si="33"/>
        <v>0</v>
      </c>
      <c r="N686" s="412">
        <f t="shared" si="35"/>
        <v>0</v>
      </c>
      <c r="O686" s="412">
        <f>All_Detail_v2[[#This Row],[Qty. Success]]</f>
        <v>0</v>
      </c>
      <c r="P686" s="230">
        <f>IF(All_Detail_v2[[#This Row],[Qty]]=0,1,(M686+N686+O686)/(All_Detail_v2[[#This Row],[Qty]]*3))</f>
        <v>0</v>
      </c>
      <c r="Q686" s="195"/>
      <c r="R686" s="414">
        <f>All_Detail_v2[[#This Row],[Scheduled Date]]</f>
        <v>46185</v>
      </c>
      <c r="S686" s="414">
        <f>All_Detail_v2[[#This Row],[Install Date]]</f>
        <v>0</v>
      </c>
    </row>
    <row r="687" spans="1:19">
      <c r="A687">
        <v>683</v>
      </c>
      <c r="B687" s="687" t="s">
        <v>773</v>
      </c>
      <c r="C687" s="689" t="s">
        <v>805</v>
      </c>
      <c r="D687" s="689" t="s">
        <v>806</v>
      </c>
      <c r="E687" s="689" t="s">
        <v>370</v>
      </c>
      <c r="F687" s="689">
        <v>2</v>
      </c>
      <c r="G687" s="689"/>
      <c r="H687" s="695"/>
      <c r="I687" s="695">
        <v>46185</v>
      </c>
      <c r="J687" s="689" t="s">
        <v>365</v>
      </c>
      <c r="K687" t="str">
        <f t="shared" si="34"/>
        <v>Switch</v>
      </c>
      <c r="M687" s="412">
        <f t="shared" si="33"/>
        <v>0</v>
      </c>
      <c r="N687" s="412">
        <f t="shared" si="35"/>
        <v>0</v>
      </c>
      <c r="O687" s="412">
        <f>All_Detail_v2[[#This Row],[Qty. Success]]</f>
        <v>0</v>
      </c>
      <c r="P687" s="230">
        <f>IF(All_Detail_v2[[#This Row],[Qty]]=0,1,(M687+N687+O687)/(All_Detail_v2[[#This Row],[Qty]]*3))</f>
        <v>0</v>
      </c>
      <c r="Q687" s="195"/>
      <c r="R687" s="414">
        <f>All_Detail_v2[[#This Row],[Scheduled Date]]</f>
        <v>46185</v>
      </c>
      <c r="S687" s="414">
        <f>All_Detail_v2[[#This Row],[Install Date]]</f>
        <v>0</v>
      </c>
    </row>
    <row r="688" spans="1:19">
      <c r="A688">
        <v>684</v>
      </c>
      <c r="B688" s="687" t="s">
        <v>773</v>
      </c>
      <c r="C688" s="689" t="s">
        <v>807</v>
      </c>
      <c r="D688" s="689" t="s">
        <v>808</v>
      </c>
      <c r="E688" s="689" t="s">
        <v>370</v>
      </c>
      <c r="F688" s="689">
        <v>2</v>
      </c>
      <c r="G688" s="689"/>
      <c r="H688" s="695"/>
      <c r="I688" s="695">
        <v>46185</v>
      </c>
      <c r="J688" s="689" t="s">
        <v>365</v>
      </c>
      <c r="K688" t="str">
        <f t="shared" si="34"/>
        <v>Switch</v>
      </c>
      <c r="M688" s="412">
        <f t="shared" si="33"/>
        <v>0</v>
      </c>
      <c r="N688" s="412">
        <f t="shared" si="35"/>
        <v>0</v>
      </c>
      <c r="O688" s="412">
        <f>All_Detail_v2[[#This Row],[Qty. Success]]</f>
        <v>0</v>
      </c>
      <c r="P688" s="230">
        <f>IF(All_Detail_v2[[#This Row],[Qty]]=0,1,(M688+N688+O688)/(All_Detail_v2[[#This Row],[Qty]]*3))</f>
        <v>0</v>
      </c>
      <c r="Q688" s="195"/>
      <c r="R688" s="414">
        <f>All_Detail_v2[[#This Row],[Scheduled Date]]</f>
        <v>46185</v>
      </c>
      <c r="S688" s="414">
        <f>All_Detail_v2[[#This Row],[Install Date]]</f>
        <v>0</v>
      </c>
    </row>
    <row r="689" spans="1:19">
      <c r="A689">
        <v>685</v>
      </c>
      <c r="B689" s="687" t="s">
        <v>773</v>
      </c>
      <c r="C689" s="689" t="s">
        <v>809</v>
      </c>
      <c r="D689" s="689" t="s">
        <v>810</v>
      </c>
      <c r="E689" s="689" t="s">
        <v>370</v>
      </c>
      <c r="F689" s="689">
        <v>2</v>
      </c>
      <c r="G689" s="689"/>
      <c r="H689" s="695"/>
      <c r="I689" s="695">
        <v>46185</v>
      </c>
      <c r="J689" s="689" t="s">
        <v>365</v>
      </c>
      <c r="K689" t="str">
        <f t="shared" si="34"/>
        <v>Switch</v>
      </c>
      <c r="M689" s="412">
        <f t="shared" si="33"/>
        <v>0</v>
      </c>
      <c r="N689" s="412">
        <f t="shared" si="35"/>
        <v>0</v>
      </c>
      <c r="O689" s="412">
        <f>All_Detail_v2[[#This Row],[Qty. Success]]</f>
        <v>0</v>
      </c>
      <c r="P689" s="230">
        <f>IF(All_Detail_v2[[#This Row],[Qty]]=0,1,(M689+N689+O689)/(All_Detail_v2[[#This Row],[Qty]]*3))</f>
        <v>0</v>
      </c>
      <c r="Q689" s="195"/>
      <c r="R689" s="414">
        <f>All_Detail_v2[[#This Row],[Scheduled Date]]</f>
        <v>46185</v>
      </c>
      <c r="S689" s="414">
        <f>All_Detail_v2[[#This Row],[Install Date]]</f>
        <v>0</v>
      </c>
    </row>
    <row r="690" spans="1:19">
      <c r="A690">
        <v>686</v>
      </c>
      <c r="B690" s="687" t="s">
        <v>773</v>
      </c>
      <c r="C690" s="689" t="s">
        <v>811</v>
      </c>
      <c r="D690" s="689" t="s">
        <v>812</v>
      </c>
      <c r="E690" s="689" t="s">
        <v>370</v>
      </c>
      <c r="F690" s="689">
        <v>2</v>
      </c>
      <c r="G690" s="689"/>
      <c r="H690" s="695"/>
      <c r="I690" s="695">
        <v>46185</v>
      </c>
      <c r="J690" s="689" t="s">
        <v>365</v>
      </c>
      <c r="K690" t="str">
        <f t="shared" si="34"/>
        <v>Switch</v>
      </c>
      <c r="M690" s="412">
        <f t="shared" si="33"/>
        <v>0</v>
      </c>
      <c r="N690" s="412">
        <f t="shared" si="35"/>
        <v>0</v>
      </c>
      <c r="O690" s="412">
        <f>All_Detail_v2[[#This Row],[Qty. Success]]</f>
        <v>0</v>
      </c>
      <c r="P690" s="230">
        <f>IF(All_Detail_v2[[#This Row],[Qty]]=0,1,(M690+N690+O690)/(All_Detail_v2[[#This Row],[Qty]]*3))</f>
        <v>0</v>
      </c>
      <c r="Q690" s="195"/>
      <c r="R690" s="414">
        <f>All_Detail_v2[[#This Row],[Scheduled Date]]</f>
        <v>46185</v>
      </c>
      <c r="S690" s="414">
        <f>All_Detail_v2[[#This Row],[Install Date]]</f>
        <v>0</v>
      </c>
    </row>
    <row r="691" spans="1:19">
      <c r="A691">
        <v>687</v>
      </c>
      <c r="B691" s="687" t="s">
        <v>773</v>
      </c>
      <c r="C691" s="689" t="s">
        <v>813</v>
      </c>
      <c r="D691" s="689" t="s">
        <v>814</v>
      </c>
      <c r="E691" s="689" t="s">
        <v>370</v>
      </c>
      <c r="F691" s="689">
        <v>1</v>
      </c>
      <c r="G691" s="689"/>
      <c r="H691" s="695"/>
      <c r="I691" s="695">
        <v>46188</v>
      </c>
      <c r="J691" s="689" t="s">
        <v>365</v>
      </c>
      <c r="K691" t="str">
        <f t="shared" si="34"/>
        <v>Switch</v>
      </c>
      <c r="M691" s="412">
        <f t="shared" si="33"/>
        <v>0</v>
      </c>
      <c r="N691" s="412">
        <f t="shared" si="35"/>
        <v>0</v>
      </c>
      <c r="O691" s="412">
        <f>All_Detail_v2[[#This Row],[Qty. Success]]</f>
        <v>0</v>
      </c>
      <c r="P691" s="230">
        <f>IF(All_Detail_v2[[#This Row],[Qty]]=0,1,(M691+N691+O691)/(All_Detail_v2[[#This Row],[Qty]]*3))</f>
        <v>0</v>
      </c>
      <c r="Q691" s="195"/>
      <c r="R691" s="414">
        <f>All_Detail_v2[[#This Row],[Scheduled Date]]</f>
        <v>46188</v>
      </c>
      <c r="S691" s="414">
        <f>All_Detail_v2[[#This Row],[Install Date]]</f>
        <v>0</v>
      </c>
    </row>
    <row r="692" spans="1:19">
      <c r="A692">
        <v>688</v>
      </c>
      <c r="B692" s="687" t="s">
        <v>815</v>
      </c>
      <c r="C692" s="689" t="s">
        <v>816</v>
      </c>
      <c r="D692" s="689" t="s">
        <v>41</v>
      </c>
      <c r="E692" s="689" t="s">
        <v>364</v>
      </c>
      <c r="F692" s="689">
        <v>18</v>
      </c>
      <c r="G692" s="689"/>
      <c r="H692" s="695"/>
      <c r="I692" s="695">
        <v>46189</v>
      </c>
      <c r="J692" s="689" t="s">
        <v>365</v>
      </c>
      <c r="K692" t="str">
        <f t="shared" si="34"/>
        <v>AP</v>
      </c>
      <c r="M692" s="412">
        <f t="shared" si="33"/>
        <v>0</v>
      </c>
      <c r="N692" s="412">
        <f t="shared" si="35"/>
        <v>0</v>
      </c>
      <c r="O692" s="412">
        <f>All_Detail_v2[[#This Row],[Qty. Success]]</f>
        <v>0</v>
      </c>
      <c r="P692" s="230">
        <f>IF(All_Detail_v2[[#This Row],[Qty]]=0,1,(M692+N692+O692)/(All_Detail_v2[[#This Row],[Qty]]*3))</f>
        <v>0</v>
      </c>
      <c r="Q692" s="195"/>
      <c r="R692" s="414">
        <f>All_Detail_v2[[#This Row],[Scheduled Date]]</f>
        <v>46189</v>
      </c>
      <c r="S692" s="414">
        <f>All_Detail_v2[[#This Row],[Install Date]]</f>
        <v>0</v>
      </c>
    </row>
    <row r="693" spans="1:19">
      <c r="A693">
        <v>689</v>
      </c>
      <c r="B693" s="687" t="s">
        <v>815</v>
      </c>
      <c r="C693" s="689" t="s">
        <v>816</v>
      </c>
      <c r="D693" s="689" t="s">
        <v>817</v>
      </c>
      <c r="E693" s="689" t="s">
        <v>418</v>
      </c>
      <c r="F693" s="689">
        <v>2</v>
      </c>
      <c r="G693" s="689"/>
      <c r="H693" s="695"/>
      <c r="I693" s="695">
        <v>46190</v>
      </c>
      <c r="J693" s="689" t="s">
        <v>365</v>
      </c>
      <c r="K693" t="str">
        <f t="shared" si="34"/>
        <v>Switch</v>
      </c>
      <c r="M693" s="412">
        <f t="shared" si="33"/>
        <v>0</v>
      </c>
      <c r="N693" s="412">
        <f t="shared" si="35"/>
        <v>0</v>
      </c>
      <c r="O693" s="412">
        <f>All_Detail_v2[[#This Row],[Qty. Success]]</f>
        <v>0</v>
      </c>
      <c r="P693" s="230">
        <f>IF(All_Detail_v2[[#This Row],[Qty]]=0,1,(M693+N693+O693)/(All_Detail_v2[[#This Row],[Qty]]*3))</f>
        <v>0</v>
      </c>
      <c r="Q693" s="195"/>
      <c r="R693" s="414">
        <f>All_Detail_v2[[#This Row],[Scheduled Date]]</f>
        <v>46190</v>
      </c>
      <c r="S693" s="414">
        <f>All_Detail_v2[[#This Row],[Install Date]]</f>
        <v>0</v>
      </c>
    </row>
    <row r="694" spans="1:19">
      <c r="A694">
        <v>690</v>
      </c>
      <c r="B694" s="687" t="s">
        <v>815</v>
      </c>
      <c r="C694" s="689" t="s">
        <v>816</v>
      </c>
      <c r="D694" s="689" t="s">
        <v>817</v>
      </c>
      <c r="E694" s="689" t="s">
        <v>421</v>
      </c>
      <c r="F694" s="689">
        <v>2</v>
      </c>
      <c r="G694" s="689">
        <v>2</v>
      </c>
      <c r="H694" s="695">
        <v>46063</v>
      </c>
      <c r="I694" s="695">
        <v>46063</v>
      </c>
      <c r="J694" s="689" t="s">
        <v>368</v>
      </c>
      <c r="K694" t="str">
        <f t="shared" si="34"/>
        <v>Infra</v>
      </c>
      <c r="M694" s="412">
        <f t="shared" si="33"/>
        <v>2</v>
      </c>
      <c r="N694" s="412">
        <f t="shared" si="35"/>
        <v>2</v>
      </c>
      <c r="O694" s="412">
        <f>All_Detail_v2[[#This Row],[Qty. Success]]</f>
        <v>2</v>
      </c>
      <c r="P694" s="230">
        <f>IF(All_Detail_v2[[#This Row],[Qty]]=0,1,(M694+N694+O694)/(All_Detail_v2[[#This Row],[Qty]]*3))</f>
        <v>1</v>
      </c>
      <c r="Q694" s="195"/>
      <c r="R694" s="414">
        <f>All_Detail_v2[[#This Row],[Scheduled Date]]</f>
        <v>46063</v>
      </c>
      <c r="S694" s="414">
        <f>All_Detail_v2[[#This Row],[Install Date]]</f>
        <v>46063</v>
      </c>
    </row>
    <row r="695" spans="1:19">
      <c r="A695">
        <v>691</v>
      </c>
      <c r="B695" s="687" t="s">
        <v>815</v>
      </c>
      <c r="C695" s="689" t="s">
        <v>816</v>
      </c>
      <c r="D695" s="689" t="s">
        <v>818</v>
      </c>
      <c r="E695" s="689" t="s">
        <v>370</v>
      </c>
      <c r="F695" s="689">
        <v>2</v>
      </c>
      <c r="G695" s="689"/>
      <c r="H695" s="695"/>
      <c r="I695" s="695">
        <v>46190</v>
      </c>
      <c r="J695" s="689" t="s">
        <v>365</v>
      </c>
      <c r="K695" t="str">
        <f t="shared" si="34"/>
        <v>Switch</v>
      </c>
      <c r="M695" s="412">
        <f t="shared" si="33"/>
        <v>0</v>
      </c>
      <c r="N695" s="412">
        <f t="shared" si="35"/>
        <v>0</v>
      </c>
      <c r="O695" s="412">
        <f>All_Detail_v2[[#This Row],[Qty. Success]]</f>
        <v>0</v>
      </c>
      <c r="P695" s="230">
        <f>IF(All_Detail_v2[[#This Row],[Qty]]=0,1,(M695+N695+O695)/(All_Detail_v2[[#This Row],[Qty]]*3))</f>
        <v>0</v>
      </c>
      <c r="Q695" s="195"/>
      <c r="R695" s="414">
        <f>All_Detail_v2[[#This Row],[Scheduled Date]]</f>
        <v>46190</v>
      </c>
      <c r="S695" s="414">
        <f>All_Detail_v2[[#This Row],[Install Date]]</f>
        <v>0</v>
      </c>
    </row>
    <row r="696" spans="1:19">
      <c r="A696">
        <v>692</v>
      </c>
      <c r="B696" s="687" t="s">
        <v>815</v>
      </c>
      <c r="C696" s="689" t="s">
        <v>816</v>
      </c>
      <c r="D696" s="689" t="s">
        <v>819</v>
      </c>
      <c r="E696" s="689" t="s">
        <v>370</v>
      </c>
      <c r="F696" s="689">
        <v>1</v>
      </c>
      <c r="G696" s="689"/>
      <c r="H696" s="695"/>
      <c r="I696" s="695">
        <v>46191</v>
      </c>
      <c r="J696" s="689" t="s">
        <v>365</v>
      </c>
      <c r="K696" t="str">
        <f t="shared" si="34"/>
        <v>Switch</v>
      </c>
      <c r="M696" s="412">
        <f t="shared" si="33"/>
        <v>0</v>
      </c>
      <c r="N696" s="412">
        <f t="shared" si="35"/>
        <v>0</v>
      </c>
      <c r="O696" s="412">
        <f>All_Detail_v2[[#This Row],[Qty. Success]]</f>
        <v>0</v>
      </c>
      <c r="P696" s="230">
        <f>IF(All_Detail_v2[[#This Row],[Qty]]=0,1,(M696+N696+O696)/(All_Detail_v2[[#This Row],[Qty]]*3))</f>
        <v>0</v>
      </c>
      <c r="Q696" s="195"/>
      <c r="R696" s="414">
        <f>All_Detail_v2[[#This Row],[Scheduled Date]]</f>
        <v>46191</v>
      </c>
      <c r="S696" s="414">
        <f>All_Detail_v2[[#This Row],[Install Date]]</f>
        <v>0</v>
      </c>
    </row>
    <row r="697" spans="1:19">
      <c r="A697">
        <v>693</v>
      </c>
      <c r="B697" s="687" t="s">
        <v>815</v>
      </c>
      <c r="C697" s="689" t="s">
        <v>816</v>
      </c>
      <c r="D697" s="689" t="s">
        <v>819</v>
      </c>
      <c r="E697" s="689" t="s">
        <v>367</v>
      </c>
      <c r="F697" s="689">
        <v>1</v>
      </c>
      <c r="G697" s="689"/>
      <c r="H697" s="695"/>
      <c r="I697" s="695">
        <v>46191</v>
      </c>
      <c r="J697" s="689" t="s">
        <v>365</v>
      </c>
      <c r="K697" t="str">
        <f t="shared" si="34"/>
        <v>Switch</v>
      </c>
      <c r="M697" s="412">
        <f t="shared" si="33"/>
        <v>0</v>
      </c>
      <c r="N697" s="412">
        <f t="shared" si="35"/>
        <v>0</v>
      </c>
      <c r="O697" s="412">
        <f>All_Detail_v2[[#This Row],[Qty. Success]]</f>
        <v>0</v>
      </c>
      <c r="P697" s="230">
        <f>IF(All_Detail_v2[[#This Row],[Qty]]=0,1,(M697+N697+O697)/(All_Detail_v2[[#This Row],[Qty]]*3))</f>
        <v>0</v>
      </c>
      <c r="Q697" s="195"/>
      <c r="R697" s="414">
        <f>All_Detail_v2[[#This Row],[Scheduled Date]]</f>
        <v>46191</v>
      </c>
      <c r="S697" s="414">
        <f>All_Detail_v2[[#This Row],[Install Date]]</f>
        <v>0</v>
      </c>
    </row>
    <row r="698" spans="1:19">
      <c r="A698">
        <v>694</v>
      </c>
      <c r="B698" s="687" t="s">
        <v>815</v>
      </c>
      <c r="C698" s="689" t="s">
        <v>816</v>
      </c>
      <c r="D698" s="689" t="s">
        <v>820</v>
      </c>
      <c r="E698" s="689" t="s">
        <v>367</v>
      </c>
      <c r="F698" s="689">
        <v>2</v>
      </c>
      <c r="G698" s="689"/>
      <c r="H698" s="695"/>
      <c r="I698" s="695">
        <v>46191</v>
      </c>
      <c r="J698" s="689" t="s">
        <v>365</v>
      </c>
      <c r="K698" t="str">
        <f t="shared" si="34"/>
        <v>Switch</v>
      </c>
      <c r="M698" s="412">
        <f t="shared" si="33"/>
        <v>0</v>
      </c>
      <c r="N698" s="412">
        <f t="shared" si="35"/>
        <v>0</v>
      </c>
      <c r="O698" s="412">
        <f>All_Detail_v2[[#This Row],[Qty. Success]]</f>
        <v>0</v>
      </c>
      <c r="P698" s="230">
        <f>IF(All_Detail_v2[[#This Row],[Qty]]=0,1,(M698+N698+O698)/(All_Detail_v2[[#This Row],[Qty]]*3))</f>
        <v>0</v>
      </c>
      <c r="Q698" s="195"/>
      <c r="R698" s="414">
        <f>All_Detail_v2[[#This Row],[Scheduled Date]]</f>
        <v>46191</v>
      </c>
      <c r="S698" s="414">
        <f>All_Detail_v2[[#This Row],[Install Date]]</f>
        <v>0</v>
      </c>
    </row>
    <row r="699" spans="1:19">
      <c r="A699">
        <v>695</v>
      </c>
      <c r="B699" s="687" t="s">
        <v>815</v>
      </c>
      <c r="C699" s="689" t="s">
        <v>816</v>
      </c>
      <c r="D699" s="689" t="s">
        <v>821</v>
      </c>
      <c r="E699" s="689" t="s">
        <v>412</v>
      </c>
      <c r="F699" s="689">
        <v>2</v>
      </c>
      <c r="G699" s="689"/>
      <c r="H699" s="695"/>
      <c r="I699" s="695">
        <v>46191</v>
      </c>
      <c r="J699" s="689" t="s">
        <v>365</v>
      </c>
      <c r="K699" t="str">
        <f t="shared" si="34"/>
        <v>Switch</v>
      </c>
      <c r="M699" s="412">
        <f t="shared" si="33"/>
        <v>0</v>
      </c>
      <c r="N699" s="412">
        <f t="shared" si="35"/>
        <v>0</v>
      </c>
      <c r="O699" s="412">
        <f>All_Detail_v2[[#This Row],[Qty. Success]]</f>
        <v>0</v>
      </c>
      <c r="P699" s="230">
        <f>IF(All_Detail_v2[[#This Row],[Qty]]=0,1,(M699+N699+O699)/(All_Detail_v2[[#This Row],[Qty]]*3))</f>
        <v>0</v>
      </c>
      <c r="Q699" s="195"/>
      <c r="R699" s="414">
        <f>All_Detail_v2[[#This Row],[Scheduled Date]]</f>
        <v>46191</v>
      </c>
      <c r="S699" s="414">
        <f>All_Detail_v2[[#This Row],[Install Date]]</f>
        <v>0</v>
      </c>
    </row>
    <row r="700" spans="1:19">
      <c r="A700">
        <v>696</v>
      </c>
      <c r="B700" s="687" t="s">
        <v>815</v>
      </c>
      <c r="C700" s="689" t="s">
        <v>816</v>
      </c>
      <c r="D700" s="689" t="s">
        <v>822</v>
      </c>
      <c r="E700" s="689" t="s">
        <v>374</v>
      </c>
      <c r="F700" s="689">
        <v>2</v>
      </c>
      <c r="G700" s="689"/>
      <c r="H700" s="695"/>
      <c r="I700" s="695">
        <v>46191</v>
      </c>
      <c r="J700" s="689" t="s">
        <v>365</v>
      </c>
      <c r="K700" t="str">
        <f t="shared" si="34"/>
        <v>Switch</v>
      </c>
      <c r="M700" s="412">
        <f t="shared" si="33"/>
        <v>0</v>
      </c>
      <c r="N700" s="412">
        <f t="shared" si="35"/>
        <v>0</v>
      </c>
      <c r="O700" s="412">
        <f>All_Detail_v2[[#This Row],[Qty. Success]]</f>
        <v>0</v>
      </c>
      <c r="P700" s="230">
        <f>IF(All_Detail_v2[[#This Row],[Qty]]=0,1,(M700+N700+O700)/(All_Detail_v2[[#This Row],[Qty]]*3))</f>
        <v>0</v>
      </c>
      <c r="Q700" s="195"/>
      <c r="R700" s="414">
        <f>All_Detail_v2[[#This Row],[Scheduled Date]]</f>
        <v>46191</v>
      </c>
      <c r="S700" s="414">
        <f>All_Detail_v2[[#This Row],[Install Date]]</f>
        <v>0</v>
      </c>
    </row>
    <row r="701" spans="1:19">
      <c r="A701">
        <v>697</v>
      </c>
      <c r="B701" s="687" t="s">
        <v>815</v>
      </c>
      <c r="C701" s="689" t="s">
        <v>816</v>
      </c>
      <c r="D701" s="689" t="s">
        <v>822</v>
      </c>
      <c r="E701" s="689" t="s">
        <v>367</v>
      </c>
      <c r="F701" s="689">
        <v>2</v>
      </c>
      <c r="G701" s="689"/>
      <c r="H701" s="695"/>
      <c r="I701" s="695">
        <v>46191</v>
      </c>
      <c r="J701" s="689" t="s">
        <v>365</v>
      </c>
      <c r="K701" t="str">
        <f t="shared" si="34"/>
        <v>Switch</v>
      </c>
      <c r="M701" s="412">
        <f t="shared" si="33"/>
        <v>0</v>
      </c>
      <c r="N701" s="412">
        <f t="shared" si="35"/>
        <v>0</v>
      </c>
      <c r="O701" s="412">
        <f>All_Detail_v2[[#This Row],[Qty. Success]]</f>
        <v>0</v>
      </c>
      <c r="P701" s="230">
        <f>IF(All_Detail_v2[[#This Row],[Qty]]=0,1,(M701+N701+O701)/(All_Detail_v2[[#This Row],[Qty]]*3))</f>
        <v>0</v>
      </c>
      <c r="Q701" s="195"/>
      <c r="R701" s="414">
        <f>All_Detail_v2[[#This Row],[Scheduled Date]]</f>
        <v>46191</v>
      </c>
      <c r="S701" s="414">
        <f>All_Detail_v2[[#This Row],[Install Date]]</f>
        <v>0</v>
      </c>
    </row>
    <row r="702" spans="1:19">
      <c r="A702">
        <v>698</v>
      </c>
      <c r="B702" s="687" t="s">
        <v>815</v>
      </c>
      <c r="C702" s="689" t="s">
        <v>816</v>
      </c>
      <c r="D702" s="689" t="s">
        <v>823</v>
      </c>
      <c r="E702" s="689" t="s">
        <v>370</v>
      </c>
      <c r="F702" s="689">
        <v>3</v>
      </c>
      <c r="G702" s="689"/>
      <c r="H702" s="695"/>
      <c r="I702" s="695">
        <v>46191</v>
      </c>
      <c r="J702" s="689" t="s">
        <v>365</v>
      </c>
      <c r="K702" t="str">
        <f t="shared" si="34"/>
        <v>Switch</v>
      </c>
      <c r="M702" s="412">
        <f t="shared" si="33"/>
        <v>0</v>
      </c>
      <c r="N702" s="412">
        <f t="shared" si="35"/>
        <v>0</v>
      </c>
      <c r="O702" s="412">
        <f>All_Detail_v2[[#This Row],[Qty. Success]]</f>
        <v>0</v>
      </c>
      <c r="P702" s="230">
        <f>IF(All_Detail_v2[[#This Row],[Qty]]=0,1,(M702+N702+O702)/(All_Detail_v2[[#This Row],[Qty]]*3))</f>
        <v>0</v>
      </c>
      <c r="Q702" s="195"/>
      <c r="R702" s="414">
        <f>All_Detail_v2[[#This Row],[Scheduled Date]]</f>
        <v>46191</v>
      </c>
      <c r="S702" s="414">
        <f>All_Detail_v2[[#This Row],[Install Date]]</f>
        <v>0</v>
      </c>
    </row>
    <row r="703" spans="1:19">
      <c r="A703">
        <v>699</v>
      </c>
      <c r="B703" s="687" t="s">
        <v>815</v>
      </c>
      <c r="C703" s="689" t="s">
        <v>816</v>
      </c>
      <c r="D703" s="689" t="s">
        <v>824</v>
      </c>
      <c r="E703" s="689" t="s">
        <v>370</v>
      </c>
      <c r="F703" s="689">
        <v>11</v>
      </c>
      <c r="G703" s="689"/>
      <c r="H703" s="695"/>
      <c r="I703" s="695">
        <v>46192</v>
      </c>
      <c r="J703" s="689" t="s">
        <v>365</v>
      </c>
      <c r="K703" t="str">
        <f t="shared" si="34"/>
        <v>Switch</v>
      </c>
      <c r="M703" s="412">
        <f t="shared" si="33"/>
        <v>0</v>
      </c>
      <c r="N703" s="412">
        <f t="shared" si="35"/>
        <v>0</v>
      </c>
      <c r="O703" s="412">
        <f>All_Detail_v2[[#This Row],[Qty. Success]]</f>
        <v>0</v>
      </c>
      <c r="P703" s="230">
        <f>IF(All_Detail_v2[[#This Row],[Qty]]=0,1,(M703+N703+O703)/(All_Detail_v2[[#This Row],[Qty]]*3))</f>
        <v>0</v>
      </c>
      <c r="Q703" s="195"/>
      <c r="R703" s="414">
        <f>All_Detail_v2[[#This Row],[Scheduled Date]]</f>
        <v>46192</v>
      </c>
      <c r="S703" s="414">
        <f>All_Detail_v2[[#This Row],[Install Date]]</f>
        <v>0</v>
      </c>
    </row>
    <row r="704" spans="1:19">
      <c r="A704">
        <v>700</v>
      </c>
      <c r="B704" s="687" t="s">
        <v>815</v>
      </c>
      <c r="C704" s="689" t="s">
        <v>816</v>
      </c>
      <c r="D704" s="689" t="s">
        <v>824</v>
      </c>
      <c r="E704" s="689" t="s">
        <v>375</v>
      </c>
      <c r="F704" s="689">
        <v>1</v>
      </c>
      <c r="G704" s="689"/>
      <c r="H704" s="695"/>
      <c r="I704" s="695">
        <v>46192</v>
      </c>
      <c r="J704" s="689" t="s">
        <v>365</v>
      </c>
      <c r="K704" t="str">
        <f t="shared" si="34"/>
        <v>Switch</v>
      </c>
      <c r="M704" s="412">
        <f t="shared" si="33"/>
        <v>0</v>
      </c>
      <c r="N704" s="412">
        <f t="shared" si="35"/>
        <v>0</v>
      </c>
      <c r="O704" s="412">
        <f>All_Detail_v2[[#This Row],[Qty. Success]]</f>
        <v>0</v>
      </c>
      <c r="P704" s="230">
        <f>IF(All_Detail_v2[[#This Row],[Qty]]=0,1,(M704+N704+O704)/(All_Detail_v2[[#This Row],[Qty]]*3))</f>
        <v>0</v>
      </c>
      <c r="Q704" s="195"/>
      <c r="R704" s="414">
        <f>All_Detail_v2[[#This Row],[Scheduled Date]]</f>
        <v>46192</v>
      </c>
      <c r="S704" s="414">
        <f>All_Detail_v2[[#This Row],[Install Date]]</f>
        <v>0</v>
      </c>
    </row>
    <row r="705" spans="1:19">
      <c r="A705">
        <v>701</v>
      </c>
      <c r="B705" s="687" t="s">
        <v>815</v>
      </c>
      <c r="C705" s="689" t="s">
        <v>816</v>
      </c>
      <c r="D705" s="688" t="s">
        <v>825</v>
      </c>
      <c r="E705" s="689" t="s">
        <v>375</v>
      </c>
      <c r="F705" s="689">
        <v>1</v>
      </c>
      <c r="G705" s="689"/>
      <c r="H705" s="695"/>
      <c r="I705" s="695">
        <v>46195</v>
      </c>
      <c r="J705" s="689" t="s">
        <v>365</v>
      </c>
      <c r="K705" t="str">
        <f t="shared" si="34"/>
        <v>Switch</v>
      </c>
      <c r="M705" s="412">
        <f t="shared" si="33"/>
        <v>0</v>
      </c>
      <c r="N705" s="412">
        <f t="shared" si="35"/>
        <v>0</v>
      </c>
      <c r="O705" s="412">
        <f>All_Detail_v2[[#This Row],[Qty. Success]]</f>
        <v>0</v>
      </c>
      <c r="P705" s="230">
        <f>IF(All_Detail_v2[[#This Row],[Qty]]=0,1,(M705+N705+O705)/(All_Detail_v2[[#This Row],[Qty]]*3))</f>
        <v>0</v>
      </c>
      <c r="Q705" s="195"/>
      <c r="R705" s="414">
        <f>All_Detail_v2[[#This Row],[Scheduled Date]]</f>
        <v>46195</v>
      </c>
      <c r="S705" s="414">
        <f>All_Detail_v2[[#This Row],[Install Date]]</f>
        <v>0</v>
      </c>
    </row>
    <row r="706" spans="1:19">
      <c r="A706">
        <v>702</v>
      </c>
      <c r="B706" s="687" t="s">
        <v>815</v>
      </c>
      <c r="C706" s="689" t="s">
        <v>826</v>
      </c>
      <c r="D706" s="689" t="s">
        <v>41</v>
      </c>
      <c r="E706" s="689" t="s">
        <v>364</v>
      </c>
      <c r="F706" s="689">
        <v>8</v>
      </c>
      <c r="G706" s="689"/>
      <c r="H706" s="695"/>
      <c r="I706" s="695">
        <v>46189</v>
      </c>
      <c r="J706" s="689" t="s">
        <v>365</v>
      </c>
      <c r="K706" t="str">
        <f t="shared" si="34"/>
        <v>AP</v>
      </c>
      <c r="M706" s="412">
        <f t="shared" ref="M706:M739" si="36">O706</f>
        <v>0</v>
      </c>
      <c r="N706" s="412">
        <f t="shared" si="35"/>
        <v>0</v>
      </c>
      <c r="O706" s="412">
        <f>All_Detail_v2[[#This Row],[Qty. Success]]</f>
        <v>0</v>
      </c>
      <c r="P706" s="230">
        <f>IF(All_Detail_v2[[#This Row],[Qty]]=0,1,(M706+N706+O706)/(All_Detail_v2[[#This Row],[Qty]]*3))</f>
        <v>0</v>
      </c>
      <c r="Q706" s="195"/>
      <c r="R706" s="414">
        <f>All_Detail_v2[[#This Row],[Scheduled Date]]</f>
        <v>46189</v>
      </c>
      <c r="S706" s="414">
        <f>All_Detail_v2[[#This Row],[Install Date]]</f>
        <v>0</v>
      </c>
    </row>
    <row r="707" spans="1:19">
      <c r="A707">
        <v>703</v>
      </c>
      <c r="B707" s="687" t="s">
        <v>815</v>
      </c>
      <c r="C707" s="689" t="s">
        <v>826</v>
      </c>
      <c r="D707" s="689" t="s">
        <v>827</v>
      </c>
      <c r="E707" s="689" t="s">
        <v>370</v>
      </c>
      <c r="F707" s="689">
        <v>2</v>
      </c>
      <c r="G707" s="689"/>
      <c r="H707" s="695"/>
      <c r="I707" s="695">
        <v>46189</v>
      </c>
      <c r="J707" s="689" t="s">
        <v>365</v>
      </c>
      <c r="K707" t="str">
        <f t="shared" ref="K707:K740" si="37">IF(ISNUMBER(SEARCH("Access Point",E707)),"AP",IF(OR(ISNUMBER(SEARCH("Switch",E707)),ISNUMBER(SEARCH("Control Type",E707))),"Switch","Infra"))</f>
        <v>Switch</v>
      </c>
      <c r="M707" s="412">
        <f t="shared" si="36"/>
        <v>0</v>
      </c>
      <c r="N707" s="412">
        <f t="shared" si="35"/>
        <v>0</v>
      </c>
      <c r="O707" s="412">
        <f>All_Detail_v2[[#This Row],[Qty. Success]]</f>
        <v>0</v>
      </c>
      <c r="P707" s="230">
        <f>IF(All_Detail_v2[[#This Row],[Qty]]=0,1,(M707+N707+O707)/(All_Detail_v2[[#This Row],[Qty]]*3))</f>
        <v>0</v>
      </c>
      <c r="Q707" s="195"/>
      <c r="R707" s="414">
        <f>All_Detail_v2[[#This Row],[Scheduled Date]]</f>
        <v>46189</v>
      </c>
      <c r="S707" s="414">
        <f>All_Detail_v2[[#This Row],[Install Date]]</f>
        <v>0</v>
      </c>
    </row>
    <row r="708" spans="1:19">
      <c r="A708">
        <v>704</v>
      </c>
      <c r="B708" s="687" t="s">
        <v>815</v>
      </c>
      <c r="C708" s="689" t="s">
        <v>826</v>
      </c>
      <c r="D708" s="688" t="s">
        <v>828</v>
      </c>
      <c r="E708" s="689" t="s">
        <v>375</v>
      </c>
      <c r="F708" s="689">
        <v>1</v>
      </c>
      <c r="G708" s="689"/>
      <c r="H708" s="695"/>
      <c r="I708" s="695">
        <v>46189</v>
      </c>
      <c r="J708" s="689" t="s">
        <v>365</v>
      </c>
      <c r="K708" t="str">
        <f t="shared" si="37"/>
        <v>Switch</v>
      </c>
      <c r="M708" s="412">
        <f t="shared" si="36"/>
        <v>0</v>
      </c>
      <c r="N708" s="412">
        <f t="shared" si="35"/>
        <v>0</v>
      </c>
      <c r="O708" s="412">
        <f>All_Detail_v2[[#This Row],[Qty. Success]]</f>
        <v>0</v>
      </c>
      <c r="P708" s="230">
        <f>IF(All_Detail_v2[[#This Row],[Qty]]=0,1,(M708+N708+O708)/(All_Detail_v2[[#This Row],[Qty]]*3))</f>
        <v>0</v>
      </c>
      <c r="Q708" s="195"/>
      <c r="R708" s="414">
        <f>All_Detail_v2[[#This Row],[Scheduled Date]]</f>
        <v>46189</v>
      </c>
      <c r="S708" s="414">
        <f>All_Detail_v2[[#This Row],[Install Date]]</f>
        <v>0</v>
      </c>
    </row>
    <row r="709" spans="1:19">
      <c r="A709">
        <v>705</v>
      </c>
      <c r="B709" s="687" t="s">
        <v>815</v>
      </c>
      <c r="C709" s="689" t="s">
        <v>826</v>
      </c>
      <c r="D709" s="688" t="s">
        <v>829</v>
      </c>
      <c r="E709" s="689" t="s">
        <v>375</v>
      </c>
      <c r="F709" s="689">
        <v>2</v>
      </c>
      <c r="G709" s="689"/>
      <c r="H709" s="695"/>
      <c r="I709" s="695">
        <v>46189</v>
      </c>
      <c r="J709" s="689" t="s">
        <v>365</v>
      </c>
      <c r="K709" t="str">
        <f t="shared" si="37"/>
        <v>Switch</v>
      </c>
      <c r="M709" s="412">
        <f t="shared" si="36"/>
        <v>0</v>
      </c>
      <c r="N709" s="412">
        <f t="shared" si="35"/>
        <v>0</v>
      </c>
      <c r="O709" s="412">
        <f>All_Detail_v2[[#This Row],[Qty. Success]]</f>
        <v>0</v>
      </c>
      <c r="P709" s="230">
        <f>IF(All_Detail_v2[[#This Row],[Qty]]=0,1,(M709+N709+O709)/(All_Detail_v2[[#This Row],[Qty]]*3))</f>
        <v>0</v>
      </c>
      <c r="Q709" s="195"/>
      <c r="R709" s="414">
        <f>All_Detail_v2[[#This Row],[Scheduled Date]]</f>
        <v>46189</v>
      </c>
      <c r="S709" s="414">
        <f>All_Detail_v2[[#This Row],[Install Date]]</f>
        <v>0</v>
      </c>
    </row>
    <row r="710" spans="1:19">
      <c r="A710">
        <v>706</v>
      </c>
      <c r="B710" s="687" t="s">
        <v>815</v>
      </c>
      <c r="C710" s="689" t="s">
        <v>826</v>
      </c>
      <c r="D710" s="688" t="s">
        <v>830</v>
      </c>
      <c r="E710" s="689" t="s">
        <v>370</v>
      </c>
      <c r="F710" s="689">
        <v>3</v>
      </c>
      <c r="G710" s="689"/>
      <c r="H710" s="695"/>
      <c r="I710" s="695">
        <v>46190</v>
      </c>
      <c r="J710" s="689" t="s">
        <v>365</v>
      </c>
      <c r="K710" t="str">
        <f t="shared" si="37"/>
        <v>Switch</v>
      </c>
      <c r="M710" s="412">
        <f t="shared" si="36"/>
        <v>0</v>
      </c>
      <c r="N710" s="412">
        <f t="shared" ref="N710:N739" si="38">O710</f>
        <v>0</v>
      </c>
      <c r="O710" s="412">
        <f>All_Detail_v2[[#This Row],[Qty. Success]]</f>
        <v>0</v>
      </c>
      <c r="P710" s="230">
        <f>IF(All_Detail_v2[[#This Row],[Qty]]=0,1,(M710+N710+O710)/(All_Detail_v2[[#This Row],[Qty]]*3))</f>
        <v>0</v>
      </c>
      <c r="Q710" s="195"/>
      <c r="R710" s="414">
        <f>All_Detail_v2[[#This Row],[Scheduled Date]]</f>
        <v>46190</v>
      </c>
      <c r="S710" s="414">
        <f>All_Detail_v2[[#This Row],[Install Date]]</f>
        <v>0</v>
      </c>
    </row>
    <row r="711" spans="1:19">
      <c r="A711">
        <v>707</v>
      </c>
      <c r="B711" s="687" t="s">
        <v>815</v>
      </c>
      <c r="C711" s="689" t="s">
        <v>831</v>
      </c>
      <c r="D711" s="689" t="s">
        <v>41</v>
      </c>
      <c r="E711" s="689" t="s">
        <v>364</v>
      </c>
      <c r="F711" s="689">
        <v>6</v>
      </c>
      <c r="G711" s="689"/>
      <c r="H711" s="695"/>
      <c r="I711" s="695">
        <v>46190</v>
      </c>
      <c r="J711" s="689" t="s">
        <v>365</v>
      </c>
      <c r="K711" t="str">
        <f t="shared" si="37"/>
        <v>AP</v>
      </c>
      <c r="M711" s="412">
        <f t="shared" si="36"/>
        <v>0</v>
      </c>
      <c r="N711" s="412">
        <f t="shared" si="38"/>
        <v>0</v>
      </c>
      <c r="O711" s="412">
        <f>All_Detail_v2[[#This Row],[Qty. Success]]</f>
        <v>0</v>
      </c>
      <c r="P711" s="230">
        <f>IF(All_Detail_v2[[#This Row],[Qty]]=0,1,(M711+N711+O711)/(All_Detail_v2[[#This Row],[Qty]]*3))</f>
        <v>0</v>
      </c>
      <c r="Q711" s="195"/>
      <c r="R711" s="414">
        <f>All_Detail_v2[[#This Row],[Scheduled Date]]</f>
        <v>46190</v>
      </c>
      <c r="S711" s="414">
        <f>All_Detail_v2[[#This Row],[Install Date]]</f>
        <v>0</v>
      </c>
    </row>
    <row r="712" spans="1:19">
      <c r="A712">
        <v>708</v>
      </c>
      <c r="B712" s="687" t="s">
        <v>815</v>
      </c>
      <c r="C712" s="689" t="s">
        <v>831</v>
      </c>
      <c r="D712" s="688" t="s">
        <v>832</v>
      </c>
      <c r="E712" s="689" t="s">
        <v>370</v>
      </c>
      <c r="F712" s="689">
        <v>1</v>
      </c>
      <c r="G712" s="689"/>
      <c r="H712" s="695"/>
      <c r="I712" s="695">
        <v>46190</v>
      </c>
      <c r="J712" s="689" t="s">
        <v>365</v>
      </c>
      <c r="K712" t="str">
        <f t="shared" si="37"/>
        <v>Switch</v>
      </c>
      <c r="M712" s="412">
        <f t="shared" si="36"/>
        <v>0</v>
      </c>
      <c r="N712" s="412">
        <f t="shared" si="38"/>
        <v>0</v>
      </c>
      <c r="O712" s="412">
        <f>All_Detail_v2[[#This Row],[Qty. Success]]</f>
        <v>0</v>
      </c>
      <c r="P712" s="230">
        <f>IF(All_Detail_v2[[#This Row],[Qty]]=0,1,(M712+N712+O712)/(All_Detail_v2[[#This Row],[Qty]]*3))</f>
        <v>0</v>
      </c>
      <c r="Q712" s="195"/>
      <c r="R712" s="414">
        <f>All_Detail_v2[[#This Row],[Scheduled Date]]</f>
        <v>46190</v>
      </c>
      <c r="S712" s="414">
        <f>All_Detail_v2[[#This Row],[Install Date]]</f>
        <v>0</v>
      </c>
    </row>
    <row r="713" spans="1:19">
      <c r="A713">
        <v>709</v>
      </c>
      <c r="B713" s="687" t="s">
        <v>815</v>
      </c>
      <c r="C713" s="689" t="s">
        <v>831</v>
      </c>
      <c r="D713" s="688" t="s">
        <v>833</v>
      </c>
      <c r="E713" s="689" t="s">
        <v>375</v>
      </c>
      <c r="F713" s="689">
        <v>1</v>
      </c>
      <c r="G713" s="689"/>
      <c r="H713" s="695"/>
      <c r="I713" s="695">
        <v>46190</v>
      </c>
      <c r="J713" s="689" t="s">
        <v>365</v>
      </c>
      <c r="K713" t="str">
        <f t="shared" si="37"/>
        <v>Switch</v>
      </c>
      <c r="M713" s="412">
        <f t="shared" si="36"/>
        <v>0</v>
      </c>
      <c r="N713" s="412">
        <f t="shared" si="38"/>
        <v>0</v>
      </c>
      <c r="O713" s="412">
        <f>All_Detail_v2[[#This Row],[Qty. Success]]</f>
        <v>0</v>
      </c>
      <c r="P713" s="230">
        <f>IF(All_Detail_v2[[#This Row],[Qty]]=0,1,(M713+N713+O713)/(All_Detail_v2[[#This Row],[Qty]]*3))</f>
        <v>0</v>
      </c>
      <c r="Q713" s="195"/>
      <c r="R713" s="414">
        <f>All_Detail_v2[[#This Row],[Scheduled Date]]</f>
        <v>46190</v>
      </c>
      <c r="S713" s="414">
        <f>All_Detail_v2[[#This Row],[Install Date]]</f>
        <v>0</v>
      </c>
    </row>
    <row r="714" spans="1:19">
      <c r="A714">
        <v>710</v>
      </c>
      <c r="B714" s="687" t="s">
        <v>815</v>
      </c>
      <c r="C714" s="689" t="s">
        <v>831</v>
      </c>
      <c r="D714" s="688" t="s">
        <v>834</v>
      </c>
      <c r="E714" s="689" t="s">
        <v>375</v>
      </c>
      <c r="F714" s="689">
        <v>1</v>
      </c>
      <c r="G714" s="689"/>
      <c r="H714" s="695"/>
      <c r="I714" s="695">
        <v>46191</v>
      </c>
      <c r="J714" s="689" t="s">
        <v>365</v>
      </c>
      <c r="K714" t="str">
        <f t="shared" si="37"/>
        <v>Switch</v>
      </c>
      <c r="M714" s="412">
        <f t="shared" si="36"/>
        <v>0</v>
      </c>
      <c r="N714" s="412">
        <f t="shared" si="38"/>
        <v>0</v>
      </c>
      <c r="O714" s="412">
        <f>All_Detail_v2[[#This Row],[Qty. Success]]</f>
        <v>0</v>
      </c>
      <c r="P714" s="230">
        <f>IF(All_Detail_v2[[#This Row],[Qty]]=0,1,(M714+N714+O714)/(All_Detail_v2[[#This Row],[Qty]]*3))</f>
        <v>0</v>
      </c>
      <c r="Q714" s="195"/>
      <c r="R714" s="414">
        <f>All_Detail_v2[[#This Row],[Scheduled Date]]</f>
        <v>46191</v>
      </c>
      <c r="S714" s="414">
        <f>All_Detail_v2[[#This Row],[Install Date]]</f>
        <v>0</v>
      </c>
    </row>
    <row r="715" spans="1:19">
      <c r="A715">
        <v>711</v>
      </c>
      <c r="B715" s="687" t="s">
        <v>815</v>
      </c>
      <c r="C715" s="689" t="s">
        <v>831</v>
      </c>
      <c r="D715" s="688" t="s">
        <v>835</v>
      </c>
      <c r="E715" s="689" t="s">
        <v>370</v>
      </c>
      <c r="F715" s="689">
        <v>4</v>
      </c>
      <c r="G715" s="689"/>
      <c r="H715" s="695"/>
      <c r="I715" s="695">
        <v>46191</v>
      </c>
      <c r="J715" s="689" t="s">
        <v>365</v>
      </c>
      <c r="K715" t="str">
        <f t="shared" si="37"/>
        <v>Switch</v>
      </c>
      <c r="M715" s="412">
        <f t="shared" si="36"/>
        <v>0</v>
      </c>
      <c r="N715" s="412">
        <f t="shared" si="38"/>
        <v>0</v>
      </c>
      <c r="O715" s="412">
        <f>All_Detail_v2[[#This Row],[Qty. Success]]</f>
        <v>0</v>
      </c>
      <c r="P715" s="230">
        <f>IF(All_Detail_v2[[#This Row],[Qty]]=0,1,(M715+N715+O715)/(All_Detail_v2[[#This Row],[Qty]]*3))</f>
        <v>0</v>
      </c>
      <c r="Q715" s="195"/>
      <c r="R715" s="414">
        <f>All_Detail_v2[[#This Row],[Scheduled Date]]</f>
        <v>46191</v>
      </c>
      <c r="S715" s="414">
        <f>All_Detail_v2[[#This Row],[Install Date]]</f>
        <v>0</v>
      </c>
    </row>
    <row r="716" spans="1:19">
      <c r="A716">
        <v>712</v>
      </c>
      <c r="B716" s="687" t="s">
        <v>815</v>
      </c>
      <c r="C716" s="689" t="s">
        <v>831</v>
      </c>
      <c r="D716" s="688" t="s">
        <v>835</v>
      </c>
      <c r="E716" s="689" t="s">
        <v>375</v>
      </c>
      <c r="F716" s="689">
        <v>2</v>
      </c>
      <c r="G716" s="689"/>
      <c r="H716" s="695"/>
      <c r="I716" s="695">
        <v>46191</v>
      </c>
      <c r="J716" s="689" t="s">
        <v>365</v>
      </c>
      <c r="K716" t="str">
        <f t="shared" si="37"/>
        <v>Switch</v>
      </c>
      <c r="M716" s="412">
        <f t="shared" si="36"/>
        <v>0</v>
      </c>
      <c r="N716" s="412">
        <f t="shared" si="38"/>
        <v>0</v>
      </c>
      <c r="O716" s="412">
        <f>All_Detail_v2[[#This Row],[Qty. Success]]</f>
        <v>0</v>
      </c>
      <c r="P716" s="230">
        <f>IF(All_Detail_v2[[#This Row],[Qty]]=0,1,(M716+N716+O716)/(All_Detail_v2[[#This Row],[Qty]]*3))</f>
        <v>0</v>
      </c>
      <c r="Q716" s="195"/>
      <c r="R716" s="414">
        <f>All_Detail_v2[[#This Row],[Scheduled Date]]</f>
        <v>46191</v>
      </c>
      <c r="S716" s="414">
        <f>All_Detail_v2[[#This Row],[Install Date]]</f>
        <v>0</v>
      </c>
    </row>
    <row r="717" spans="1:19">
      <c r="A717">
        <v>713</v>
      </c>
      <c r="B717" s="687" t="s">
        <v>815</v>
      </c>
      <c r="C717" s="689" t="s">
        <v>836</v>
      </c>
      <c r="D717" s="689" t="s">
        <v>41</v>
      </c>
      <c r="E717" s="689" t="s">
        <v>364</v>
      </c>
      <c r="F717" s="689">
        <v>5</v>
      </c>
      <c r="G717" s="689"/>
      <c r="H717" s="695"/>
      <c r="I717" s="695">
        <v>46191</v>
      </c>
      <c r="J717" s="689" t="s">
        <v>365</v>
      </c>
      <c r="K717" t="str">
        <f t="shared" si="37"/>
        <v>AP</v>
      </c>
      <c r="M717" s="412">
        <f t="shared" si="36"/>
        <v>0</v>
      </c>
      <c r="N717" s="412">
        <f t="shared" si="38"/>
        <v>0</v>
      </c>
      <c r="O717" s="412">
        <f>All_Detail_v2[[#This Row],[Qty. Success]]</f>
        <v>0</v>
      </c>
      <c r="P717" s="230">
        <f>IF(All_Detail_v2[[#This Row],[Qty]]=0,1,(M717+N717+O717)/(All_Detail_v2[[#This Row],[Qty]]*3))</f>
        <v>0</v>
      </c>
      <c r="Q717" s="195"/>
      <c r="R717" s="414">
        <f>All_Detail_v2[[#This Row],[Scheduled Date]]</f>
        <v>46191</v>
      </c>
      <c r="S717" s="414">
        <f>All_Detail_v2[[#This Row],[Install Date]]</f>
        <v>0</v>
      </c>
    </row>
    <row r="718" spans="1:19">
      <c r="A718">
        <v>714</v>
      </c>
      <c r="B718" s="687" t="s">
        <v>815</v>
      </c>
      <c r="C718" s="689" t="s">
        <v>836</v>
      </c>
      <c r="D718" s="688" t="s">
        <v>837</v>
      </c>
      <c r="E718" s="689" t="s">
        <v>370</v>
      </c>
      <c r="F718" s="689">
        <v>2</v>
      </c>
      <c r="G718" s="689"/>
      <c r="H718" s="695"/>
      <c r="I718" s="695">
        <v>46192</v>
      </c>
      <c r="J718" s="689" t="s">
        <v>365</v>
      </c>
      <c r="K718" t="str">
        <f t="shared" si="37"/>
        <v>Switch</v>
      </c>
      <c r="M718" s="412">
        <f t="shared" si="36"/>
        <v>0</v>
      </c>
      <c r="N718" s="412">
        <f t="shared" si="38"/>
        <v>0</v>
      </c>
      <c r="O718" s="412">
        <f>All_Detail_v2[[#This Row],[Qty. Success]]</f>
        <v>0</v>
      </c>
      <c r="P718" s="230">
        <f>IF(All_Detail_v2[[#This Row],[Qty]]=0,1,(M718+N718+O718)/(All_Detail_v2[[#This Row],[Qty]]*3))</f>
        <v>0</v>
      </c>
      <c r="Q718" s="195"/>
      <c r="R718" s="414">
        <f>All_Detail_v2[[#This Row],[Scheduled Date]]</f>
        <v>46192</v>
      </c>
      <c r="S718" s="414">
        <f>All_Detail_v2[[#This Row],[Install Date]]</f>
        <v>0</v>
      </c>
    </row>
    <row r="719" spans="1:19">
      <c r="A719">
        <v>715</v>
      </c>
      <c r="B719" s="687" t="s">
        <v>815</v>
      </c>
      <c r="C719" s="689" t="s">
        <v>838</v>
      </c>
      <c r="D719" s="689" t="s">
        <v>41</v>
      </c>
      <c r="E719" s="689" t="s">
        <v>364</v>
      </c>
      <c r="F719" s="689">
        <v>2</v>
      </c>
      <c r="G719" s="689"/>
      <c r="H719" s="695"/>
      <c r="I719" s="695">
        <v>46192</v>
      </c>
      <c r="J719" s="689" t="s">
        <v>365</v>
      </c>
      <c r="K719" t="str">
        <f t="shared" si="37"/>
        <v>AP</v>
      </c>
      <c r="M719" s="412">
        <f t="shared" si="36"/>
        <v>0</v>
      </c>
      <c r="N719" s="412">
        <f t="shared" si="38"/>
        <v>0</v>
      </c>
      <c r="O719" s="412">
        <f>All_Detail_v2[[#This Row],[Qty. Success]]</f>
        <v>0</v>
      </c>
      <c r="P719" s="230">
        <f>IF(All_Detail_v2[[#This Row],[Qty]]=0,1,(M719+N719+O719)/(All_Detail_v2[[#This Row],[Qty]]*3))</f>
        <v>0</v>
      </c>
      <c r="Q719" s="195"/>
      <c r="R719" s="414">
        <f>All_Detail_v2[[#This Row],[Scheduled Date]]</f>
        <v>46192</v>
      </c>
      <c r="S719" s="414">
        <f>All_Detail_v2[[#This Row],[Install Date]]</f>
        <v>0</v>
      </c>
    </row>
    <row r="720" spans="1:19">
      <c r="A720">
        <v>716</v>
      </c>
      <c r="B720" s="687" t="s">
        <v>815</v>
      </c>
      <c r="C720" s="689" t="s">
        <v>838</v>
      </c>
      <c r="D720" s="689" t="s">
        <v>839</v>
      </c>
      <c r="E720" s="689" t="s">
        <v>375</v>
      </c>
      <c r="F720" s="689">
        <v>2</v>
      </c>
      <c r="G720" s="689"/>
      <c r="H720" s="695"/>
      <c r="I720" s="695">
        <v>46192</v>
      </c>
      <c r="J720" s="689" t="s">
        <v>365</v>
      </c>
      <c r="K720" t="str">
        <f t="shared" si="37"/>
        <v>Switch</v>
      </c>
      <c r="M720" s="412">
        <f t="shared" si="36"/>
        <v>0</v>
      </c>
      <c r="N720" s="412">
        <f t="shared" si="38"/>
        <v>0</v>
      </c>
      <c r="O720" s="412">
        <f>All_Detail_v2[[#This Row],[Qty. Success]]</f>
        <v>0</v>
      </c>
      <c r="P720" s="230">
        <f>IF(All_Detail_v2[[#This Row],[Qty]]=0,1,(M720+N720+O720)/(All_Detail_v2[[#This Row],[Qty]]*3))</f>
        <v>0</v>
      </c>
      <c r="Q720" s="195"/>
      <c r="R720" s="414">
        <f>All_Detail_v2[[#This Row],[Scheduled Date]]</f>
        <v>46192</v>
      </c>
      <c r="S720" s="414">
        <f>All_Detail_v2[[#This Row],[Install Date]]</f>
        <v>0</v>
      </c>
    </row>
    <row r="721" spans="1:19">
      <c r="A721">
        <v>717</v>
      </c>
      <c r="B721" s="687" t="s">
        <v>815</v>
      </c>
      <c r="C721" s="689" t="s">
        <v>838</v>
      </c>
      <c r="D721" s="688" t="s">
        <v>840</v>
      </c>
      <c r="E721" s="689" t="s">
        <v>370</v>
      </c>
      <c r="F721" s="689">
        <v>2</v>
      </c>
      <c r="G721" s="689"/>
      <c r="H721" s="695"/>
      <c r="I721" s="695">
        <v>46192</v>
      </c>
      <c r="J721" s="689" t="s">
        <v>365</v>
      </c>
      <c r="K721" t="str">
        <f t="shared" si="37"/>
        <v>Switch</v>
      </c>
      <c r="M721" s="412">
        <f t="shared" si="36"/>
        <v>0</v>
      </c>
      <c r="N721" s="412">
        <f t="shared" si="38"/>
        <v>0</v>
      </c>
      <c r="O721" s="412">
        <f>All_Detail_v2[[#This Row],[Qty. Success]]</f>
        <v>0</v>
      </c>
      <c r="P721" s="230">
        <f>IF(All_Detail_v2[[#This Row],[Qty]]=0,1,(M721+N721+O721)/(All_Detail_v2[[#This Row],[Qty]]*3))</f>
        <v>0</v>
      </c>
      <c r="Q721" s="195"/>
      <c r="R721" s="414">
        <f>All_Detail_v2[[#This Row],[Scheduled Date]]</f>
        <v>46192</v>
      </c>
      <c r="S721" s="414">
        <f>All_Detail_v2[[#This Row],[Install Date]]</f>
        <v>0</v>
      </c>
    </row>
    <row r="722" spans="1:19">
      <c r="A722">
        <v>718</v>
      </c>
      <c r="B722" s="687" t="s">
        <v>815</v>
      </c>
      <c r="C722" s="689" t="s">
        <v>841</v>
      </c>
      <c r="D722" s="689" t="s">
        <v>41</v>
      </c>
      <c r="E722" s="689" t="s">
        <v>364</v>
      </c>
      <c r="F722" s="689">
        <v>3</v>
      </c>
      <c r="G722" s="689"/>
      <c r="H722" s="695"/>
      <c r="I722" s="695">
        <v>46192</v>
      </c>
      <c r="J722" s="689" t="s">
        <v>365</v>
      </c>
      <c r="K722" t="str">
        <f t="shared" si="37"/>
        <v>AP</v>
      </c>
      <c r="M722" s="412">
        <f t="shared" si="36"/>
        <v>0</v>
      </c>
      <c r="N722" s="412">
        <f t="shared" si="38"/>
        <v>0</v>
      </c>
      <c r="O722" s="412">
        <f>All_Detail_v2[[#This Row],[Qty. Success]]</f>
        <v>0</v>
      </c>
      <c r="P722" s="230">
        <f>IF(All_Detail_v2[[#This Row],[Qty]]=0,1,(M722+N722+O722)/(All_Detail_v2[[#This Row],[Qty]]*3))</f>
        <v>0</v>
      </c>
      <c r="Q722" s="195"/>
      <c r="R722" s="414">
        <f>All_Detail_v2[[#This Row],[Scheduled Date]]</f>
        <v>46192</v>
      </c>
      <c r="S722" s="414">
        <f>All_Detail_v2[[#This Row],[Install Date]]</f>
        <v>0</v>
      </c>
    </row>
    <row r="723" spans="1:19">
      <c r="A723">
        <v>719</v>
      </c>
      <c r="B723" s="687" t="s">
        <v>815</v>
      </c>
      <c r="C723" s="689" t="s">
        <v>841</v>
      </c>
      <c r="D723" s="689" t="s">
        <v>842</v>
      </c>
      <c r="E723" s="689" t="s">
        <v>370</v>
      </c>
      <c r="F723" s="689">
        <v>1</v>
      </c>
      <c r="G723" s="689"/>
      <c r="H723" s="695"/>
      <c r="I723" s="695">
        <v>46192</v>
      </c>
      <c r="J723" s="689" t="s">
        <v>365</v>
      </c>
      <c r="K723" t="str">
        <f t="shared" si="37"/>
        <v>Switch</v>
      </c>
      <c r="M723" s="412">
        <f t="shared" si="36"/>
        <v>0</v>
      </c>
      <c r="N723" s="412">
        <f t="shared" si="38"/>
        <v>0</v>
      </c>
      <c r="O723" s="412">
        <f>All_Detail_v2[[#This Row],[Qty. Success]]</f>
        <v>0</v>
      </c>
      <c r="P723" s="230">
        <f>IF(All_Detail_v2[[#This Row],[Qty]]=0,1,(M723+N723+O723)/(All_Detail_v2[[#This Row],[Qty]]*3))</f>
        <v>0</v>
      </c>
      <c r="Q723" s="195"/>
      <c r="R723" s="414">
        <f>All_Detail_v2[[#This Row],[Scheduled Date]]</f>
        <v>46192</v>
      </c>
      <c r="S723" s="414">
        <f>All_Detail_v2[[#This Row],[Install Date]]</f>
        <v>0</v>
      </c>
    </row>
    <row r="724" spans="1:19">
      <c r="A724">
        <v>720</v>
      </c>
      <c r="B724" s="687" t="s">
        <v>815</v>
      </c>
      <c r="C724" s="689" t="s">
        <v>841</v>
      </c>
      <c r="D724" s="688" t="s">
        <v>843</v>
      </c>
      <c r="E724" s="689" t="s">
        <v>375</v>
      </c>
      <c r="F724" s="689">
        <v>1</v>
      </c>
      <c r="G724" s="689"/>
      <c r="H724" s="695"/>
      <c r="I724" s="695">
        <v>46195</v>
      </c>
      <c r="J724" s="689" t="s">
        <v>365</v>
      </c>
      <c r="K724" t="str">
        <f t="shared" si="37"/>
        <v>Switch</v>
      </c>
      <c r="M724" s="412">
        <f t="shared" si="36"/>
        <v>0</v>
      </c>
      <c r="N724" s="412">
        <f t="shared" si="38"/>
        <v>0</v>
      </c>
      <c r="O724" s="412">
        <f>All_Detail_v2[[#This Row],[Qty. Success]]</f>
        <v>0</v>
      </c>
      <c r="P724" s="230">
        <f>IF(All_Detail_v2[[#This Row],[Qty]]=0,1,(M724+N724+O724)/(All_Detail_v2[[#This Row],[Qty]]*3))</f>
        <v>0</v>
      </c>
      <c r="Q724" s="195"/>
      <c r="R724" s="414">
        <f>All_Detail_v2[[#This Row],[Scheduled Date]]</f>
        <v>46195</v>
      </c>
      <c r="S724" s="414">
        <f>All_Detail_v2[[#This Row],[Install Date]]</f>
        <v>0</v>
      </c>
    </row>
    <row r="725" spans="1:19">
      <c r="A725">
        <v>721</v>
      </c>
      <c r="B725" s="687" t="s">
        <v>815</v>
      </c>
      <c r="C725" s="689" t="s">
        <v>844</v>
      </c>
      <c r="D725" s="689" t="s">
        <v>41</v>
      </c>
      <c r="E725" s="689" t="s">
        <v>364</v>
      </c>
      <c r="F725" s="689">
        <v>1</v>
      </c>
      <c r="G725" s="689"/>
      <c r="H725" s="695"/>
      <c r="I725" s="695">
        <v>46195</v>
      </c>
      <c r="J725" s="689" t="s">
        <v>365</v>
      </c>
      <c r="K725" t="str">
        <f t="shared" si="37"/>
        <v>AP</v>
      </c>
      <c r="M725" s="412">
        <f t="shared" si="36"/>
        <v>0</v>
      </c>
      <c r="N725" s="412">
        <f t="shared" si="38"/>
        <v>0</v>
      </c>
      <c r="O725" s="412">
        <f>All_Detail_v2[[#This Row],[Qty. Success]]</f>
        <v>0</v>
      </c>
      <c r="P725" s="230">
        <f>IF(All_Detail_v2[[#This Row],[Qty]]=0,1,(M725+N725+O725)/(All_Detail_v2[[#This Row],[Qty]]*3))</f>
        <v>0</v>
      </c>
      <c r="Q725" s="195"/>
      <c r="R725" s="414">
        <f>All_Detail_v2[[#This Row],[Scheduled Date]]</f>
        <v>46195</v>
      </c>
      <c r="S725" s="414">
        <f>All_Detail_v2[[#This Row],[Install Date]]</f>
        <v>0</v>
      </c>
    </row>
    <row r="726" spans="1:19">
      <c r="A726">
        <v>722</v>
      </c>
      <c r="B726" s="687" t="s">
        <v>815</v>
      </c>
      <c r="C726" s="689" t="s">
        <v>844</v>
      </c>
      <c r="D726" s="689" t="s">
        <v>845</v>
      </c>
      <c r="E726" s="689" t="s">
        <v>370</v>
      </c>
      <c r="F726" s="689">
        <v>1</v>
      </c>
      <c r="G726" s="689"/>
      <c r="H726" s="695"/>
      <c r="I726" s="695">
        <v>46195</v>
      </c>
      <c r="J726" s="689" t="s">
        <v>365</v>
      </c>
      <c r="K726" t="str">
        <f t="shared" si="37"/>
        <v>Switch</v>
      </c>
      <c r="M726" s="412">
        <f t="shared" si="36"/>
        <v>0</v>
      </c>
      <c r="N726" s="412">
        <f t="shared" si="38"/>
        <v>0</v>
      </c>
      <c r="O726" s="412">
        <f>All_Detail_v2[[#This Row],[Qty. Success]]</f>
        <v>0</v>
      </c>
      <c r="P726" s="230">
        <f>IF(All_Detail_v2[[#This Row],[Qty]]=0,1,(M726+N726+O726)/(All_Detail_v2[[#This Row],[Qty]]*3))</f>
        <v>0</v>
      </c>
      <c r="Q726" s="195"/>
      <c r="R726" s="414">
        <f>All_Detail_v2[[#This Row],[Scheduled Date]]</f>
        <v>46195</v>
      </c>
      <c r="S726" s="414">
        <f>All_Detail_v2[[#This Row],[Install Date]]</f>
        <v>0</v>
      </c>
    </row>
    <row r="727" spans="1:19">
      <c r="A727">
        <v>723</v>
      </c>
      <c r="B727" s="687" t="s">
        <v>815</v>
      </c>
      <c r="C727" s="689" t="s">
        <v>844</v>
      </c>
      <c r="D727" s="689" t="s">
        <v>845</v>
      </c>
      <c r="E727" s="689" t="s">
        <v>375</v>
      </c>
      <c r="F727" s="689">
        <v>1</v>
      </c>
      <c r="G727" s="689"/>
      <c r="H727" s="695"/>
      <c r="I727" s="695">
        <v>46195</v>
      </c>
      <c r="J727" s="689" t="s">
        <v>365</v>
      </c>
      <c r="K727" t="str">
        <f t="shared" si="37"/>
        <v>Switch</v>
      </c>
      <c r="M727" s="412">
        <f t="shared" si="36"/>
        <v>0</v>
      </c>
      <c r="N727" s="412">
        <f t="shared" si="38"/>
        <v>0</v>
      </c>
      <c r="O727" s="412">
        <f>All_Detail_v2[[#This Row],[Qty. Success]]</f>
        <v>0</v>
      </c>
      <c r="P727" s="230">
        <f>IF(All_Detail_v2[[#This Row],[Qty]]=0,1,(M727+N727+O727)/(All_Detail_v2[[#This Row],[Qty]]*3))</f>
        <v>0</v>
      </c>
      <c r="Q727" s="195"/>
      <c r="R727" s="414">
        <f>All_Detail_v2[[#This Row],[Scheduled Date]]</f>
        <v>46195</v>
      </c>
      <c r="S727" s="414">
        <f>All_Detail_v2[[#This Row],[Install Date]]</f>
        <v>0</v>
      </c>
    </row>
    <row r="728" spans="1:19">
      <c r="A728">
        <v>724</v>
      </c>
      <c r="B728" s="687" t="s">
        <v>815</v>
      </c>
      <c r="C728" s="689" t="s">
        <v>844</v>
      </c>
      <c r="D728" s="689" t="s">
        <v>846</v>
      </c>
      <c r="E728" s="689" t="s">
        <v>370</v>
      </c>
      <c r="F728" s="689">
        <v>1</v>
      </c>
      <c r="G728" s="689"/>
      <c r="H728" s="695"/>
      <c r="I728" s="695">
        <v>46195</v>
      </c>
      <c r="J728" s="689" t="s">
        <v>365</v>
      </c>
      <c r="K728" t="str">
        <f t="shared" si="37"/>
        <v>Switch</v>
      </c>
      <c r="M728" s="412">
        <f t="shared" si="36"/>
        <v>0</v>
      </c>
      <c r="N728" s="412">
        <f t="shared" si="38"/>
        <v>0</v>
      </c>
      <c r="O728" s="412">
        <f>All_Detail_v2[[#This Row],[Qty. Success]]</f>
        <v>0</v>
      </c>
      <c r="P728" s="230">
        <f>IF(All_Detail_v2[[#This Row],[Qty]]=0,1,(M728+N728+O728)/(All_Detail_v2[[#This Row],[Qty]]*3))</f>
        <v>0</v>
      </c>
      <c r="Q728" s="195"/>
      <c r="R728" s="414">
        <f>All_Detail_v2[[#This Row],[Scheduled Date]]</f>
        <v>46195</v>
      </c>
      <c r="S728" s="414">
        <f>All_Detail_v2[[#This Row],[Install Date]]</f>
        <v>0</v>
      </c>
    </row>
    <row r="729" spans="1:19">
      <c r="A729">
        <v>725</v>
      </c>
      <c r="B729" s="687" t="s">
        <v>815</v>
      </c>
      <c r="C729" s="688" t="s">
        <v>847</v>
      </c>
      <c r="D729" s="689" t="s">
        <v>848</v>
      </c>
      <c r="E729" s="689" t="s">
        <v>370</v>
      </c>
      <c r="F729" s="689">
        <v>1</v>
      </c>
      <c r="G729" s="689"/>
      <c r="H729" s="695"/>
      <c r="I729" s="695">
        <v>46195</v>
      </c>
      <c r="J729" s="689" t="s">
        <v>365</v>
      </c>
      <c r="K729" t="str">
        <f t="shared" si="37"/>
        <v>Switch</v>
      </c>
      <c r="M729" s="412">
        <f t="shared" si="36"/>
        <v>0</v>
      </c>
      <c r="N729" s="412">
        <f t="shared" si="38"/>
        <v>0</v>
      </c>
      <c r="O729" s="412">
        <f>All_Detail_v2[[#This Row],[Qty. Success]]</f>
        <v>0</v>
      </c>
      <c r="P729" s="230">
        <f>IF(All_Detail_v2[[#This Row],[Qty]]=0,1,(M729+N729+O729)/(All_Detail_v2[[#This Row],[Qty]]*3))</f>
        <v>0</v>
      </c>
      <c r="Q729" s="195"/>
      <c r="R729" s="414">
        <f>All_Detail_v2[[#This Row],[Scheduled Date]]</f>
        <v>46195</v>
      </c>
      <c r="S729" s="414">
        <f>All_Detail_v2[[#This Row],[Install Date]]</f>
        <v>0</v>
      </c>
    </row>
    <row r="730" spans="1:19">
      <c r="A730">
        <v>726</v>
      </c>
      <c r="B730" s="687" t="s">
        <v>815</v>
      </c>
      <c r="C730" s="688" t="s">
        <v>847</v>
      </c>
      <c r="D730" s="689" t="s">
        <v>848</v>
      </c>
      <c r="E730" s="689" t="s">
        <v>410</v>
      </c>
      <c r="F730" s="689">
        <v>1</v>
      </c>
      <c r="G730" s="689"/>
      <c r="H730" s="695"/>
      <c r="I730" s="695">
        <v>46195</v>
      </c>
      <c r="J730" s="689" t="s">
        <v>365</v>
      </c>
      <c r="K730" t="str">
        <f t="shared" si="37"/>
        <v>Switch</v>
      </c>
      <c r="M730" s="412">
        <f t="shared" si="36"/>
        <v>0</v>
      </c>
      <c r="N730" s="412">
        <f t="shared" si="38"/>
        <v>0</v>
      </c>
      <c r="O730" s="412">
        <f>All_Detail_v2[[#This Row],[Qty. Success]]</f>
        <v>0</v>
      </c>
      <c r="P730" s="230">
        <f>IF(All_Detail_v2[[#This Row],[Qty]]=0,1,(M730+N730+O730)/(All_Detail_v2[[#This Row],[Qty]]*3))</f>
        <v>0</v>
      </c>
      <c r="Q730" s="195"/>
      <c r="R730" s="414">
        <f>All_Detail_v2[[#This Row],[Scheduled Date]]</f>
        <v>46195</v>
      </c>
      <c r="S730" s="414">
        <f>All_Detail_v2[[#This Row],[Install Date]]</f>
        <v>0</v>
      </c>
    </row>
    <row r="731" spans="1:19">
      <c r="A731">
        <v>727</v>
      </c>
      <c r="B731" s="687" t="s">
        <v>815</v>
      </c>
      <c r="C731" s="688" t="s">
        <v>847</v>
      </c>
      <c r="D731" s="689" t="s">
        <v>849</v>
      </c>
      <c r="E731" s="689" t="s">
        <v>370</v>
      </c>
      <c r="F731" s="689">
        <v>1</v>
      </c>
      <c r="G731" s="689"/>
      <c r="H731" s="695"/>
      <c r="I731" s="695">
        <v>46195</v>
      </c>
      <c r="J731" s="689" t="s">
        <v>365</v>
      </c>
      <c r="K731" t="str">
        <f t="shared" si="37"/>
        <v>Switch</v>
      </c>
      <c r="M731" s="412">
        <f t="shared" si="36"/>
        <v>0</v>
      </c>
      <c r="N731" s="412">
        <f t="shared" si="38"/>
        <v>0</v>
      </c>
      <c r="O731" s="412">
        <f>All_Detail_v2[[#This Row],[Qty. Success]]</f>
        <v>0</v>
      </c>
      <c r="P731" s="230">
        <f>IF(All_Detail_v2[[#This Row],[Qty]]=0,1,(M731+N731+O731)/(All_Detail_v2[[#This Row],[Qty]]*3))</f>
        <v>0</v>
      </c>
      <c r="Q731" s="195"/>
      <c r="R731" s="414">
        <f>All_Detail_v2[[#This Row],[Scheduled Date]]</f>
        <v>46195</v>
      </c>
      <c r="S731" s="414">
        <f>All_Detail_v2[[#This Row],[Install Date]]</f>
        <v>0</v>
      </c>
    </row>
    <row r="732" spans="1:19">
      <c r="A732">
        <v>728</v>
      </c>
      <c r="B732" s="687" t="s">
        <v>815</v>
      </c>
      <c r="C732" s="688" t="s">
        <v>847</v>
      </c>
      <c r="D732" s="688" t="s">
        <v>850</v>
      </c>
      <c r="E732" s="689" t="s">
        <v>375</v>
      </c>
      <c r="F732" s="689">
        <v>1</v>
      </c>
      <c r="G732" s="689"/>
      <c r="H732" s="695"/>
      <c r="I732" s="695">
        <v>46195</v>
      </c>
      <c r="J732" s="689" t="s">
        <v>365</v>
      </c>
      <c r="K732" t="str">
        <f t="shared" si="37"/>
        <v>Switch</v>
      </c>
      <c r="M732" s="412">
        <f t="shared" si="36"/>
        <v>0</v>
      </c>
      <c r="N732" s="412">
        <f t="shared" si="38"/>
        <v>0</v>
      </c>
      <c r="O732" s="412">
        <f>All_Detail_v2[[#This Row],[Qty. Success]]</f>
        <v>0</v>
      </c>
      <c r="P732" s="230">
        <f>IF(All_Detail_v2[[#This Row],[Qty]]=0,1,(M732+N732+O732)/(All_Detail_v2[[#This Row],[Qty]]*3))</f>
        <v>0</v>
      </c>
      <c r="Q732" s="195"/>
      <c r="R732" s="414">
        <f>All_Detail_v2[[#This Row],[Scheduled Date]]</f>
        <v>46195</v>
      </c>
      <c r="S732" s="414">
        <f>All_Detail_v2[[#This Row],[Install Date]]</f>
        <v>0</v>
      </c>
    </row>
    <row r="733" spans="1:19">
      <c r="A733">
        <v>729</v>
      </c>
      <c r="B733" s="687" t="s">
        <v>815</v>
      </c>
      <c r="C733" s="689" t="s">
        <v>851</v>
      </c>
      <c r="D733" s="689" t="s">
        <v>760</v>
      </c>
      <c r="E733" s="689" t="s">
        <v>370</v>
      </c>
      <c r="F733" s="689">
        <v>2</v>
      </c>
      <c r="G733" s="689"/>
      <c r="H733" s="695"/>
      <c r="I733" s="695">
        <v>46195</v>
      </c>
      <c r="J733" s="689" t="s">
        <v>365</v>
      </c>
      <c r="K733" t="str">
        <f t="shared" si="37"/>
        <v>Switch</v>
      </c>
      <c r="M733" s="412">
        <f t="shared" si="36"/>
        <v>0</v>
      </c>
      <c r="N733" s="412">
        <f t="shared" si="38"/>
        <v>0</v>
      </c>
      <c r="O733" s="412">
        <f>All_Detail_v2[[#This Row],[Qty. Success]]</f>
        <v>0</v>
      </c>
      <c r="P733" s="230">
        <f>IF(All_Detail_v2[[#This Row],[Qty]]=0,1,(M733+N733+O733)/(All_Detail_v2[[#This Row],[Qty]]*3))</f>
        <v>0</v>
      </c>
      <c r="Q733" s="195"/>
      <c r="R733" s="414">
        <f>All_Detail_v2[[#This Row],[Scheduled Date]]</f>
        <v>46195</v>
      </c>
      <c r="S733" s="414">
        <f>All_Detail_v2[[#This Row],[Install Date]]</f>
        <v>0</v>
      </c>
    </row>
    <row r="734" spans="1:19">
      <c r="A734">
        <v>730</v>
      </c>
      <c r="B734" s="687" t="s">
        <v>815</v>
      </c>
      <c r="C734" s="689" t="s">
        <v>852</v>
      </c>
      <c r="D734" s="689" t="s">
        <v>853</v>
      </c>
      <c r="E734" s="689" t="s">
        <v>370</v>
      </c>
      <c r="F734" s="689">
        <v>2</v>
      </c>
      <c r="G734" s="689"/>
      <c r="H734" s="695"/>
      <c r="I734" s="695">
        <v>46195</v>
      </c>
      <c r="J734" s="689" t="s">
        <v>365</v>
      </c>
      <c r="K734" t="str">
        <f t="shared" si="37"/>
        <v>Switch</v>
      </c>
      <c r="M734" s="412">
        <f t="shared" si="36"/>
        <v>0</v>
      </c>
      <c r="N734" s="412">
        <f t="shared" si="38"/>
        <v>0</v>
      </c>
      <c r="O734" s="412">
        <f>All_Detail_v2[[#This Row],[Qty. Success]]</f>
        <v>0</v>
      </c>
      <c r="P734" s="230">
        <f>IF(All_Detail_v2[[#This Row],[Qty]]=0,1,(M734+N734+O734)/(All_Detail_v2[[#This Row],[Qty]]*3))</f>
        <v>0</v>
      </c>
      <c r="Q734" s="195"/>
      <c r="R734" s="414">
        <f>All_Detail_v2[[#This Row],[Scheduled Date]]</f>
        <v>46195</v>
      </c>
      <c r="S734" s="414">
        <f>All_Detail_v2[[#This Row],[Install Date]]</f>
        <v>0</v>
      </c>
    </row>
    <row r="735" spans="1:19">
      <c r="A735">
        <v>731</v>
      </c>
      <c r="B735" s="687" t="s">
        <v>815</v>
      </c>
      <c r="C735" s="688" t="s">
        <v>854</v>
      </c>
      <c r="D735" s="689" t="s">
        <v>845</v>
      </c>
      <c r="E735" s="689" t="s">
        <v>410</v>
      </c>
      <c r="F735" s="689">
        <v>2</v>
      </c>
      <c r="G735" s="689"/>
      <c r="H735" s="695"/>
      <c r="I735" s="695">
        <v>46195</v>
      </c>
      <c r="J735" s="689" t="s">
        <v>365</v>
      </c>
      <c r="K735" t="str">
        <f t="shared" si="37"/>
        <v>Switch</v>
      </c>
      <c r="M735" s="412">
        <f t="shared" si="36"/>
        <v>0</v>
      </c>
      <c r="N735" s="412">
        <f t="shared" si="38"/>
        <v>0</v>
      </c>
      <c r="O735" s="412">
        <f>All_Detail_v2[[#This Row],[Qty. Success]]</f>
        <v>0</v>
      </c>
      <c r="P735" s="230">
        <f>IF(All_Detail_v2[[#This Row],[Qty]]=0,1,(M735+N735+O735)/(All_Detail_v2[[#This Row],[Qty]]*3))</f>
        <v>0</v>
      </c>
      <c r="Q735" s="195"/>
      <c r="R735" s="414">
        <f>All_Detail_v2[[#This Row],[Scheduled Date]]</f>
        <v>46195</v>
      </c>
      <c r="S735" s="414">
        <f>All_Detail_v2[[#This Row],[Install Date]]</f>
        <v>0</v>
      </c>
    </row>
    <row r="736" spans="1:19">
      <c r="A736">
        <v>732</v>
      </c>
      <c r="B736" s="687" t="s">
        <v>815</v>
      </c>
      <c r="C736" s="688" t="s">
        <v>855</v>
      </c>
      <c r="D736" s="688" t="s">
        <v>856</v>
      </c>
      <c r="E736" s="689" t="s">
        <v>375</v>
      </c>
      <c r="F736" s="689">
        <v>1</v>
      </c>
      <c r="G736" s="689"/>
      <c r="H736" s="695"/>
      <c r="I736" s="695">
        <v>46195</v>
      </c>
      <c r="J736" s="689" t="s">
        <v>365</v>
      </c>
      <c r="K736" t="str">
        <f t="shared" si="37"/>
        <v>Switch</v>
      </c>
      <c r="M736" s="412">
        <f t="shared" si="36"/>
        <v>0</v>
      </c>
      <c r="N736" s="412">
        <f t="shared" si="38"/>
        <v>0</v>
      </c>
      <c r="O736" s="412">
        <f>All_Detail_v2[[#This Row],[Qty. Success]]</f>
        <v>0</v>
      </c>
      <c r="P736" s="230">
        <f>IF(All_Detail_v2[[#This Row],[Qty]]=0,1,(M736+N736+O736)/(All_Detail_v2[[#This Row],[Qty]]*3))</f>
        <v>0</v>
      </c>
      <c r="Q736" s="195"/>
      <c r="R736" s="414">
        <f>All_Detail_v2[[#This Row],[Scheduled Date]]</f>
        <v>46195</v>
      </c>
      <c r="S736" s="414">
        <f>All_Detail_v2[[#This Row],[Install Date]]</f>
        <v>0</v>
      </c>
    </row>
    <row r="737" spans="1:19">
      <c r="A737">
        <v>733</v>
      </c>
      <c r="B737" s="687" t="s">
        <v>857</v>
      </c>
      <c r="C737" s="689" t="s">
        <v>857</v>
      </c>
      <c r="D737" s="689" t="s">
        <v>824</v>
      </c>
      <c r="E737" s="689" t="s">
        <v>370</v>
      </c>
      <c r="F737" s="689">
        <v>2</v>
      </c>
      <c r="G737" s="689"/>
      <c r="H737" s="695"/>
      <c r="I737" s="695">
        <v>46196</v>
      </c>
      <c r="J737" s="689" t="s">
        <v>365</v>
      </c>
      <c r="K737" t="str">
        <f t="shared" si="37"/>
        <v>Switch</v>
      </c>
      <c r="M737" s="412">
        <f t="shared" si="36"/>
        <v>0</v>
      </c>
      <c r="N737" s="412">
        <f t="shared" si="38"/>
        <v>0</v>
      </c>
      <c r="O737" s="412">
        <f>All_Detail_v2[[#This Row],[Qty. Success]]</f>
        <v>0</v>
      </c>
      <c r="P737" s="230">
        <f>IF(All_Detail_v2[[#This Row],[Qty]]=0,1,(M737+N737+O737)/(All_Detail_v2[[#This Row],[Qty]]*3))</f>
        <v>0</v>
      </c>
      <c r="Q737" s="195"/>
      <c r="R737" s="414">
        <f>All_Detail_v2[[#This Row],[Scheduled Date]]</f>
        <v>46196</v>
      </c>
      <c r="S737" s="414">
        <f>All_Detail_v2[[#This Row],[Install Date]]</f>
        <v>0</v>
      </c>
    </row>
    <row r="738" spans="1:19">
      <c r="A738">
        <v>734</v>
      </c>
      <c r="B738" s="687" t="s">
        <v>857</v>
      </c>
      <c r="C738" s="689" t="s">
        <v>857</v>
      </c>
      <c r="D738" s="689" t="s">
        <v>858</v>
      </c>
      <c r="E738" s="689" t="s">
        <v>567</v>
      </c>
      <c r="F738" s="689">
        <v>2</v>
      </c>
      <c r="G738" s="689"/>
      <c r="H738" s="695"/>
      <c r="I738" s="695">
        <v>46196</v>
      </c>
      <c r="J738" s="689" t="s">
        <v>365</v>
      </c>
      <c r="K738" t="str">
        <f t="shared" si="37"/>
        <v>Switch</v>
      </c>
      <c r="M738" s="412">
        <f t="shared" si="36"/>
        <v>0</v>
      </c>
      <c r="N738" s="412">
        <f t="shared" si="38"/>
        <v>0</v>
      </c>
      <c r="O738" s="412">
        <f>All_Detail_v2[[#This Row],[Qty. Success]]</f>
        <v>0</v>
      </c>
      <c r="P738" s="7">
        <f>IF(All_Detail_v2[[#This Row],[Qty]]=0,1,(M738+N738+O738)/(All_Detail_v2[[#This Row],[Qty]]*3))</f>
        <v>0</v>
      </c>
      <c r="Q738" s="195"/>
      <c r="R738" s="414">
        <f>All_Detail_v2[[#This Row],[Scheduled Date]]</f>
        <v>46196</v>
      </c>
      <c r="S738" s="414">
        <f>All_Detail_v2[[#This Row],[Install Date]]</f>
        <v>0</v>
      </c>
    </row>
    <row r="739" spans="1:19">
      <c r="A739">
        <v>735</v>
      </c>
      <c r="B739" s="687" t="s">
        <v>857</v>
      </c>
      <c r="C739" s="689" t="s">
        <v>857</v>
      </c>
      <c r="D739" s="689" t="s">
        <v>858</v>
      </c>
      <c r="E739" s="689" t="s">
        <v>421</v>
      </c>
      <c r="F739" s="689">
        <v>2</v>
      </c>
      <c r="G739" s="689">
        <v>2</v>
      </c>
      <c r="H739" s="695">
        <v>46063</v>
      </c>
      <c r="I739" s="695">
        <v>46063</v>
      </c>
      <c r="J739" s="689" t="s">
        <v>368</v>
      </c>
      <c r="K739" t="str">
        <f t="shared" si="37"/>
        <v>Infra</v>
      </c>
      <c r="M739" s="412">
        <f t="shared" si="36"/>
        <v>2</v>
      </c>
      <c r="N739" s="412">
        <f t="shared" si="38"/>
        <v>2</v>
      </c>
      <c r="O739" s="412">
        <f>All_Detail_v2[[#This Row],[Qty. Success]]</f>
        <v>2</v>
      </c>
      <c r="P739" s="7">
        <f>IF(All_Detail_v2[[#This Row],[Qty]]=0,1,(M739+N739+O739)/(All_Detail_v2[[#This Row],[Qty]]*3))</f>
        <v>1</v>
      </c>
      <c r="Q739" s="195"/>
      <c r="R739" s="414">
        <f>All_Detail_v2[[#This Row],[Scheduled Date]]</f>
        <v>46063</v>
      </c>
      <c r="S739" s="414">
        <f>All_Detail_v2[[#This Row],[Install Date]]</f>
        <v>46063</v>
      </c>
    </row>
    <row r="740" spans="1:19">
      <c r="A740">
        <v>736</v>
      </c>
      <c r="B740" s="691" t="s">
        <v>857</v>
      </c>
      <c r="C740" s="692" t="s">
        <v>859</v>
      </c>
      <c r="D740" s="692" t="s">
        <v>860</v>
      </c>
      <c r="E740" s="692" t="s">
        <v>370</v>
      </c>
      <c r="F740" s="692">
        <v>2</v>
      </c>
      <c r="G740" s="692"/>
      <c r="H740" s="696"/>
      <c r="I740" s="695">
        <v>46196</v>
      </c>
      <c r="J740" s="692" t="s">
        <v>365</v>
      </c>
      <c r="K740" t="str">
        <f t="shared" si="37"/>
        <v>Switch</v>
      </c>
      <c r="M740" s="412">
        <f t="shared" ref="M740" si="39">O740</f>
        <v>0</v>
      </c>
      <c r="N740" s="412">
        <f t="shared" ref="N740" si="40">O740</f>
        <v>0</v>
      </c>
      <c r="O740" s="412">
        <f>All_Detail_v2[[#This Row],[Qty. Success]]</f>
        <v>0</v>
      </c>
      <c r="P740" s="7">
        <f>IF(All_Detail_v2[[#This Row],[Qty]]=0,1,(M740+N740+O740)/(All_Detail_v2[[#This Row],[Qty]]*3))</f>
        <v>0</v>
      </c>
      <c r="Q740" s="195"/>
      <c r="R740" s="414">
        <f>All_Detail_v2[[#This Row],[Scheduled Date]]</f>
        <v>46196</v>
      </c>
      <c r="S740" s="414">
        <f>All_Detail_v2[[#This Row],[Install Date]]</f>
        <v>0</v>
      </c>
    </row>
    <row r="741" spans="1:19">
      <c r="B741" s="374"/>
      <c r="C741" s="375"/>
      <c r="D741" s="375"/>
      <c r="E741" s="375"/>
      <c r="F741" s="524">
        <f>SUBTOTAL(109,All_Detail_v2[Qty])</f>
        <v>1592</v>
      </c>
      <c r="G741" s="375"/>
      <c r="H741" s="376"/>
      <c r="I741" s="376"/>
      <c r="J741" s="375"/>
      <c r="K741" s="375"/>
      <c r="L741" s="375"/>
      <c r="M741" s="14">
        <f>SUM(M2:M740)/(All_Detail_v2[[#Totals],[Qty]])</f>
        <v>0.28894472361809043</v>
      </c>
      <c r="N741" s="14">
        <f>SUM(N2:N740)/(All_Detail_v2[[#Totals],[Qty]])</f>
        <v>0.28894472361809043</v>
      </c>
      <c r="O741" s="14">
        <f>SUM(O2:O740)/(All_Detail_v2[[#Totals],[Qty]])</f>
        <v>0.28894472361809043</v>
      </c>
      <c r="P741" s="15">
        <f>ROUNDUP(AVERAGE(P2:P740),2)</f>
        <v>0.32</v>
      </c>
    </row>
  </sheetData>
  <autoFilter ref="M1:Q738" xr:uid="{51C6D8CA-DBD0-4AEA-BC88-328C14039933}"/>
  <conditionalFormatting sqref="J2:J740">
    <cfRule type="containsText" dxfId="37" priority="1" operator="containsText" text="Pending">
      <formula>NOT(ISERROR(SEARCH("Pending",J2)))</formula>
    </cfRule>
    <cfRule type="containsText" dxfId="36" priority="2" operator="containsText" text="On Plan">
      <formula>NOT(ISERROR(SEARCH("On Plan",J2)))</formula>
    </cfRule>
    <cfRule type="containsText" dxfId="35" priority="3" operator="containsText" text="Success">
      <formula>NOT(ISERROR(SEARCH("Success",J2)))</formula>
    </cfRule>
  </conditionalFormatting>
  <conditionalFormatting sqref="K2:K740">
    <cfRule type="containsText" dxfId="34" priority="22" operator="containsText" text="Pending">
      <formula>NOT(ISERROR(SEARCH("Pending",K2)))</formula>
    </cfRule>
    <cfRule type="containsText" dxfId="33" priority="23" operator="containsText" text="On Plan">
      <formula>NOT(ISERROR(SEARCH("On Plan",K2)))</formula>
    </cfRule>
    <cfRule type="containsText" dxfId="32" priority="24" operator="containsText" text="Success">
      <formula>NOT(ISERROR(SEARCH("Success",K2)))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99BF-9D53-4790-8A14-A98A1EE3AFB6}">
  <dimension ref="A1:BB82"/>
  <sheetViews>
    <sheetView zoomScale="80" zoomScaleNormal="80" workbookViewId="0">
      <pane xSplit="1" ySplit="5" topLeftCell="I6" activePane="bottomRight" state="frozen"/>
      <selection pane="topRight" activeCell="B1" sqref="B1"/>
      <selection pane="bottomLeft" activeCell="A6" sqref="A6"/>
      <selection pane="bottomRight" activeCell="Q4" sqref="Q4:U4"/>
    </sheetView>
  </sheetViews>
  <sheetFormatPr defaultColWidth="8.6640625" defaultRowHeight="14.4"/>
  <cols>
    <col min="1" max="1" width="35.6640625" style="416" bestFit="1" customWidth="1"/>
    <col min="2" max="21" width="12" style="416" customWidth="1"/>
    <col min="22" max="22" width="16" style="416" customWidth="1"/>
    <col min="23" max="29" width="8.6640625" style="416"/>
    <col min="31" max="53" width="8.6640625" style="416"/>
    <col min="55" max="16384" width="8.6640625" style="416"/>
  </cols>
  <sheetData>
    <row r="1" spans="1:22" ht="30" customHeight="1">
      <c r="A1" s="1149" t="s">
        <v>861</v>
      </c>
      <c r="B1" s="1150"/>
      <c r="C1" s="1150"/>
      <c r="D1" s="1150"/>
      <c r="E1" s="1150"/>
      <c r="F1" s="1150"/>
      <c r="G1" s="1150"/>
      <c r="H1" s="1150"/>
      <c r="I1" s="1150"/>
      <c r="J1" s="1150"/>
      <c r="K1" s="1150"/>
      <c r="L1" s="1150"/>
      <c r="M1" s="1150"/>
      <c r="N1" s="1150"/>
      <c r="O1" s="1150"/>
      <c r="P1" s="1150"/>
      <c r="Q1" s="1150"/>
      <c r="R1" s="1150"/>
      <c r="S1" s="1150"/>
      <c r="T1" s="1150"/>
      <c r="U1" s="1150"/>
      <c r="V1" s="1150"/>
    </row>
    <row r="2" spans="1:22" ht="18" customHeight="1">
      <c r="A2" s="1151" t="s">
        <v>862</v>
      </c>
      <c r="B2" s="1152"/>
      <c r="C2" s="1152"/>
      <c r="D2" s="1152"/>
      <c r="E2" s="1152"/>
      <c r="F2" s="1152"/>
      <c r="G2" s="1152"/>
      <c r="H2" s="1152"/>
      <c r="I2" s="1152"/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</row>
    <row r="3" spans="1:22" ht="4.5" customHeight="1">
      <c r="A3" s="693"/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693"/>
      <c r="R3" s="693"/>
      <c r="S3" s="693"/>
      <c r="T3" s="693"/>
      <c r="U3" s="693"/>
    </row>
    <row r="4" spans="1:22" ht="28.8">
      <c r="A4" s="1155" t="s">
        <v>296</v>
      </c>
      <c r="B4" s="417" t="s">
        <v>863</v>
      </c>
      <c r="C4" s="417" t="s">
        <v>864</v>
      </c>
      <c r="D4" s="417" t="s">
        <v>865</v>
      </c>
      <c r="E4" s="417" t="s">
        <v>866</v>
      </c>
      <c r="F4" s="417" t="s">
        <v>867</v>
      </c>
      <c r="G4" s="417" t="s">
        <v>868</v>
      </c>
      <c r="H4" s="417" t="s">
        <v>869</v>
      </c>
      <c r="I4" s="417" t="s">
        <v>870</v>
      </c>
      <c r="J4" s="417" t="s">
        <v>871</v>
      </c>
      <c r="K4" s="417" t="s">
        <v>872</v>
      </c>
      <c r="L4" s="417" t="s">
        <v>873</v>
      </c>
      <c r="M4" s="417" t="s">
        <v>874</v>
      </c>
      <c r="N4" s="417" t="s">
        <v>875</v>
      </c>
      <c r="O4" s="417" t="s">
        <v>876</v>
      </c>
      <c r="P4" s="417" t="s">
        <v>877</v>
      </c>
      <c r="Q4" s="417" t="s">
        <v>878</v>
      </c>
      <c r="R4" s="417" t="s">
        <v>879</v>
      </c>
      <c r="S4" s="417" t="s">
        <v>880</v>
      </c>
      <c r="T4" s="417" t="s">
        <v>881</v>
      </c>
      <c r="U4" s="417" t="s">
        <v>882</v>
      </c>
      <c r="V4" s="1129" t="s">
        <v>311</v>
      </c>
    </row>
    <row r="5" spans="1:22" ht="4.5" customHeight="1">
      <c r="A5" s="1155"/>
      <c r="V5" s="1148"/>
    </row>
    <row r="6" spans="1:22" ht="21.75" customHeight="1">
      <c r="A6" s="1153" t="s">
        <v>312</v>
      </c>
      <c r="B6" s="1154"/>
      <c r="C6" s="1154"/>
      <c r="D6" s="1154"/>
      <c r="E6" s="1154"/>
      <c r="F6" s="1154"/>
      <c r="G6" s="1154"/>
      <c r="H6" s="1154"/>
      <c r="I6" s="1154"/>
      <c r="J6" s="1154"/>
      <c r="K6" s="1154"/>
      <c r="L6" s="1154"/>
      <c r="M6" s="1154"/>
      <c r="N6" s="1154"/>
      <c r="O6" s="1154"/>
      <c r="P6" s="1154"/>
      <c r="Q6" s="1154"/>
      <c r="R6" s="1154"/>
      <c r="S6" s="1154"/>
      <c r="T6" s="1154"/>
      <c r="U6" s="1154"/>
      <c r="V6" s="1154"/>
    </row>
    <row r="7" spans="1:22" ht="19.5" customHeight="1">
      <c r="A7" s="418" t="s">
        <v>313</v>
      </c>
      <c r="B7" s="419" cm="1">
        <f t="array" ref="B7">SUMPRODUCT((SVB!$R$2:$R$740&gt;=B80)*(SVB!$R$2:$R$740&lt;=B81)*(ISNUMBER(SVB!$F$2:$F$740))*(SVB!$F$2:$F$740))</f>
        <v>153</v>
      </c>
      <c r="C7" s="419" cm="1">
        <f t="array" ref="C7">SUMPRODUCT((SVB!$R$2:$R$740&gt;=C80)*(SVB!$R$2:$R$740&lt;=C81)*(ISNUMBER(SVB!$F$2:$F$740))*(SVB!$F$2:$F$740))</f>
        <v>69</v>
      </c>
      <c r="D7" s="419" cm="1">
        <f t="array" ref="D7">SUMPRODUCT((SVB!$R$2:$R$740&gt;=D80)*(SVB!$R$2:$R$740&lt;=D81)*(ISNUMBER(SVB!$F$2:$F$740))*(SVB!$F$2:$F$740))</f>
        <v>66</v>
      </c>
      <c r="E7" s="419" cm="1">
        <f t="array" ref="E7">SUMPRODUCT((SVB!$R$2:$R$740&gt;=E80)*(SVB!$R$2:$R$740&lt;=E81)*(ISNUMBER(SVB!$F$2:$F$740))*(SVB!$F$2:$F$740))</f>
        <v>53</v>
      </c>
      <c r="F7" s="419" cm="1">
        <f t="array" ref="F7">SUMPRODUCT((SVB!$R$2:$R$740&gt;=F80)*(SVB!$R$2:$R$740&lt;=F81)*(ISNUMBER(SVB!$F$2:$F$740))*(SVB!$F$2:$F$740))</f>
        <v>101</v>
      </c>
      <c r="G7" s="419" cm="1">
        <f t="array" ref="G7">SUMPRODUCT((SVB!$R$2:$R$740&gt;=G80)*(SVB!$R$2:$R$740&lt;=G81)*(ISNUMBER(SVB!$F$2:$F$740))*(SVB!$F$2:$F$740))</f>
        <v>241</v>
      </c>
      <c r="H7" s="419" cm="1">
        <f t="array" ref="H7">SUMPRODUCT((SVB!$R$2:$R$740&gt;=H80)*(SVB!$R$2:$R$740&lt;=H81)*(ISNUMBER(SVB!$F$2:$F$740))*(SVB!$F$2:$F$740))</f>
        <v>49</v>
      </c>
      <c r="I7" s="419" cm="1">
        <f t="array" ref="I7">SUMPRODUCT((SVB!$R$2:$R$740&gt;=I80)*(SVB!$R$2:$R$740&lt;=I81)*(ISNUMBER(SVB!$F$2:$F$740))*(SVB!$F$2:$F$740))</f>
        <v>50</v>
      </c>
      <c r="J7" s="419" cm="1">
        <f t="array" ref="J7">SUMPRODUCT((SVB!$R$2:$R$740&gt;=J80)*(SVB!$R$2:$R$740&lt;=J81)*(ISNUMBER(SVB!$F$2:$F$740))*(SVB!$F$2:$F$740))</f>
        <v>31</v>
      </c>
      <c r="K7" s="419" cm="1">
        <f t="array" ref="K7">SUMPRODUCT((SVB!$R$2:$R$740&gt;=K80)*(SVB!$R$2:$R$740&lt;=K81)*(ISNUMBER(SVB!$F$2:$F$740))*(SVB!$F$2:$F$740))</f>
        <v>86</v>
      </c>
      <c r="L7" s="419" cm="1">
        <f t="array" ref="L7">SUMPRODUCT((SVB!$R$2:$R$740&gt;=L80)*(SVB!$R$2:$R$740&lt;=L81)*(ISNUMBER(SVB!$F$2:$F$740))*(SVB!$F$2:$F$740))</f>
        <v>93</v>
      </c>
      <c r="M7" s="419" cm="1">
        <f t="array" ref="M7">SUMPRODUCT((SVB!$R$2:$R$740&gt;=M80)*(SVB!$R$2:$R$740&lt;=M81)*(ISNUMBER(SVB!$F$2:$F$740))*(SVB!$F$2:$F$740))</f>
        <v>97</v>
      </c>
      <c r="N7" s="419" cm="1">
        <f t="array" ref="N7">SUMPRODUCT((SVB!$R$2:$R$740&gt;=N80)*(SVB!$R$2:$R$740&lt;=N81)*(ISNUMBER(SVB!$F$2:$F$740))*(SVB!$F$2:$F$740))</f>
        <v>50</v>
      </c>
      <c r="O7" s="419" cm="1">
        <f t="array" ref="O7">SUMPRODUCT((SVB!$R$2:$R$740&gt;=O80)*(SVB!$R$2:$R$740&lt;=O81)*(ISNUMBER(SVB!$F$2:$F$740))*(SVB!$F$2:$F$740))</f>
        <v>58</v>
      </c>
      <c r="P7" s="419" cm="1">
        <f t="array" ref="P7">SUMPRODUCT((SVB!$R$2:$R$740&gt;=P80)*(SVB!$R$2:$R$740&lt;=P81)*(ISNUMBER(SVB!$F$2:$F$740))*(SVB!$F$2:$F$740))</f>
        <v>77</v>
      </c>
      <c r="Q7" s="419" cm="1">
        <f t="array" ref="Q7">SUMPRODUCT((SVB!$R$2:$R$740&gt;=Q80)*(SVB!$R$2:$R$740&lt;=Q81)*(ISNUMBER(SVB!$F$2:$F$740))*(SVB!$F$2:$F$740))</f>
        <v>99</v>
      </c>
      <c r="R7" s="419" cm="1">
        <f t="array" ref="R7">SUMPRODUCT((SVB!$R$2:$R$740&gt;=R80)*(SVB!$R$2:$R$740&lt;=R81)*(ISNUMBER(SVB!$F$2:$F$740))*(SVB!$F$2:$F$740))</f>
        <v>99</v>
      </c>
      <c r="S7" s="419" cm="1">
        <f t="array" ref="S7">SUMPRODUCT((SVB!$R$2:$R$740&gt;=S80)*(SVB!$R$2:$R$740&lt;=S81)*(ISNUMBER(SVB!$F$2:$F$740))*(SVB!$F$2:$F$740))</f>
        <v>97</v>
      </c>
      <c r="T7" s="419" cm="1">
        <f t="array" ref="T7">SUMPRODUCT((SVB!$R$2:$R$740&gt;=T80)*(SVB!$R$2:$R$740&lt;=T81)*(ISNUMBER(SVB!$F$2:$F$740))*(SVB!$F$2:$F$740))</f>
        <v>23</v>
      </c>
      <c r="U7" s="419" cm="1">
        <f t="array" ref="U7">SUMPRODUCT((SVB!$R$2:$R$740&gt;=U80)*(SVB!$R$2:$R$740&lt;=U81)*(ISNUMBER(SVB!$F$2:$F$740))*(SVB!$F$2:$F$740))</f>
        <v>0</v>
      </c>
      <c r="V7" s="420" cm="1">
        <f t="array" ref="V7">SUMPRODUCT((SVB!$B$2:$B$740&lt;&gt;"")*(ISNUMBER(SVB!$F$2:$F$740))*(SVB!$F$2:$F$740))</f>
        <v>1592</v>
      </c>
    </row>
    <row r="8" spans="1:22" ht="19.5" customHeight="1">
      <c r="A8" s="421" t="s">
        <v>314</v>
      </c>
      <c r="B8" s="422">
        <f>IF(B7=0,"-",B7/$V$7)</f>
        <v>9.6105527638190955E-2</v>
      </c>
      <c r="C8" s="422">
        <f t="shared" ref="C8:U8" si="0">IF(C7=0,"-",C7/$V$7)</f>
        <v>4.3341708542713568E-2</v>
      </c>
      <c r="D8" s="422">
        <f t="shared" si="0"/>
        <v>4.1457286432160803E-2</v>
      </c>
      <c r="E8" s="422">
        <f t="shared" si="0"/>
        <v>3.3291457286432159E-2</v>
      </c>
      <c r="F8" s="422">
        <f t="shared" si="0"/>
        <v>6.3442211055276379E-2</v>
      </c>
      <c r="G8" s="422">
        <f t="shared" si="0"/>
        <v>0.1513819095477387</v>
      </c>
      <c r="H8" s="422">
        <f t="shared" si="0"/>
        <v>3.077889447236181E-2</v>
      </c>
      <c r="I8" s="422">
        <f t="shared" si="0"/>
        <v>3.1407035175879394E-2</v>
      </c>
      <c r="J8" s="422">
        <f t="shared" si="0"/>
        <v>1.9472361809045227E-2</v>
      </c>
      <c r="K8" s="422">
        <f t="shared" si="0"/>
        <v>5.4020100502512561E-2</v>
      </c>
      <c r="L8" s="422">
        <f t="shared" si="0"/>
        <v>5.8417085427135682E-2</v>
      </c>
      <c r="M8" s="422">
        <f t="shared" si="0"/>
        <v>6.092964824120603E-2</v>
      </c>
      <c r="N8" s="422">
        <f t="shared" si="0"/>
        <v>3.1407035175879394E-2</v>
      </c>
      <c r="O8" s="422">
        <f t="shared" si="0"/>
        <v>3.6432160804020099E-2</v>
      </c>
      <c r="P8" s="422">
        <f t="shared" si="0"/>
        <v>4.8366834170854273E-2</v>
      </c>
      <c r="Q8" s="422">
        <f t="shared" si="0"/>
        <v>6.2185929648241205E-2</v>
      </c>
      <c r="R8" s="422">
        <f t="shared" si="0"/>
        <v>6.2185929648241205E-2</v>
      </c>
      <c r="S8" s="422">
        <f t="shared" si="0"/>
        <v>6.092964824120603E-2</v>
      </c>
      <c r="T8" s="422">
        <f t="shared" si="0"/>
        <v>1.4447236180904523E-2</v>
      </c>
      <c r="U8" s="422" t="str">
        <f t="shared" si="0"/>
        <v>-</v>
      </c>
      <c r="V8" s="423">
        <f>SUM(B8:U8)</f>
        <v>1.0000000000000002</v>
      </c>
    </row>
    <row r="9" spans="1:22" ht="4.5" customHeight="1"/>
    <row r="10" spans="1:22" ht="21.75" customHeight="1">
      <c r="A10" s="1153" t="s">
        <v>883</v>
      </c>
      <c r="B10" s="1154"/>
      <c r="C10" s="1154"/>
      <c r="D10" s="1154"/>
      <c r="E10" s="1154"/>
      <c r="F10" s="1154"/>
      <c r="G10" s="1154"/>
      <c r="H10" s="1154"/>
      <c r="I10" s="1154"/>
      <c r="J10" s="1154"/>
      <c r="K10" s="1154"/>
      <c r="L10" s="1154"/>
      <c r="M10" s="1154"/>
      <c r="N10" s="1154"/>
      <c r="O10" s="1154"/>
      <c r="P10" s="1154"/>
      <c r="Q10" s="1154"/>
      <c r="R10" s="1154"/>
      <c r="S10" s="1154"/>
      <c r="T10" s="1154"/>
      <c r="U10" s="1154"/>
      <c r="V10" s="1154"/>
    </row>
    <row r="11" spans="1:22" ht="19.5" customHeight="1">
      <c r="A11" s="418" t="s">
        <v>884</v>
      </c>
      <c r="B11" s="419" cm="1">
        <f t="array" ref="B11">SUMPRODUCT((SVB!$R$2:$R$740&gt;=B80)*(SVB!$R$2:$R$740&lt;=B81)*(SVB!$K$2:$K$740="Switch")*(ISNUMBER(SVB!$F$2:$F$740))*(SVB!$F$2:$F$740))</f>
        <v>88</v>
      </c>
      <c r="C11" s="419" cm="1">
        <f t="array" ref="C11">SUMPRODUCT((SVB!$R$2:$R$740&gt;=C80)*(SVB!$R$2:$R$740&lt;=C81)*(SVB!$K$2:$K$740="Switch")*(ISNUMBER(SVB!$F$2:$F$740))*(SVB!$F$2:$F$740))</f>
        <v>45</v>
      </c>
      <c r="D11" s="419" cm="1">
        <f t="array" ref="D11">SUMPRODUCT((SVB!$R$2:$R$740&gt;=D80)*(SVB!$R$2:$R$740&lt;=D81)*(SVB!$K$2:$K$740="Switch")*(ISNUMBER(SVB!$F$2:$F$740))*(SVB!$F$2:$F$740))</f>
        <v>64</v>
      </c>
      <c r="E11" s="419" cm="1">
        <f t="array" ref="E11">SUMPRODUCT((SVB!$R$2:$R$740&gt;=E80)*(SVB!$R$2:$R$740&lt;=E81)*(SVB!$K$2:$K$740="Switch")*(ISNUMBER(SVB!$F$2:$F$740))*(SVB!$F$2:$F$740))</f>
        <v>53</v>
      </c>
      <c r="F11" s="419" cm="1">
        <f t="array" ref="F11">SUMPRODUCT((SVB!$R$2:$R$740&gt;=F80)*(SVB!$R$2:$R$740&lt;=F81)*(SVB!$K$2:$K$740="Switch")*(ISNUMBER(SVB!$F$2:$F$740))*(SVB!$F$2:$F$740))</f>
        <v>101</v>
      </c>
      <c r="G11" s="419" cm="1">
        <f t="array" ref="G11">SUMPRODUCT((SVB!$R$2:$R$740&gt;=G80)*(SVB!$R$2:$R$740&lt;=G81)*(SVB!$K$2:$K$740="Switch")*(ISNUMBER(SVB!$F$2:$F$740))*(SVB!$F$2:$F$740))</f>
        <v>62</v>
      </c>
      <c r="H11" s="419" cm="1">
        <f t="array" ref="H11">SUMPRODUCT((SVB!$R$2:$R$740&gt;=H80)*(SVB!$R$2:$R$740&lt;=H81)*(SVB!$K$2:$K$740="Switch")*(ISNUMBER(SVB!$F$2:$F$740))*(SVB!$F$2:$F$740))</f>
        <v>30</v>
      </c>
      <c r="I11" s="419" cm="1">
        <f t="array" ref="I11">SUMPRODUCT((SVB!$R$2:$R$740&gt;=I80)*(SVB!$R$2:$R$740&lt;=I81)*(SVB!$K$2:$K$740="Switch")*(ISNUMBER(SVB!$F$2:$F$740))*(SVB!$F$2:$F$740))</f>
        <v>35</v>
      </c>
      <c r="J11" s="419" cm="1">
        <f t="array" ref="J11">SUMPRODUCT((SVB!$R$2:$R$740&gt;=J80)*(SVB!$R$2:$R$740&lt;=J81)*(SVB!$K$2:$K$740="Switch")*(ISNUMBER(SVB!$F$2:$F$740))*(SVB!$F$2:$F$740))</f>
        <v>31</v>
      </c>
      <c r="K11" s="419" cm="1">
        <f t="array" ref="K11">SUMPRODUCT((SVB!$R$2:$R$740&gt;=K80)*(SVB!$R$2:$R$740&lt;=K81)*(SVB!$K$2:$K$740="Switch")*(ISNUMBER(SVB!$F$2:$F$740))*(SVB!$F$2:$F$740))</f>
        <v>49</v>
      </c>
      <c r="L11" s="419" cm="1">
        <f t="array" ref="L11">SUMPRODUCT((SVB!$R$2:$R$740&gt;=L80)*(SVB!$R$2:$R$740&lt;=L81)*(SVB!$K$2:$K$740="Switch")*(ISNUMBER(SVB!$F$2:$F$740))*(SVB!$F$2:$F$740))</f>
        <v>49</v>
      </c>
      <c r="M11" s="419" cm="1">
        <f t="array" ref="M11">SUMPRODUCT((SVB!$R$2:$R$740&gt;=M80)*(SVB!$R$2:$R$740&lt;=M81)*(SVB!$K$2:$K$740="Switch")*(ISNUMBER(SVB!$F$2:$F$740))*(SVB!$F$2:$F$740))</f>
        <v>97</v>
      </c>
      <c r="N11" s="419" cm="1">
        <f t="array" ref="N11">SUMPRODUCT((SVB!$R$2:$R$740&gt;=N80)*(SVB!$R$2:$R$740&lt;=N81)*(SVB!$K$2:$K$740="Switch")*(ISNUMBER(SVB!$F$2:$F$740))*(SVB!$F$2:$F$740))</f>
        <v>50</v>
      </c>
      <c r="O11" s="419" cm="1">
        <f t="array" ref="O11">SUMPRODUCT((SVB!$R$2:$R$740&gt;=O80)*(SVB!$R$2:$R$740&lt;=O81)*(SVB!$K$2:$K$740="Switch")*(ISNUMBER(SVB!$F$2:$F$740))*(SVB!$F$2:$F$740))</f>
        <v>58</v>
      </c>
      <c r="P11" s="419" cm="1">
        <f t="array" ref="P11">SUMPRODUCT((SVB!$R$2:$R$740&gt;=P80)*(SVB!$R$2:$R$740&lt;=P81)*(SVB!$K$2:$K$740="Switch")*(ISNUMBER(SVB!$F$2:$F$740))*(SVB!$F$2:$F$740))</f>
        <v>77</v>
      </c>
      <c r="Q11" s="419" cm="1">
        <f t="array" ref="Q11">SUMPRODUCT((SVB!$R$2:$R$740&gt;=Q80)*(SVB!$R$2:$R$740&lt;=Q81)*(SVB!$K$2:$K$740="Switch")*(ISNUMBER(SVB!$F$2:$F$740))*(SVB!$F$2:$F$740))</f>
        <v>88</v>
      </c>
      <c r="R11" s="419" cm="1">
        <f t="array" ref="R11">SUMPRODUCT((SVB!$R$2:$R$740&gt;=R80)*(SVB!$R$2:$R$740&lt;=R81)*(SVB!$K$2:$K$740="Switch")*(ISNUMBER(SVB!$F$2:$F$740))*(SVB!$F$2:$F$740))</f>
        <v>67</v>
      </c>
      <c r="S11" s="419" cm="1">
        <f t="array" ref="S11">SUMPRODUCT((SVB!$R$2:$R$740&gt;=S80)*(SVB!$R$2:$R$740&lt;=S81)*(SVB!$K$2:$K$740="Switch")*(ISNUMBER(SVB!$F$2:$F$740))*(SVB!$F$2:$F$740))</f>
        <v>55</v>
      </c>
      <c r="T11" s="419" cm="1">
        <f t="array" ref="T11">SUMPRODUCT((SVB!$R$2:$R$740&gt;=T80)*(SVB!$R$2:$R$740&lt;=T81)*(SVB!$K$2:$K$740="Switch")*(ISNUMBER(SVB!$F$2:$F$740))*(SVB!$F$2:$F$740))</f>
        <v>22</v>
      </c>
      <c r="U11" s="419" cm="1">
        <f t="array" ref="U11">SUMPRODUCT((SVB!$R$2:$R$740&gt;=U80)*(SVB!$R$2:$R$740&lt;=U81)*(SVB!$K$2:$K$740="Switch")*(ISNUMBER(SVB!$F$2:$F$740))*(SVB!$F$2:$F$740))</f>
        <v>0</v>
      </c>
      <c r="V11" s="420" cm="1">
        <f t="array" ref="V11">SUMPRODUCT((SVB!$B$2:$B$740&lt;&gt;"")*(SVB!$K$2:$K$740="Switch")*(ISNUMBER(SVB!$F$2:$F$740))*(SVB!$F$2:$F$740))</f>
        <v>1121</v>
      </c>
    </row>
    <row r="12" spans="1:22" ht="19.5" customHeight="1">
      <c r="A12" s="421" t="s">
        <v>885</v>
      </c>
      <c r="B12" s="422">
        <f>IF(B11=0,"-",B11/$V$11)</f>
        <v>7.8501338090990191E-2</v>
      </c>
      <c r="C12" s="422">
        <f t="shared" ref="C12:U12" si="1">IF(C11=0,"-",C11/$V$11)</f>
        <v>4.0142729705619981E-2</v>
      </c>
      <c r="D12" s="422">
        <f t="shared" si="1"/>
        <v>5.7091882247992866E-2</v>
      </c>
      <c r="E12" s="422">
        <f t="shared" si="1"/>
        <v>4.7279214986619092E-2</v>
      </c>
      <c r="F12" s="422">
        <f t="shared" si="1"/>
        <v>9.0098126672613743E-2</v>
      </c>
      <c r="G12" s="422">
        <f t="shared" si="1"/>
        <v>5.5307760927743088E-2</v>
      </c>
      <c r="H12" s="422">
        <f t="shared" si="1"/>
        <v>2.6761819803746655E-2</v>
      </c>
      <c r="I12" s="422">
        <f t="shared" si="1"/>
        <v>3.1222123104371096E-2</v>
      </c>
      <c r="J12" s="422">
        <f t="shared" si="1"/>
        <v>2.7653880463871544E-2</v>
      </c>
      <c r="K12" s="422">
        <f t="shared" si="1"/>
        <v>4.3710972346119537E-2</v>
      </c>
      <c r="L12" s="422">
        <f t="shared" si="1"/>
        <v>4.3710972346119537E-2</v>
      </c>
      <c r="M12" s="422">
        <f t="shared" si="1"/>
        <v>8.6529884032114188E-2</v>
      </c>
      <c r="N12" s="422">
        <f t="shared" si="1"/>
        <v>4.4603033006244422E-2</v>
      </c>
      <c r="O12" s="422">
        <f t="shared" si="1"/>
        <v>5.1739518287243533E-2</v>
      </c>
      <c r="P12" s="422">
        <f t="shared" si="1"/>
        <v>6.8688670829616411E-2</v>
      </c>
      <c r="Q12" s="422">
        <f t="shared" si="1"/>
        <v>7.8501338090990191E-2</v>
      </c>
      <c r="R12" s="422">
        <f t="shared" si="1"/>
        <v>5.9768064228367529E-2</v>
      </c>
      <c r="S12" s="422">
        <f t="shared" si="1"/>
        <v>4.906333630686887E-2</v>
      </c>
      <c r="T12" s="422">
        <f t="shared" si="1"/>
        <v>1.9625334522747548E-2</v>
      </c>
      <c r="U12" s="422" t="str">
        <f t="shared" si="1"/>
        <v>-</v>
      </c>
      <c r="V12" s="423">
        <f>SUM(B12:U12)</f>
        <v>1</v>
      </c>
    </row>
    <row r="13" spans="1:22" ht="4.5" customHeight="1"/>
    <row r="14" spans="1:22" ht="21.75" customHeight="1">
      <c r="A14" s="1153" t="s">
        <v>886</v>
      </c>
      <c r="B14" s="1154"/>
      <c r="C14" s="1154"/>
      <c r="D14" s="1154"/>
      <c r="E14" s="1154"/>
      <c r="F14" s="1154"/>
      <c r="G14" s="1154"/>
      <c r="H14" s="1154"/>
      <c r="I14" s="1154"/>
      <c r="J14" s="1154"/>
      <c r="K14" s="1154"/>
      <c r="L14" s="1154"/>
      <c r="M14" s="1154"/>
      <c r="N14" s="1154"/>
      <c r="O14" s="1154"/>
      <c r="P14" s="1154"/>
      <c r="Q14" s="1154"/>
      <c r="R14" s="1154"/>
      <c r="S14" s="1154"/>
      <c r="T14" s="1154"/>
      <c r="U14" s="1154"/>
      <c r="V14" s="1154"/>
    </row>
    <row r="15" spans="1:22" ht="19.5" customHeight="1">
      <c r="A15" s="418" t="s">
        <v>887</v>
      </c>
      <c r="B15" s="419" cm="1">
        <f t="array" ref="B15">SUMPRODUCT((SVB!$R$2:$R$740&gt;=B80)*(SVB!$R$2:$R$740&lt;=B81)*(SVB!$K$2:$K$740="AP")*(ISNUMBER(SVB!$F$2:$F$740))*(SVB!$F$2:$F$740))</f>
        <v>43</v>
      </c>
      <c r="C15" s="419" cm="1">
        <f t="array" ref="C15">SUMPRODUCT((SVB!$R$2:$R$740&gt;=C80)*(SVB!$R$2:$R$740&lt;=C81)*(SVB!$K$2:$K$740="AP")*(ISNUMBER(SVB!$F$2:$F$740))*(SVB!$F$2:$F$740))</f>
        <v>24</v>
      </c>
      <c r="D15" s="419" cm="1">
        <f t="array" ref="D15">SUMPRODUCT((SVB!$R$2:$R$740&gt;=D80)*(SVB!$R$2:$R$740&lt;=D81)*(SVB!$K$2:$K$740="AP")*(ISNUMBER(SVB!$F$2:$F$740))*(SVB!$F$2:$F$740))</f>
        <v>0</v>
      </c>
      <c r="E15" s="419" cm="1">
        <f t="array" ref="E15">SUMPRODUCT((SVB!$R$2:$R$740&gt;=E80)*(SVB!$R$2:$R$740&lt;=E81)*(SVB!$K$2:$K$740="AP")*(ISNUMBER(SVB!$F$2:$F$740))*(SVB!$F$2:$F$740))</f>
        <v>0</v>
      </c>
      <c r="F15" s="419" cm="1">
        <f t="array" ref="F15">SUMPRODUCT((SVB!$R$2:$R$740&gt;=F80)*(SVB!$R$2:$R$740&lt;=F81)*(SVB!$K$2:$K$740="AP")*(ISNUMBER(SVB!$F$2:$F$740))*(SVB!$F$2:$F$740))</f>
        <v>0</v>
      </c>
      <c r="G15" s="419" cm="1">
        <f t="array" ref="G15">SUMPRODUCT((SVB!$R$2:$R$740&gt;=G80)*(SVB!$R$2:$R$740&lt;=G81)*(SVB!$K$2:$K$740="AP")*(ISNUMBER(SVB!$F$2:$F$740))*(SVB!$F$2:$F$740))</f>
        <v>177</v>
      </c>
      <c r="H15" s="419" cm="1">
        <f t="array" ref="H15">SUMPRODUCT((SVB!$R$2:$R$740&gt;=H80)*(SVB!$R$2:$R$740&lt;=H81)*(SVB!$K$2:$K$740="AP")*(ISNUMBER(SVB!$F$2:$F$740))*(SVB!$F$2:$F$740))</f>
        <v>19</v>
      </c>
      <c r="I15" s="419" cm="1">
        <f t="array" ref="I15">SUMPRODUCT((SVB!$R$2:$R$740&gt;=I80)*(SVB!$R$2:$R$740&lt;=I81)*(SVB!$K$2:$K$740="AP")*(ISNUMBER(SVB!$F$2:$F$740))*(SVB!$F$2:$F$740))</f>
        <v>15</v>
      </c>
      <c r="J15" s="419" cm="1">
        <f t="array" ref="J15">SUMPRODUCT((SVB!$R$2:$R$740&gt;=J80)*(SVB!$R$2:$R$740&lt;=J81)*(SVB!$K$2:$K$740="AP")*(ISNUMBER(SVB!$F$2:$F$740))*(SVB!$F$2:$F$740))</f>
        <v>0</v>
      </c>
      <c r="K15" s="419" cm="1">
        <f t="array" ref="K15">SUMPRODUCT((SVB!$R$2:$R$740&gt;=K80)*(SVB!$R$2:$R$740&lt;=K81)*(SVB!$K$2:$K$740="AP")*(ISNUMBER(SVB!$F$2:$F$740))*(SVB!$F$2:$F$740))</f>
        <v>37</v>
      </c>
      <c r="L15" s="419" cm="1">
        <f t="array" ref="L15">SUMPRODUCT((SVB!$R$2:$R$740&gt;=L80)*(SVB!$R$2:$R$740&lt;=L81)*(SVB!$K$2:$K$740="AP")*(ISNUMBER(SVB!$F$2:$F$740))*(SVB!$F$2:$F$740))</f>
        <v>44</v>
      </c>
      <c r="M15" s="419" cm="1">
        <f t="array" ref="M15">SUMPRODUCT((SVB!$R$2:$R$740&gt;=M80)*(SVB!$R$2:$R$740&lt;=M81)*(SVB!$K$2:$K$740="AP")*(ISNUMBER(SVB!$F$2:$F$740))*(SVB!$F$2:$F$740))</f>
        <v>0</v>
      </c>
      <c r="N15" s="419" cm="1">
        <f t="array" ref="N15">SUMPRODUCT((SVB!$R$2:$R$740&gt;=N80)*(SVB!$R$2:$R$740&lt;=N81)*(SVB!$K$2:$K$740="AP")*(ISNUMBER(SVB!$F$2:$F$740))*(SVB!$F$2:$F$740))</f>
        <v>0</v>
      </c>
      <c r="O15" s="419" cm="1">
        <f t="array" ref="O15">SUMPRODUCT((SVB!$R$2:$R$740&gt;=O80)*(SVB!$R$2:$R$740&lt;=O81)*(SVB!$K$2:$K$740="AP")*(ISNUMBER(SVB!$F$2:$F$740))*(SVB!$F$2:$F$740))</f>
        <v>0</v>
      </c>
      <c r="P15" s="419" cm="1">
        <f t="array" ref="P15">SUMPRODUCT((SVB!$R$2:$R$740&gt;=P80)*(SVB!$R$2:$R$740&lt;=P81)*(SVB!$K$2:$K$740="AP")*(ISNUMBER(SVB!$F$2:$F$740))*(SVB!$F$2:$F$740))</f>
        <v>0</v>
      </c>
      <c r="Q15" s="419" cm="1">
        <f t="array" ref="Q15">SUMPRODUCT((SVB!$R$2:$R$740&gt;=Q80)*(SVB!$R$2:$R$740&lt;=Q81)*(SVB!$K$2:$K$740="AP")*(ISNUMBER(SVB!$F$2:$F$740))*(SVB!$F$2:$F$740))</f>
        <v>11</v>
      </c>
      <c r="R15" s="419" cm="1">
        <f t="array" ref="R15">SUMPRODUCT((SVB!$R$2:$R$740&gt;=R80)*(SVB!$R$2:$R$740&lt;=R81)*(SVB!$K$2:$K$740="AP")*(ISNUMBER(SVB!$F$2:$F$740))*(SVB!$F$2:$F$740))</f>
        <v>32</v>
      </c>
      <c r="S15" s="419" cm="1">
        <f t="array" ref="S15">SUMPRODUCT((SVB!$R$2:$R$740&gt;=S80)*(SVB!$R$2:$R$740&lt;=S81)*(SVB!$K$2:$K$740="AP")*(ISNUMBER(SVB!$F$2:$F$740))*(SVB!$F$2:$F$740))</f>
        <v>42</v>
      </c>
      <c r="T15" s="419" cm="1">
        <f t="array" ref="T15">SUMPRODUCT((SVB!$R$2:$R$740&gt;=T80)*(SVB!$R$2:$R$740&lt;=T81)*(SVB!$K$2:$K$740="AP")*(ISNUMBER(SVB!$F$2:$F$740))*(SVB!$F$2:$F$740))</f>
        <v>1</v>
      </c>
      <c r="U15" s="419" cm="1">
        <f t="array" ref="U15">SUMPRODUCT((SVB!$R$2:$R$740&gt;=U80)*(SVB!$R$2:$R$740&lt;=U81)*(SVB!$K$2:$K$740="AP")*(ISNUMBER(SVB!$F$2:$F$740))*(SVB!$F$2:$F$740))</f>
        <v>0</v>
      </c>
      <c r="V15" s="420" cm="1">
        <f t="array" ref="V15">SUMPRODUCT((SVB!$B$2:$B$740&lt;&gt;"")*(SVB!$K$2:$K$740="AP")*(ISNUMBER(SVB!$F$2:$F$740))*(SVB!$F$2:$F$740))</f>
        <v>445</v>
      </c>
    </row>
    <row r="16" spans="1:22" ht="19.5" customHeight="1">
      <c r="A16" s="421" t="s">
        <v>888</v>
      </c>
      <c r="B16" s="422">
        <f>IF(B15=0,"-",B15/$V$15)</f>
        <v>9.662921348314607E-2</v>
      </c>
      <c r="C16" s="422">
        <f t="shared" ref="C16:U16" si="2">IF(C15=0,"-",C15/$V$15)</f>
        <v>5.3932584269662923E-2</v>
      </c>
      <c r="D16" s="422" t="str">
        <f t="shared" si="2"/>
        <v>-</v>
      </c>
      <c r="E16" s="422" t="str">
        <f t="shared" si="2"/>
        <v>-</v>
      </c>
      <c r="F16" s="422" t="str">
        <f t="shared" si="2"/>
        <v>-</v>
      </c>
      <c r="G16" s="422">
        <f t="shared" si="2"/>
        <v>0.39775280898876403</v>
      </c>
      <c r="H16" s="422">
        <f t="shared" si="2"/>
        <v>4.2696629213483148E-2</v>
      </c>
      <c r="I16" s="422">
        <f t="shared" si="2"/>
        <v>3.3707865168539325E-2</v>
      </c>
      <c r="J16" s="422" t="str">
        <f t="shared" si="2"/>
        <v>-</v>
      </c>
      <c r="K16" s="422">
        <f t="shared" si="2"/>
        <v>8.3146067415730343E-2</v>
      </c>
      <c r="L16" s="422">
        <f t="shared" si="2"/>
        <v>9.8876404494382023E-2</v>
      </c>
      <c r="M16" s="422" t="str">
        <f t="shared" si="2"/>
        <v>-</v>
      </c>
      <c r="N16" s="422" t="str">
        <f t="shared" si="2"/>
        <v>-</v>
      </c>
      <c r="O16" s="422" t="str">
        <f t="shared" si="2"/>
        <v>-</v>
      </c>
      <c r="P16" s="422" t="str">
        <f t="shared" si="2"/>
        <v>-</v>
      </c>
      <c r="Q16" s="422">
        <f t="shared" si="2"/>
        <v>2.4719101123595506E-2</v>
      </c>
      <c r="R16" s="422">
        <f t="shared" si="2"/>
        <v>7.1910112359550568E-2</v>
      </c>
      <c r="S16" s="422">
        <f t="shared" si="2"/>
        <v>9.4382022471910118E-2</v>
      </c>
      <c r="T16" s="422">
        <f t="shared" si="2"/>
        <v>2.2471910112359553E-3</v>
      </c>
      <c r="U16" s="422" t="str">
        <f t="shared" si="2"/>
        <v>-</v>
      </c>
      <c r="V16" s="423">
        <f>SUM(B16:U16)</f>
        <v>1</v>
      </c>
    </row>
    <row r="17" spans="1:22" ht="4.5" customHeight="1"/>
    <row r="18" spans="1:22" ht="21.75" customHeight="1">
      <c r="A18" s="1156" t="s">
        <v>315</v>
      </c>
      <c r="B18" s="1157"/>
      <c r="C18" s="1157"/>
      <c r="D18" s="1157"/>
      <c r="E18" s="1157"/>
      <c r="F18" s="1157"/>
      <c r="G18" s="1157"/>
      <c r="H18" s="1157"/>
      <c r="I18" s="1157"/>
      <c r="J18" s="1157"/>
      <c r="K18" s="1157"/>
      <c r="L18" s="1157"/>
      <c r="M18" s="1157"/>
      <c r="N18" s="1157"/>
      <c r="O18" s="1157"/>
      <c r="P18" s="1157"/>
      <c r="Q18" s="1157"/>
      <c r="R18" s="1157"/>
      <c r="S18" s="1157"/>
      <c r="T18" s="1157"/>
      <c r="U18" s="1157"/>
      <c r="V18" s="1157"/>
    </row>
    <row r="19" spans="1:22" ht="19.5" customHeight="1">
      <c r="A19" s="424" t="s">
        <v>316</v>
      </c>
      <c r="B19" s="425">
        <f t="shared" ref="B19:U19" si="3">B7</f>
        <v>153</v>
      </c>
      <c r="C19" s="425">
        <f t="shared" si="3"/>
        <v>69</v>
      </c>
      <c r="D19" s="425">
        <f t="shared" si="3"/>
        <v>66</v>
      </c>
      <c r="E19" s="425">
        <f t="shared" si="3"/>
        <v>53</v>
      </c>
      <c r="F19" s="425">
        <f t="shared" si="3"/>
        <v>101</v>
      </c>
      <c r="G19" s="425">
        <f t="shared" si="3"/>
        <v>241</v>
      </c>
      <c r="H19" s="425">
        <f t="shared" si="3"/>
        <v>49</v>
      </c>
      <c r="I19" s="425">
        <f t="shared" si="3"/>
        <v>50</v>
      </c>
      <c r="J19" s="425">
        <f t="shared" si="3"/>
        <v>31</v>
      </c>
      <c r="K19" s="425">
        <f t="shared" si="3"/>
        <v>86</v>
      </c>
      <c r="L19" s="425">
        <f t="shared" si="3"/>
        <v>93</v>
      </c>
      <c r="M19" s="425">
        <f t="shared" si="3"/>
        <v>97</v>
      </c>
      <c r="N19" s="425">
        <f t="shared" si="3"/>
        <v>50</v>
      </c>
      <c r="O19" s="425">
        <f t="shared" si="3"/>
        <v>58</v>
      </c>
      <c r="P19" s="425">
        <f t="shared" si="3"/>
        <v>77</v>
      </c>
      <c r="Q19" s="425">
        <f t="shared" si="3"/>
        <v>99</v>
      </c>
      <c r="R19" s="425">
        <f t="shared" si="3"/>
        <v>99</v>
      </c>
      <c r="S19" s="425">
        <f t="shared" si="3"/>
        <v>97</v>
      </c>
      <c r="T19" s="425">
        <f t="shared" si="3"/>
        <v>23</v>
      </c>
      <c r="U19" s="425">
        <f t="shared" si="3"/>
        <v>0</v>
      </c>
      <c r="V19" s="426">
        <f>V7</f>
        <v>1592</v>
      </c>
    </row>
    <row r="20" spans="1:22" ht="19.5" customHeight="1">
      <c r="A20" s="427" t="s">
        <v>317</v>
      </c>
      <c r="B20" s="428" cm="1">
        <f t="array" ref="B20">SUMPRODUCT((SVB!$S$2:$S$740&gt;=B80)*(SVB!$S$2:$S$740&lt;=B81)*(ISNUMBER(SVB!$M$2:$M$740))*(SVB!$M$2:$M$740))</f>
        <v>179</v>
      </c>
      <c r="C20" s="428" cm="1">
        <f t="array" ref="C20">SUMPRODUCT((SVB!$S$2:$S$740&gt;=C80)*(SVB!$S$2:$S$740&lt;=C81)*(ISNUMBER(SVB!$M$2:$M$740))*(SVB!$M$2:$M$740))</f>
        <v>45</v>
      </c>
      <c r="D20" s="428" cm="1">
        <f t="array" ref="D20">SUMPRODUCT((SVB!$S$2:$S$740&gt;=D80)*(SVB!$S$2:$S$740&lt;=D81)*(ISNUMBER(SVB!$M$2:$M$740))*(SVB!$M$2:$M$740))</f>
        <v>64</v>
      </c>
      <c r="E20" s="428" cm="1">
        <f t="array" ref="E20">SUMPRODUCT((SVB!$S$2:$S$740&gt;=E80)*(SVB!$S$2:$S$740&lt;=E81)*(ISNUMBER(SVB!$M$2:$M$740))*(SVB!$M$2:$M$740))</f>
        <v>51</v>
      </c>
      <c r="F20" s="428" cm="1">
        <f t="array" ref="F20">SUMPRODUCT((SVB!$S$2:$S$740&gt;=F80)*(SVB!$S$2:$S$740&lt;=F81)*(ISNUMBER(SVB!$M$2:$M$740))*(SVB!$M$2:$M$740))</f>
        <v>120</v>
      </c>
      <c r="G20" s="428" cm="1">
        <f t="array" ref="G20">SUMPRODUCT((SVB!$S$2:$S$740&gt;=G80)*(SVB!$S$2:$S$740&lt;=G81)*(ISNUMBER(SVB!$M$2:$M$740))*(SVB!$M$2:$M$740))</f>
        <v>0</v>
      </c>
      <c r="H20" s="428" cm="1">
        <f t="array" ref="H20">SUMPRODUCT((SVB!$S$2:$S$740&gt;=H80)*(SVB!$S$2:$S$740&lt;=H81)*(ISNUMBER(SVB!$M$2:$M$740))*(SVB!$M$2:$M$740))</f>
        <v>0</v>
      </c>
      <c r="I20" s="428" cm="1">
        <f t="array" ref="I20">SUMPRODUCT((SVB!$S$2:$S$740&gt;=I80)*(SVB!$S$2:$S$740&lt;=I81)*(ISNUMBER(SVB!$M$2:$M$740))*(SVB!$M$2:$M$740))</f>
        <v>0</v>
      </c>
      <c r="J20" s="428" cm="1">
        <f t="array" ref="J20">SUMPRODUCT((SVB!$S$2:$S$740&gt;=J80)*(SVB!$S$2:$S$740&lt;=J81)*(ISNUMBER(SVB!$M$2:$M$740))*(SVB!$M$2:$M$740))</f>
        <v>0</v>
      </c>
      <c r="K20" s="428" cm="1">
        <f t="array" ref="K20">SUMPRODUCT((SVB!$S$2:$S$740&gt;=K80)*(SVB!$S$2:$S$740&lt;=K81)*(ISNUMBER(SVB!$M$2:$M$740))*(SVB!$M$2:$M$740))</f>
        <v>0</v>
      </c>
      <c r="L20" s="428" cm="1">
        <f t="array" ref="L20">SUMPRODUCT((SVB!$S$2:$S$740&gt;=L80)*(SVB!$S$2:$S$740&lt;=L81)*(ISNUMBER(SVB!$M$2:$M$740))*(SVB!$M$2:$M$740))</f>
        <v>0</v>
      </c>
      <c r="M20" s="428" cm="1">
        <f t="array" ref="M20">SUMPRODUCT((SVB!$S$2:$S$740&gt;=M80)*(SVB!$S$2:$S$740&lt;=M81)*(ISNUMBER(SVB!$M$2:$M$740))*(SVB!$M$2:$M$740))</f>
        <v>0</v>
      </c>
      <c r="N20" s="428" cm="1">
        <f t="array" ref="N20">SUMPRODUCT((SVB!$S$2:$S$740&gt;=N80)*(SVB!$S$2:$S$740&lt;=N81)*(ISNUMBER(SVB!$M$2:$M$740))*(SVB!$M$2:$M$740))</f>
        <v>0</v>
      </c>
      <c r="O20" s="428" cm="1">
        <f t="array" ref="O20">SUMPRODUCT((SVB!$S$2:$S$740&gt;=O80)*(SVB!$S$2:$S$740&lt;=O81)*(ISNUMBER(SVB!$M$2:$M$740))*(SVB!$M$2:$M$740))</f>
        <v>0</v>
      </c>
      <c r="P20" s="428" cm="1">
        <f t="array" ref="P20">SUMPRODUCT((SVB!$S$2:$S$740&gt;=P80)*(SVB!$S$2:$S$740&lt;=P81)*(ISNUMBER(SVB!$M$2:$M$740))*(SVB!$M$2:$M$740))</f>
        <v>0</v>
      </c>
      <c r="Q20" s="428" cm="1">
        <f t="array" ref="Q20">SUMPRODUCT((SVB!$S$2:$S$740&gt;=Q80)*(SVB!$S$2:$S$740&lt;=Q81)*(ISNUMBER(SVB!$M$2:$M$740))*(SVB!$M$2:$M$740))</f>
        <v>0</v>
      </c>
      <c r="R20" s="428" cm="1">
        <f t="array" ref="R20">SUMPRODUCT((SVB!$S$2:$S$740&gt;=R80)*(SVB!$S$2:$S$740&lt;=R81)*(ISNUMBER(SVB!$M$2:$M$740))*(SVB!$M$2:$M$740))</f>
        <v>0</v>
      </c>
      <c r="S20" s="428" cm="1">
        <f t="array" ref="S20">SUMPRODUCT((SVB!$S$2:$S$740&gt;=S80)*(SVB!$S$2:$S$740&lt;=S81)*(ISNUMBER(SVB!$M$2:$M$740))*(SVB!$M$2:$M$740))</f>
        <v>0</v>
      </c>
      <c r="T20" s="428" cm="1">
        <f t="array" ref="T20">SUMPRODUCT((SVB!$S$2:$S$740&gt;=T80)*(SVB!$S$2:$S$740&lt;=T81)*(ISNUMBER(SVB!$M$2:$M$740))*(SVB!$M$2:$M$740))</f>
        <v>0</v>
      </c>
      <c r="U20" s="428" cm="1">
        <f t="array" ref="U20">SUMPRODUCT((SVB!$S$2:$S$740&gt;=U80)*(SVB!$S$2:$S$740&lt;=U81)*(ISNUMBER(SVB!$M$2:$M$740))*(SVB!$M$2:$M$740))</f>
        <v>0</v>
      </c>
      <c r="V20" s="426">
        <f>SUM(B20:U20)</f>
        <v>459</v>
      </c>
    </row>
    <row r="21" spans="1:22" ht="19.5" customHeight="1">
      <c r="A21" s="429" t="s">
        <v>318</v>
      </c>
      <c r="B21" s="430">
        <f>IF(B19=0,IF(B20=0,"-","100%"),B20/B19)</f>
        <v>1.1699346405228759</v>
      </c>
      <c r="C21" s="430">
        <f t="shared" ref="C21:U21" si="4">IF(C19=0,IF(C20=0,"-","100%"),C20/C19)</f>
        <v>0.65217391304347827</v>
      </c>
      <c r="D21" s="430">
        <f t="shared" si="4"/>
        <v>0.96969696969696972</v>
      </c>
      <c r="E21" s="430">
        <f t="shared" si="4"/>
        <v>0.96226415094339623</v>
      </c>
      <c r="F21" s="430">
        <f t="shared" si="4"/>
        <v>1.1881188118811881</v>
      </c>
      <c r="G21" s="430">
        <f t="shared" si="4"/>
        <v>0</v>
      </c>
      <c r="H21" s="430">
        <f t="shared" si="4"/>
        <v>0</v>
      </c>
      <c r="I21" s="430">
        <f t="shared" si="4"/>
        <v>0</v>
      </c>
      <c r="J21" s="430">
        <f t="shared" si="4"/>
        <v>0</v>
      </c>
      <c r="K21" s="430">
        <f t="shared" si="4"/>
        <v>0</v>
      </c>
      <c r="L21" s="430">
        <f t="shared" si="4"/>
        <v>0</v>
      </c>
      <c r="M21" s="430">
        <f t="shared" si="4"/>
        <v>0</v>
      </c>
      <c r="N21" s="430">
        <f t="shared" si="4"/>
        <v>0</v>
      </c>
      <c r="O21" s="430">
        <f t="shared" si="4"/>
        <v>0</v>
      </c>
      <c r="P21" s="430">
        <f t="shared" si="4"/>
        <v>0</v>
      </c>
      <c r="Q21" s="430">
        <f t="shared" si="4"/>
        <v>0</v>
      </c>
      <c r="R21" s="430">
        <f t="shared" si="4"/>
        <v>0</v>
      </c>
      <c r="S21" s="430">
        <f t="shared" si="4"/>
        <v>0</v>
      </c>
      <c r="T21" s="430">
        <f t="shared" si="4"/>
        <v>0</v>
      </c>
      <c r="U21" s="430" t="str">
        <f t="shared" si="4"/>
        <v>-</v>
      </c>
      <c r="V21" s="423">
        <f>IF(V19=0,"-",V20/V19)</f>
        <v>0.28831658291457285</v>
      </c>
    </row>
    <row r="22" spans="1:22" ht="4.5" customHeight="1"/>
    <row r="23" spans="1:22" ht="21.75" customHeight="1">
      <c r="A23" s="1158" t="s">
        <v>319</v>
      </c>
      <c r="B23" s="1159"/>
      <c r="C23" s="1159"/>
      <c r="D23" s="1159"/>
      <c r="E23" s="1159"/>
      <c r="F23" s="1159"/>
      <c r="G23" s="1159"/>
      <c r="H23" s="1159"/>
      <c r="I23" s="1159"/>
      <c r="J23" s="1159"/>
      <c r="K23" s="1159"/>
      <c r="L23" s="1159"/>
      <c r="M23" s="1159"/>
      <c r="N23" s="1159"/>
      <c r="O23" s="1159"/>
      <c r="P23" s="1159"/>
      <c r="Q23" s="1159"/>
      <c r="R23" s="1159"/>
      <c r="S23" s="1159"/>
      <c r="T23" s="1159"/>
      <c r="U23" s="1159"/>
      <c r="V23" s="1159"/>
    </row>
    <row r="24" spans="1:22" ht="19.5" customHeight="1">
      <c r="A24" s="424" t="s">
        <v>316</v>
      </c>
      <c r="B24" s="425">
        <f t="shared" ref="B24:U24" si="5">B7</f>
        <v>153</v>
      </c>
      <c r="C24" s="425">
        <f t="shared" si="5"/>
        <v>69</v>
      </c>
      <c r="D24" s="425">
        <f t="shared" si="5"/>
        <v>66</v>
      </c>
      <c r="E24" s="425">
        <f t="shared" si="5"/>
        <v>53</v>
      </c>
      <c r="F24" s="425">
        <f t="shared" si="5"/>
        <v>101</v>
      </c>
      <c r="G24" s="425">
        <f t="shared" si="5"/>
        <v>241</v>
      </c>
      <c r="H24" s="425">
        <f t="shared" si="5"/>
        <v>49</v>
      </c>
      <c r="I24" s="425">
        <f t="shared" si="5"/>
        <v>50</v>
      </c>
      <c r="J24" s="425">
        <f t="shared" si="5"/>
        <v>31</v>
      </c>
      <c r="K24" s="425">
        <f t="shared" si="5"/>
        <v>86</v>
      </c>
      <c r="L24" s="425">
        <f t="shared" si="5"/>
        <v>93</v>
      </c>
      <c r="M24" s="425">
        <f t="shared" si="5"/>
        <v>97</v>
      </c>
      <c r="N24" s="425">
        <f t="shared" si="5"/>
        <v>50</v>
      </c>
      <c r="O24" s="425">
        <f t="shared" si="5"/>
        <v>58</v>
      </c>
      <c r="P24" s="425">
        <f t="shared" si="5"/>
        <v>77</v>
      </c>
      <c r="Q24" s="425">
        <f t="shared" si="5"/>
        <v>99</v>
      </c>
      <c r="R24" s="425">
        <f t="shared" si="5"/>
        <v>99</v>
      </c>
      <c r="S24" s="425">
        <f t="shared" si="5"/>
        <v>97</v>
      </c>
      <c r="T24" s="425">
        <f t="shared" si="5"/>
        <v>23</v>
      </c>
      <c r="U24" s="425">
        <f t="shared" si="5"/>
        <v>0</v>
      </c>
      <c r="V24" s="426">
        <f t="shared" ref="V24" si="6">V7</f>
        <v>1592</v>
      </c>
    </row>
    <row r="25" spans="1:22" ht="19.5" customHeight="1">
      <c r="A25" s="427" t="s">
        <v>317</v>
      </c>
      <c r="B25" s="428" cm="1">
        <f t="array" ref="B25">SUMPRODUCT((SVB!$S$2:$S$740&gt;=B80)*(SVB!$S$2:$S$740&lt;=B81)*(ISNUMBER(SVB!$N$2:$N$740))*(SVB!$N$2:$N$740))</f>
        <v>179</v>
      </c>
      <c r="C25" s="428" cm="1">
        <f t="array" ref="C25">SUMPRODUCT((SVB!$S$2:$S$740&gt;=C80)*(SVB!$S$2:$S$740&lt;=C81)*(ISNUMBER(SVB!$N$2:$N$740))*(SVB!$N$2:$N$740))</f>
        <v>45</v>
      </c>
      <c r="D25" s="428" cm="1">
        <f t="array" ref="D25">SUMPRODUCT((SVB!$S$2:$S$740&gt;=D80)*(SVB!$S$2:$S$740&lt;=D81)*(ISNUMBER(SVB!$N$2:$N$740))*(SVB!$N$2:$N$740))</f>
        <v>64</v>
      </c>
      <c r="E25" s="428" cm="1">
        <f t="array" ref="E25">SUMPRODUCT((SVB!$S$2:$S$740&gt;=E80)*(SVB!$S$2:$S$740&lt;=E81)*(ISNUMBER(SVB!$N$2:$N$740))*(SVB!$N$2:$N$740))</f>
        <v>51</v>
      </c>
      <c r="F25" s="428" cm="1">
        <f t="array" ref="F25">SUMPRODUCT((SVB!$S$2:$S$740&gt;=F80)*(SVB!$S$2:$S$740&lt;=F81)*(ISNUMBER(SVB!$N$2:$N$740))*(SVB!$N$2:$N$740))</f>
        <v>120</v>
      </c>
      <c r="G25" s="428" cm="1">
        <f t="array" ref="G25">SUMPRODUCT((SVB!$S$2:$S$740&gt;=G80)*(SVB!$S$2:$S$740&lt;=G81)*(ISNUMBER(SVB!$N$2:$N$740))*(SVB!$N$2:$N$740))</f>
        <v>0</v>
      </c>
      <c r="H25" s="428" cm="1">
        <f t="array" ref="H25">SUMPRODUCT((SVB!$S$2:$S$740&gt;=H80)*(SVB!$S$2:$S$740&lt;=H81)*(ISNUMBER(SVB!$N$2:$N$740))*(SVB!$N$2:$N$740))</f>
        <v>0</v>
      </c>
      <c r="I25" s="428" cm="1">
        <f t="array" ref="I25">SUMPRODUCT((SVB!$S$2:$S$740&gt;=I80)*(SVB!$S$2:$S$740&lt;=I81)*(ISNUMBER(SVB!$N$2:$N$740))*(SVB!$N$2:$N$740))</f>
        <v>0</v>
      </c>
      <c r="J25" s="428" cm="1">
        <f t="array" ref="J25">SUMPRODUCT((SVB!$S$2:$S$740&gt;=J80)*(SVB!$S$2:$S$740&lt;=J81)*(ISNUMBER(SVB!$N$2:$N$740))*(SVB!$N$2:$N$740))</f>
        <v>0</v>
      </c>
      <c r="K25" s="428" cm="1">
        <f t="array" ref="K25">SUMPRODUCT((SVB!$S$2:$S$740&gt;=K80)*(SVB!$S$2:$S$740&lt;=K81)*(ISNUMBER(SVB!$N$2:$N$740))*(SVB!$N$2:$N$740))</f>
        <v>0</v>
      </c>
      <c r="L25" s="428" cm="1">
        <f t="array" ref="L25">SUMPRODUCT((SVB!$S$2:$S$740&gt;=L80)*(SVB!$S$2:$S$740&lt;=L81)*(ISNUMBER(SVB!$N$2:$N$740))*(SVB!$N$2:$N$740))</f>
        <v>0</v>
      </c>
      <c r="M25" s="428" cm="1">
        <f t="array" ref="M25">SUMPRODUCT((SVB!$S$2:$S$740&gt;=M80)*(SVB!$S$2:$S$740&lt;=M81)*(ISNUMBER(SVB!$N$2:$N$740))*(SVB!$N$2:$N$740))</f>
        <v>0</v>
      </c>
      <c r="N25" s="428" cm="1">
        <f t="array" ref="N25">SUMPRODUCT((SVB!$S$2:$S$740&gt;=N80)*(SVB!$S$2:$S$740&lt;=N81)*(ISNUMBER(SVB!$N$2:$N$740))*(SVB!$N$2:$N$740))</f>
        <v>0</v>
      </c>
      <c r="O25" s="428" cm="1">
        <f t="array" ref="O25">SUMPRODUCT((SVB!$S$2:$S$740&gt;=O80)*(SVB!$S$2:$S$740&lt;=O81)*(ISNUMBER(SVB!$N$2:$N$740))*(SVB!$N$2:$N$740))</f>
        <v>0</v>
      </c>
      <c r="P25" s="428" cm="1">
        <f t="array" ref="P25">SUMPRODUCT((SVB!$S$2:$S$740&gt;=P80)*(SVB!$S$2:$S$740&lt;=P81)*(ISNUMBER(SVB!$N$2:$N$740))*(SVB!$N$2:$N$740))</f>
        <v>0</v>
      </c>
      <c r="Q25" s="428" cm="1">
        <f t="array" ref="Q25">SUMPRODUCT((SVB!$S$2:$S$740&gt;=Q80)*(SVB!$S$2:$S$740&lt;=Q81)*(ISNUMBER(SVB!$N$2:$N$740))*(SVB!$N$2:$N$740))</f>
        <v>0</v>
      </c>
      <c r="R25" s="428" cm="1">
        <f t="array" ref="R25">SUMPRODUCT((SVB!$S$2:$S$740&gt;=R80)*(SVB!$S$2:$S$740&lt;=R81)*(ISNUMBER(SVB!$N$2:$N$740))*(SVB!$N$2:$N$740))</f>
        <v>0</v>
      </c>
      <c r="S25" s="428" cm="1">
        <f t="array" ref="S25">SUMPRODUCT((SVB!$S$2:$S$740&gt;=S80)*(SVB!$S$2:$S$740&lt;=S81)*(ISNUMBER(SVB!$N$2:$N$740))*(SVB!$N$2:$N$740))</f>
        <v>0</v>
      </c>
      <c r="T25" s="428" cm="1">
        <f t="array" ref="T25">SUMPRODUCT((SVB!$S$2:$S$740&gt;=T80)*(SVB!$S$2:$S$740&lt;=T81)*(ISNUMBER(SVB!$N$2:$N$740))*(SVB!$N$2:$N$740))</f>
        <v>0</v>
      </c>
      <c r="U25" s="428" cm="1">
        <f t="array" ref="U25">SUMPRODUCT((SVB!$S$2:$S$740&gt;=U80)*(SVB!$S$2:$S$740&lt;=U81)*(ISNUMBER(SVB!$N$2:$N$740))*(SVB!$N$2:$N$740))</f>
        <v>0</v>
      </c>
      <c r="V25" s="426">
        <f>SUM(B25:U25)</f>
        <v>459</v>
      </c>
    </row>
    <row r="26" spans="1:22" ht="19.5" customHeight="1">
      <c r="A26" s="429" t="s">
        <v>320</v>
      </c>
      <c r="B26" s="430">
        <f t="shared" ref="B26:U26" si="7">IF(B24=0,IF(B25=0,"-","100%"),B25/B24)</f>
        <v>1.1699346405228759</v>
      </c>
      <c r="C26" s="430">
        <f t="shared" si="7"/>
        <v>0.65217391304347827</v>
      </c>
      <c r="D26" s="430">
        <f t="shared" si="7"/>
        <v>0.96969696969696972</v>
      </c>
      <c r="E26" s="430">
        <f t="shared" si="7"/>
        <v>0.96226415094339623</v>
      </c>
      <c r="F26" s="430">
        <f t="shared" si="7"/>
        <v>1.1881188118811881</v>
      </c>
      <c r="G26" s="430">
        <f t="shared" si="7"/>
        <v>0</v>
      </c>
      <c r="H26" s="430">
        <f t="shared" si="7"/>
        <v>0</v>
      </c>
      <c r="I26" s="430">
        <f t="shared" si="7"/>
        <v>0</v>
      </c>
      <c r="J26" s="430">
        <f t="shared" si="7"/>
        <v>0</v>
      </c>
      <c r="K26" s="430">
        <f t="shared" si="7"/>
        <v>0</v>
      </c>
      <c r="L26" s="430">
        <f t="shared" si="7"/>
        <v>0</v>
      </c>
      <c r="M26" s="430">
        <f t="shared" si="7"/>
        <v>0</v>
      </c>
      <c r="N26" s="430">
        <f t="shared" si="7"/>
        <v>0</v>
      </c>
      <c r="O26" s="430">
        <f t="shared" si="7"/>
        <v>0</v>
      </c>
      <c r="P26" s="430">
        <f t="shared" si="7"/>
        <v>0</v>
      </c>
      <c r="Q26" s="430">
        <f t="shared" si="7"/>
        <v>0</v>
      </c>
      <c r="R26" s="430">
        <f t="shared" si="7"/>
        <v>0</v>
      </c>
      <c r="S26" s="430">
        <f t="shared" si="7"/>
        <v>0</v>
      </c>
      <c r="T26" s="430">
        <f t="shared" si="7"/>
        <v>0</v>
      </c>
      <c r="U26" s="430" t="str">
        <f t="shared" si="7"/>
        <v>-</v>
      </c>
      <c r="V26" s="423">
        <f>IF(V24=0,"-",V25/V24)</f>
        <v>0.28831658291457285</v>
      </c>
    </row>
    <row r="27" spans="1:22" ht="4.5" customHeight="1"/>
    <row r="28" spans="1:22" ht="21.75" customHeight="1">
      <c r="A28" s="1142" t="s">
        <v>321</v>
      </c>
      <c r="B28" s="1143"/>
      <c r="C28" s="1143"/>
      <c r="D28" s="1143"/>
      <c r="E28" s="1143"/>
      <c r="F28" s="1143"/>
      <c r="G28" s="1143"/>
      <c r="H28" s="1143"/>
      <c r="I28" s="1143"/>
      <c r="J28" s="1143"/>
      <c r="K28" s="1143"/>
      <c r="L28" s="1143"/>
      <c r="M28" s="1143"/>
      <c r="N28" s="1143"/>
      <c r="O28" s="1143"/>
      <c r="P28" s="1143"/>
      <c r="Q28" s="1143"/>
      <c r="R28" s="1143"/>
      <c r="S28" s="1143"/>
      <c r="T28" s="1143"/>
      <c r="U28" s="1143"/>
      <c r="V28" s="1143"/>
    </row>
    <row r="29" spans="1:22" ht="19.5" customHeight="1">
      <c r="A29" s="424" t="s">
        <v>316</v>
      </c>
      <c r="B29" s="425">
        <f t="shared" ref="B29:U29" si="8">B7</f>
        <v>153</v>
      </c>
      <c r="C29" s="425">
        <f t="shared" si="8"/>
        <v>69</v>
      </c>
      <c r="D29" s="425">
        <f t="shared" si="8"/>
        <v>66</v>
      </c>
      <c r="E29" s="425">
        <f t="shared" si="8"/>
        <v>53</v>
      </c>
      <c r="F29" s="425">
        <f t="shared" si="8"/>
        <v>101</v>
      </c>
      <c r="G29" s="425">
        <f t="shared" si="8"/>
        <v>241</v>
      </c>
      <c r="H29" s="425">
        <f t="shared" si="8"/>
        <v>49</v>
      </c>
      <c r="I29" s="425">
        <f t="shared" si="8"/>
        <v>50</v>
      </c>
      <c r="J29" s="425">
        <f t="shared" si="8"/>
        <v>31</v>
      </c>
      <c r="K29" s="425">
        <f t="shared" si="8"/>
        <v>86</v>
      </c>
      <c r="L29" s="425">
        <f t="shared" si="8"/>
        <v>93</v>
      </c>
      <c r="M29" s="425">
        <f t="shared" si="8"/>
        <v>97</v>
      </c>
      <c r="N29" s="425">
        <f t="shared" si="8"/>
        <v>50</v>
      </c>
      <c r="O29" s="425">
        <f t="shared" si="8"/>
        <v>58</v>
      </c>
      <c r="P29" s="425">
        <f t="shared" si="8"/>
        <v>77</v>
      </c>
      <c r="Q29" s="425">
        <f t="shared" si="8"/>
        <v>99</v>
      </c>
      <c r="R29" s="425">
        <f t="shared" si="8"/>
        <v>99</v>
      </c>
      <c r="S29" s="425">
        <f t="shared" si="8"/>
        <v>97</v>
      </c>
      <c r="T29" s="425">
        <f t="shared" si="8"/>
        <v>23</v>
      </c>
      <c r="U29" s="425">
        <f t="shared" si="8"/>
        <v>0</v>
      </c>
      <c r="V29" s="426">
        <f>V7</f>
        <v>1592</v>
      </c>
    </row>
    <row r="30" spans="1:22" ht="19.5" customHeight="1">
      <c r="A30" s="427" t="s">
        <v>317</v>
      </c>
      <c r="B30" s="428" cm="1">
        <f t="array" ref="B30">SUMPRODUCT((SVB!$S$2:$S$740&gt;=B80)*(SVB!$S$2:$S$740&lt;=B81)*(ISNUMBER(SVB!$O$2:$O$740))*(SVB!$O$2:$O$740))</f>
        <v>179</v>
      </c>
      <c r="C30" s="428" cm="1">
        <f t="array" ref="C30">SUMPRODUCT((SVB!$S$2:$S$740&gt;=C80)*(SVB!$S$2:$S$740&lt;=C81)*(ISNUMBER(SVB!$O$2:$O$740))*(SVB!$O$2:$O$740))</f>
        <v>45</v>
      </c>
      <c r="D30" s="428" cm="1">
        <f t="array" ref="D30">SUMPRODUCT((SVB!$S$2:$S$740&gt;=D80)*(SVB!$S$2:$S$740&lt;=D81)*(ISNUMBER(SVB!$O$2:$O$740))*(SVB!$O$2:$O$740))</f>
        <v>64</v>
      </c>
      <c r="E30" s="428" cm="1">
        <f t="array" ref="E30">SUMPRODUCT((SVB!$S$2:$S$740&gt;=E80)*(SVB!$S$2:$S$740&lt;=E81)*(ISNUMBER(SVB!$O$2:$O$740))*(SVB!$O$2:$O$740))</f>
        <v>51</v>
      </c>
      <c r="F30" s="428" cm="1">
        <f t="array" ref="F30">SUMPRODUCT((SVB!$S$2:$S$740&gt;=F80)*(SVB!$S$2:$S$740&lt;=F81)*(ISNUMBER(SVB!$O$2:$O$740))*(SVB!$O$2:$O$740))</f>
        <v>120</v>
      </c>
      <c r="G30" s="428" cm="1">
        <f t="array" ref="G30">SUMPRODUCT((SVB!$S$2:$S$740&gt;=G80)*(SVB!$S$2:$S$740&lt;=G81)*(ISNUMBER(SVB!$O$2:$O$740))*(SVB!$O$2:$O$740))</f>
        <v>0</v>
      </c>
      <c r="H30" s="428" cm="1">
        <f t="array" ref="H30">SUMPRODUCT((SVB!$S$2:$S$740&gt;=H80)*(SVB!$S$2:$S$740&lt;=H81)*(ISNUMBER(SVB!$O$2:$O$740))*(SVB!$O$2:$O$740))</f>
        <v>0</v>
      </c>
      <c r="I30" s="428" cm="1">
        <f t="array" ref="I30">SUMPRODUCT((SVB!$S$2:$S$740&gt;=I80)*(SVB!$S$2:$S$740&lt;=I81)*(ISNUMBER(SVB!$O$2:$O$740))*(SVB!$O$2:$O$740))</f>
        <v>0</v>
      </c>
      <c r="J30" s="428" cm="1">
        <f t="array" ref="J30">SUMPRODUCT((SVB!$S$2:$S$740&gt;=J80)*(SVB!$S$2:$S$740&lt;=J81)*(ISNUMBER(SVB!$O$2:$O$740))*(SVB!$O$2:$O$740))</f>
        <v>0</v>
      </c>
      <c r="K30" s="428" cm="1">
        <f t="array" ref="K30">SUMPRODUCT((SVB!$S$2:$S$740&gt;=K80)*(SVB!$S$2:$S$740&lt;=K81)*(ISNUMBER(SVB!$O$2:$O$740))*(SVB!$O$2:$O$740))</f>
        <v>0</v>
      </c>
      <c r="L30" s="428" cm="1">
        <f t="array" ref="L30">SUMPRODUCT((SVB!$S$2:$S$740&gt;=L80)*(SVB!$S$2:$S$740&lt;=L81)*(ISNUMBER(SVB!$O$2:$O$740))*(SVB!$O$2:$O$740))</f>
        <v>0</v>
      </c>
      <c r="M30" s="428" cm="1">
        <f t="array" ref="M30">SUMPRODUCT((SVB!$S$2:$S$740&gt;=M80)*(SVB!$S$2:$S$740&lt;=M81)*(ISNUMBER(SVB!$O$2:$O$740))*(SVB!$O$2:$O$740))</f>
        <v>0</v>
      </c>
      <c r="N30" s="428" cm="1">
        <f t="array" ref="N30">SUMPRODUCT((SVB!$S$2:$S$740&gt;=N80)*(SVB!$S$2:$S$740&lt;=N81)*(ISNUMBER(SVB!$O$2:$O$740))*(SVB!$O$2:$O$740))</f>
        <v>0</v>
      </c>
      <c r="O30" s="428" cm="1">
        <f t="array" ref="O30">SUMPRODUCT((SVB!$S$2:$S$740&gt;=O80)*(SVB!$S$2:$S$740&lt;=O81)*(ISNUMBER(SVB!$O$2:$O$740))*(SVB!$O$2:$O$740))</f>
        <v>0</v>
      </c>
      <c r="P30" s="428" cm="1">
        <f t="array" ref="P30">SUMPRODUCT((SVB!$S$2:$S$740&gt;=P80)*(SVB!$S$2:$S$740&lt;=P81)*(ISNUMBER(SVB!$O$2:$O$740))*(SVB!$O$2:$O$740))</f>
        <v>0</v>
      </c>
      <c r="Q30" s="428" cm="1">
        <f t="array" ref="Q30">SUMPRODUCT((SVB!$S$2:$S$740&gt;=Q80)*(SVB!$S$2:$S$740&lt;=Q81)*(ISNUMBER(SVB!$O$2:$O$740))*(SVB!$O$2:$O$740))</f>
        <v>0</v>
      </c>
      <c r="R30" s="428" cm="1">
        <f t="array" ref="R30">SUMPRODUCT((SVB!$S$2:$S$740&gt;=R80)*(SVB!$S$2:$S$740&lt;=R81)*(ISNUMBER(SVB!$O$2:$O$740))*(SVB!$O$2:$O$740))</f>
        <v>0</v>
      </c>
      <c r="S30" s="428" cm="1">
        <f t="array" ref="S30">SUMPRODUCT((SVB!$S$2:$S$740&gt;=S80)*(SVB!$S$2:$S$740&lt;=S81)*(ISNUMBER(SVB!$O$2:$O$740))*(SVB!$O$2:$O$740))</f>
        <v>0</v>
      </c>
      <c r="T30" s="428" cm="1">
        <f t="array" ref="T30">SUMPRODUCT((SVB!$S$2:$S$740&gt;=T80)*(SVB!$S$2:$S$740&lt;=T81)*(ISNUMBER(SVB!$O$2:$O$740))*(SVB!$O$2:$O$740))</f>
        <v>0</v>
      </c>
      <c r="U30" s="428" cm="1">
        <f t="array" ref="U30">SUMPRODUCT((SVB!$S$2:$S$740&gt;=U80)*(SVB!$S$2:$S$740&lt;=U81)*(ISNUMBER(SVB!$O$2:$O$740))*(SVB!$O$2:$O$740))</f>
        <v>0</v>
      </c>
      <c r="V30" s="426">
        <f>SUM(B30:U30)</f>
        <v>459</v>
      </c>
    </row>
    <row r="31" spans="1:22" ht="19.5" customHeight="1">
      <c r="A31" s="433" t="s">
        <v>322</v>
      </c>
      <c r="B31" s="434">
        <f>MAX(B30-B29,0)</f>
        <v>26</v>
      </c>
      <c r="C31" s="434">
        <f t="shared" ref="C31:Q31" si="9">MAX(C30-C29,0)</f>
        <v>0</v>
      </c>
      <c r="D31" s="434">
        <f t="shared" si="9"/>
        <v>0</v>
      </c>
      <c r="E31" s="434">
        <f t="shared" si="9"/>
        <v>0</v>
      </c>
      <c r="F31" s="434">
        <f t="shared" si="9"/>
        <v>19</v>
      </c>
      <c r="G31" s="434">
        <f t="shared" si="9"/>
        <v>0</v>
      </c>
      <c r="H31" s="434">
        <f t="shared" si="9"/>
        <v>0</v>
      </c>
      <c r="I31" s="434">
        <f t="shared" si="9"/>
        <v>0</v>
      </c>
      <c r="J31" s="434">
        <f t="shared" si="9"/>
        <v>0</v>
      </c>
      <c r="K31" s="434">
        <f t="shared" si="9"/>
        <v>0</v>
      </c>
      <c r="L31" s="434">
        <f t="shared" si="9"/>
        <v>0</v>
      </c>
      <c r="M31" s="434">
        <f t="shared" si="9"/>
        <v>0</v>
      </c>
      <c r="N31" s="434">
        <f t="shared" si="9"/>
        <v>0</v>
      </c>
      <c r="O31" s="434">
        <f t="shared" si="9"/>
        <v>0</v>
      </c>
      <c r="P31" s="434">
        <f t="shared" si="9"/>
        <v>0</v>
      </c>
      <c r="Q31" s="434">
        <f t="shared" si="9"/>
        <v>0</v>
      </c>
      <c r="R31" s="434">
        <f t="shared" ref="R31:U31" si="10">MAX(R30-R29,0)</f>
        <v>0</v>
      </c>
      <c r="S31" s="434">
        <f t="shared" si="10"/>
        <v>0</v>
      </c>
      <c r="T31" s="434">
        <f t="shared" si="10"/>
        <v>0</v>
      </c>
      <c r="U31" s="434">
        <f t="shared" si="10"/>
        <v>0</v>
      </c>
      <c r="V31" s="426">
        <f>MAX(V30-V29,0)</f>
        <v>0</v>
      </c>
    </row>
    <row r="32" spans="1:22" ht="19.5" customHeight="1">
      <c r="A32" s="433" t="s">
        <v>323</v>
      </c>
      <c r="B32" s="434">
        <f>MAX(B29-B30,0)</f>
        <v>0</v>
      </c>
      <c r="C32" s="434">
        <f t="shared" ref="C32:Q32" si="11">MAX(C29-C30,0)</f>
        <v>24</v>
      </c>
      <c r="D32" s="434">
        <f t="shared" si="11"/>
        <v>2</v>
      </c>
      <c r="E32" s="434">
        <f t="shared" si="11"/>
        <v>2</v>
      </c>
      <c r="F32" s="434">
        <f t="shared" si="11"/>
        <v>0</v>
      </c>
      <c r="G32" s="434">
        <f t="shared" si="11"/>
        <v>241</v>
      </c>
      <c r="H32" s="434">
        <f t="shared" si="11"/>
        <v>49</v>
      </c>
      <c r="I32" s="434">
        <f t="shared" si="11"/>
        <v>50</v>
      </c>
      <c r="J32" s="434">
        <f t="shared" si="11"/>
        <v>31</v>
      </c>
      <c r="K32" s="434">
        <f t="shared" si="11"/>
        <v>86</v>
      </c>
      <c r="L32" s="434">
        <f t="shared" si="11"/>
        <v>93</v>
      </c>
      <c r="M32" s="434">
        <f t="shared" si="11"/>
        <v>97</v>
      </c>
      <c r="N32" s="434">
        <f t="shared" si="11"/>
        <v>50</v>
      </c>
      <c r="O32" s="434">
        <f t="shared" si="11"/>
        <v>58</v>
      </c>
      <c r="P32" s="434">
        <f t="shared" si="11"/>
        <v>77</v>
      </c>
      <c r="Q32" s="434">
        <f t="shared" si="11"/>
        <v>99</v>
      </c>
      <c r="R32" s="434">
        <f t="shared" ref="R32:U32" si="12">MAX(R29-R30,0)</f>
        <v>99</v>
      </c>
      <c r="S32" s="434">
        <f t="shared" si="12"/>
        <v>97</v>
      </c>
      <c r="T32" s="434">
        <f t="shared" si="12"/>
        <v>23</v>
      </c>
      <c r="U32" s="434">
        <f t="shared" si="12"/>
        <v>0</v>
      </c>
      <c r="V32" s="426">
        <f>MAX(V29-V30,0)</f>
        <v>1133</v>
      </c>
    </row>
    <row r="33" spans="1:22" ht="19.5" customHeight="1">
      <c r="A33" s="429" t="s">
        <v>324</v>
      </c>
      <c r="B33" s="430">
        <f>IF(B29=0,IF(B30=0,"-","100%"),B30/B29)</f>
        <v>1.1699346405228759</v>
      </c>
      <c r="C33" s="430">
        <f t="shared" ref="C33:Q33" si="13">IF(C29=0,IF(C30=0,"-","100%"),C30/C29)</f>
        <v>0.65217391304347827</v>
      </c>
      <c r="D33" s="430">
        <f t="shared" si="13"/>
        <v>0.96969696969696972</v>
      </c>
      <c r="E33" s="430">
        <f t="shared" si="13"/>
        <v>0.96226415094339623</v>
      </c>
      <c r="F33" s="430">
        <f t="shared" si="13"/>
        <v>1.1881188118811881</v>
      </c>
      <c r="G33" s="430">
        <f t="shared" si="13"/>
        <v>0</v>
      </c>
      <c r="H33" s="430">
        <f t="shared" si="13"/>
        <v>0</v>
      </c>
      <c r="I33" s="430">
        <f t="shared" si="13"/>
        <v>0</v>
      </c>
      <c r="J33" s="430">
        <f t="shared" si="13"/>
        <v>0</v>
      </c>
      <c r="K33" s="430">
        <f t="shared" si="13"/>
        <v>0</v>
      </c>
      <c r="L33" s="430">
        <f t="shared" si="13"/>
        <v>0</v>
      </c>
      <c r="M33" s="430">
        <f t="shared" si="13"/>
        <v>0</v>
      </c>
      <c r="N33" s="430">
        <f t="shared" si="13"/>
        <v>0</v>
      </c>
      <c r="O33" s="430">
        <f t="shared" si="13"/>
        <v>0</v>
      </c>
      <c r="P33" s="430">
        <f t="shared" si="13"/>
        <v>0</v>
      </c>
      <c r="Q33" s="430">
        <f t="shared" si="13"/>
        <v>0</v>
      </c>
      <c r="R33" s="430">
        <f t="shared" ref="R33:U33" si="14">IF(R29=0,IF(R30=0,"-","100%"),R30/R29)</f>
        <v>0</v>
      </c>
      <c r="S33" s="430">
        <f t="shared" si="14"/>
        <v>0</v>
      </c>
      <c r="T33" s="430">
        <f t="shared" si="14"/>
        <v>0</v>
      </c>
      <c r="U33" s="430" t="str">
        <f t="shared" si="14"/>
        <v>-</v>
      </c>
      <c r="V33" s="423">
        <f>IF(V29=0,"-",V30/V29)</f>
        <v>0.28831658291457285</v>
      </c>
    </row>
    <row r="34" spans="1:22" ht="3.6" customHeight="1"/>
    <row r="35" spans="1:22" ht="21.75" customHeight="1">
      <c r="A35" s="1142" t="s">
        <v>889</v>
      </c>
      <c r="B35" s="1143"/>
      <c r="C35" s="1143"/>
      <c r="D35" s="1143"/>
      <c r="E35" s="1143"/>
      <c r="F35" s="1143"/>
      <c r="G35" s="1143"/>
      <c r="H35" s="1143"/>
      <c r="I35" s="1143"/>
      <c r="J35" s="1143"/>
      <c r="K35" s="1143"/>
      <c r="L35" s="1143"/>
      <c r="M35" s="1143"/>
      <c r="N35" s="1143"/>
      <c r="O35" s="1143"/>
      <c r="P35" s="1143"/>
      <c r="Q35" s="1143"/>
      <c r="R35" s="1143"/>
      <c r="S35" s="1143"/>
      <c r="T35" s="1143"/>
      <c r="U35" s="1143"/>
      <c r="V35" s="1143"/>
    </row>
    <row r="36" spans="1:22" ht="19.5" customHeight="1">
      <c r="A36" s="424" t="s">
        <v>890</v>
      </c>
      <c r="B36" s="425">
        <f>B11</f>
        <v>88</v>
      </c>
      <c r="C36" s="425">
        <f t="shared" ref="C36:Q36" si="15">C11</f>
        <v>45</v>
      </c>
      <c r="D36" s="425">
        <f t="shared" si="15"/>
        <v>64</v>
      </c>
      <c r="E36" s="425">
        <f t="shared" si="15"/>
        <v>53</v>
      </c>
      <c r="F36" s="425">
        <f t="shared" si="15"/>
        <v>101</v>
      </c>
      <c r="G36" s="425">
        <f t="shared" si="15"/>
        <v>62</v>
      </c>
      <c r="H36" s="425">
        <f t="shared" si="15"/>
        <v>30</v>
      </c>
      <c r="I36" s="425">
        <f t="shared" si="15"/>
        <v>35</v>
      </c>
      <c r="J36" s="425">
        <f t="shared" si="15"/>
        <v>31</v>
      </c>
      <c r="K36" s="425">
        <f t="shared" si="15"/>
        <v>49</v>
      </c>
      <c r="L36" s="425">
        <f t="shared" si="15"/>
        <v>49</v>
      </c>
      <c r="M36" s="425">
        <f t="shared" si="15"/>
        <v>97</v>
      </c>
      <c r="N36" s="425">
        <f t="shared" si="15"/>
        <v>50</v>
      </c>
      <c r="O36" s="425">
        <f t="shared" si="15"/>
        <v>58</v>
      </c>
      <c r="P36" s="425">
        <f t="shared" si="15"/>
        <v>77</v>
      </c>
      <c r="Q36" s="425">
        <f t="shared" si="15"/>
        <v>88</v>
      </c>
      <c r="R36" s="425">
        <f t="shared" ref="R36:U36" si="16">R11</f>
        <v>67</v>
      </c>
      <c r="S36" s="425">
        <f t="shared" si="16"/>
        <v>55</v>
      </c>
      <c r="T36" s="425">
        <f t="shared" si="16"/>
        <v>22</v>
      </c>
      <c r="U36" s="425">
        <f t="shared" si="16"/>
        <v>0</v>
      </c>
      <c r="V36" s="426">
        <f>V11</f>
        <v>1121</v>
      </c>
    </row>
    <row r="37" spans="1:22" ht="19.5" customHeight="1">
      <c r="A37" s="427" t="s">
        <v>891</v>
      </c>
      <c r="B37" s="428" cm="1">
        <f t="array" ref="B37">SUMPRODUCT((SVB!$S$2:$S$740&gt;=B80)*(SVB!$S$2:$S$740&lt;=B81)*(SVB!$K$2:$K$740="Switch")*(ISNUMBER(SVB!$O$2:$O$740))*(SVB!$O$2:$O$740))</f>
        <v>88</v>
      </c>
      <c r="C37" s="428" cm="1">
        <f t="array" ref="C37">SUMPRODUCT((SVB!$S$2:$S$740&gt;=C80)*(SVB!$S$2:$S$740&lt;=C81)*(SVB!$K$2:$K$740="Switch")*(ISNUMBER(SVB!$O$2:$O$740))*(SVB!$O$2:$O$740))</f>
        <v>45</v>
      </c>
      <c r="D37" s="428" cm="1">
        <f t="array" ref="D37">SUMPRODUCT((SVB!$S$2:$S$740&gt;=D80)*(SVB!$S$2:$S$740&lt;=D81)*(SVB!$K$2:$K$740="Switch")*(ISNUMBER(SVB!$O$2:$O$740))*(SVB!$O$2:$O$740))</f>
        <v>64</v>
      </c>
      <c r="E37" s="428" cm="1">
        <f t="array" ref="E37">SUMPRODUCT((SVB!$S$2:$S$740&gt;=E80)*(SVB!$S$2:$S$740&lt;=E81)*(SVB!$K$2:$K$740="Switch")*(ISNUMBER(SVB!$O$2:$O$740))*(SVB!$O$2:$O$740))</f>
        <v>51</v>
      </c>
      <c r="F37" s="428" cm="1">
        <f t="array" ref="F37">SUMPRODUCT((SVB!$S$2:$S$740&gt;=F80)*(SVB!$S$2:$S$740&lt;=F81)*(SVB!$K$2:$K$740="Switch")*(ISNUMBER(SVB!$O$2:$O$740))*(SVB!$O$2:$O$740))</f>
        <v>120</v>
      </c>
      <c r="G37" s="428" cm="1">
        <f t="array" ref="G37">SUMPRODUCT((SVB!$S$2:$S$740&gt;=G80)*(SVB!$S$2:$S$740&lt;=G81)*(SVB!$K$2:$K$740="Switch")*(ISNUMBER(SVB!$O$2:$O$740))*(SVB!$O$2:$O$740))</f>
        <v>0</v>
      </c>
      <c r="H37" s="428" cm="1">
        <f t="array" ref="H37">SUMPRODUCT((SVB!$S$2:$S$740&gt;=H80)*(SVB!$S$2:$S$740&lt;=H81)*(SVB!$K$2:$K$740="Switch")*(ISNUMBER(SVB!$O$2:$O$740))*(SVB!$O$2:$O$740))</f>
        <v>0</v>
      </c>
      <c r="I37" s="428" cm="1">
        <f t="array" ref="I37">SUMPRODUCT((SVB!$S$2:$S$740&gt;=I80)*(SVB!$S$2:$S$740&lt;=I81)*(SVB!$K$2:$K$740="Switch")*(ISNUMBER(SVB!$O$2:$O$740))*(SVB!$O$2:$O$740))</f>
        <v>0</v>
      </c>
      <c r="J37" s="428" cm="1">
        <f t="array" ref="J37">SUMPRODUCT((SVB!$S$2:$S$740&gt;=J80)*(SVB!$S$2:$S$740&lt;=J81)*(SVB!$K$2:$K$740="Switch")*(ISNUMBER(SVB!$O$2:$O$740))*(SVB!$O$2:$O$740))</f>
        <v>0</v>
      </c>
      <c r="K37" s="428" cm="1">
        <f t="array" ref="K37">SUMPRODUCT((SVB!$S$2:$S$740&gt;=K80)*(SVB!$S$2:$S$740&lt;=K81)*(SVB!$K$2:$K$740="Switch")*(ISNUMBER(SVB!$O$2:$O$740))*(SVB!$O$2:$O$740))</f>
        <v>0</v>
      </c>
      <c r="L37" s="428" cm="1">
        <f t="array" ref="L37">SUMPRODUCT((SVB!$S$2:$S$740&gt;=L80)*(SVB!$S$2:$S$740&lt;=L81)*(SVB!$K$2:$K$740="Switch")*(ISNUMBER(SVB!$O$2:$O$740))*(SVB!$O$2:$O$740))</f>
        <v>0</v>
      </c>
      <c r="M37" s="428" cm="1">
        <f t="array" ref="M37">SUMPRODUCT((SVB!$S$2:$S$740&gt;=M80)*(SVB!$S$2:$S$740&lt;=M81)*(SVB!$K$2:$K$740="Switch")*(ISNUMBER(SVB!$O$2:$O$740))*(SVB!$O$2:$O$740))</f>
        <v>0</v>
      </c>
      <c r="N37" s="428" cm="1">
        <f t="array" ref="N37">SUMPRODUCT((SVB!$S$2:$S$740&gt;=N80)*(SVB!$S$2:$S$740&lt;=N81)*(SVB!$K$2:$K$740="Switch")*(ISNUMBER(SVB!$O$2:$O$740))*(SVB!$O$2:$O$740))</f>
        <v>0</v>
      </c>
      <c r="O37" s="428" cm="1">
        <f t="array" ref="O37">SUMPRODUCT((SVB!$S$2:$S$740&gt;=O80)*(SVB!$S$2:$S$740&lt;=O81)*(SVB!$K$2:$K$740="Switch")*(ISNUMBER(SVB!$O$2:$O$740))*(SVB!$O$2:$O$740))</f>
        <v>0</v>
      </c>
      <c r="P37" s="428" cm="1">
        <f t="array" ref="P37">SUMPRODUCT((SVB!$S$2:$S$740&gt;=P80)*(SVB!$S$2:$S$740&lt;=P81)*(SVB!$K$2:$K$740="Switch")*(ISNUMBER(SVB!$O$2:$O$740))*(SVB!$O$2:$O$740))</f>
        <v>0</v>
      </c>
      <c r="Q37" s="428" cm="1">
        <f t="array" ref="Q37">SUMPRODUCT((SVB!$S$2:$S$740&gt;=Q80)*(SVB!$S$2:$S$740&lt;=Q81)*(SVB!$K$2:$K$740="Switch")*(ISNUMBER(SVB!$O$2:$O$740))*(SVB!$O$2:$O$740))</f>
        <v>0</v>
      </c>
      <c r="R37" s="428" cm="1">
        <f t="array" ref="R37">SUMPRODUCT((SVB!$S$2:$S$740&gt;=R80)*(SVB!$S$2:$S$740&lt;=R81)*(SVB!$K$2:$K$740="Switch")*(ISNUMBER(SVB!$O$2:$O$740))*(SVB!$O$2:$O$740))</f>
        <v>0</v>
      </c>
      <c r="S37" s="428" cm="1">
        <f t="array" ref="S37">SUMPRODUCT((SVB!$S$2:$S$740&gt;=S80)*(SVB!$S$2:$S$740&lt;=S81)*(SVB!$K$2:$K$740="Switch")*(ISNUMBER(SVB!$O$2:$O$740))*(SVB!$O$2:$O$740))</f>
        <v>0</v>
      </c>
      <c r="T37" s="428" cm="1">
        <f t="array" ref="T37">SUMPRODUCT((SVB!$S$2:$S$740&gt;=T80)*(SVB!$S$2:$S$740&lt;=T81)*(SVB!$K$2:$K$740="Switch")*(ISNUMBER(SVB!$O$2:$O$740))*(SVB!$O$2:$O$740))</f>
        <v>0</v>
      </c>
      <c r="U37" s="428" cm="1">
        <f t="array" ref="U37">SUMPRODUCT((SVB!$S$2:$S$740&gt;=U80)*(SVB!$S$2:$S$740&lt;=U81)*(SVB!$K$2:$K$740="Switch")*(ISNUMBER(SVB!$O$2:$O$740))*(SVB!$O$2:$O$740))</f>
        <v>0</v>
      </c>
      <c r="V37" s="426">
        <f>SUM(B37:U37)</f>
        <v>368</v>
      </c>
    </row>
    <row r="38" spans="1:22" ht="19.5" customHeight="1">
      <c r="A38" s="433" t="s">
        <v>892</v>
      </c>
      <c r="B38" s="434">
        <f>MAX(B37-B36,0)</f>
        <v>0</v>
      </c>
      <c r="C38" s="434">
        <f t="shared" ref="C38:Q38" si="17">MAX(C37-C36,0)</f>
        <v>0</v>
      </c>
      <c r="D38" s="434">
        <f t="shared" si="17"/>
        <v>0</v>
      </c>
      <c r="E38" s="434">
        <f t="shared" si="17"/>
        <v>0</v>
      </c>
      <c r="F38" s="434">
        <f t="shared" si="17"/>
        <v>19</v>
      </c>
      <c r="G38" s="434">
        <f t="shared" si="17"/>
        <v>0</v>
      </c>
      <c r="H38" s="434">
        <f t="shared" si="17"/>
        <v>0</v>
      </c>
      <c r="I38" s="434">
        <f t="shared" si="17"/>
        <v>0</v>
      </c>
      <c r="J38" s="434">
        <f t="shared" si="17"/>
        <v>0</v>
      </c>
      <c r="K38" s="434">
        <f t="shared" si="17"/>
        <v>0</v>
      </c>
      <c r="L38" s="434">
        <f t="shared" si="17"/>
        <v>0</v>
      </c>
      <c r="M38" s="434">
        <f t="shared" si="17"/>
        <v>0</v>
      </c>
      <c r="N38" s="434">
        <f t="shared" si="17"/>
        <v>0</v>
      </c>
      <c r="O38" s="434">
        <f t="shared" si="17"/>
        <v>0</v>
      </c>
      <c r="P38" s="434">
        <f t="shared" si="17"/>
        <v>0</v>
      </c>
      <c r="Q38" s="434">
        <f t="shared" si="17"/>
        <v>0</v>
      </c>
      <c r="R38" s="434">
        <f t="shared" ref="R38:U38" si="18">MAX(R37-R36,0)</f>
        <v>0</v>
      </c>
      <c r="S38" s="434">
        <f t="shared" si="18"/>
        <v>0</v>
      </c>
      <c r="T38" s="434">
        <f t="shared" si="18"/>
        <v>0</v>
      </c>
      <c r="U38" s="434">
        <f t="shared" si="18"/>
        <v>0</v>
      </c>
      <c r="V38" s="426">
        <f>MAX(V37-V36,0)</f>
        <v>0</v>
      </c>
    </row>
    <row r="39" spans="1:22" ht="19.5" customHeight="1">
      <c r="A39" s="433" t="s">
        <v>893</v>
      </c>
      <c r="B39" s="434">
        <f>MAX(B36-B37,0)</f>
        <v>0</v>
      </c>
      <c r="C39" s="434">
        <f t="shared" ref="C39:Q39" si="19">MAX(C36-C37,0)</f>
        <v>0</v>
      </c>
      <c r="D39" s="434">
        <f t="shared" si="19"/>
        <v>0</v>
      </c>
      <c r="E39" s="434">
        <f t="shared" si="19"/>
        <v>2</v>
      </c>
      <c r="F39" s="434">
        <f t="shared" si="19"/>
        <v>0</v>
      </c>
      <c r="G39" s="434">
        <f t="shared" si="19"/>
        <v>62</v>
      </c>
      <c r="H39" s="434">
        <f t="shared" si="19"/>
        <v>30</v>
      </c>
      <c r="I39" s="434">
        <f t="shared" si="19"/>
        <v>35</v>
      </c>
      <c r="J39" s="434">
        <f t="shared" si="19"/>
        <v>31</v>
      </c>
      <c r="K39" s="434">
        <f t="shared" si="19"/>
        <v>49</v>
      </c>
      <c r="L39" s="434">
        <f t="shared" si="19"/>
        <v>49</v>
      </c>
      <c r="M39" s="434">
        <f t="shared" si="19"/>
        <v>97</v>
      </c>
      <c r="N39" s="434">
        <f t="shared" si="19"/>
        <v>50</v>
      </c>
      <c r="O39" s="434">
        <f t="shared" si="19"/>
        <v>58</v>
      </c>
      <c r="P39" s="434">
        <f t="shared" si="19"/>
        <v>77</v>
      </c>
      <c r="Q39" s="434">
        <f t="shared" si="19"/>
        <v>88</v>
      </c>
      <c r="R39" s="434">
        <f t="shared" ref="R39:U39" si="20">MAX(R36-R37,0)</f>
        <v>67</v>
      </c>
      <c r="S39" s="434">
        <f t="shared" si="20"/>
        <v>55</v>
      </c>
      <c r="T39" s="434">
        <f t="shared" si="20"/>
        <v>22</v>
      </c>
      <c r="U39" s="434">
        <f t="shared" si="20"/>
        <v>0</v>
      </c>
      <c r="V39" s="426">
        <f>MAX(V36-V37,0)</f>
        <v>753</v>
      </c>
    </row>
    <row r="40" spans="1:22" ht="19.5" customHeight="1">
      <c r="A40" s="429" t="s">
        <v>894</v>
      </c>
      <c r="B40" s="430">
        <f>IF(B36=0,IF(B37=0,"-","100%"),B37/B36)</f>
        <v>1</v>
      </c>
      <c r="C40" s="430">
        <f t="shared" ref="C40:Q40" si="21">IF(C36=0,IF(C37=0,"-","100%"),C37/C36)</f>
        <v>1</v>
      </c>
      <c r="D40" s="430">
        <f t="shared" si="21"/>
        <v>1</v>
      </c>
      <c r="E40" s="430">
        <f t="shared" si="21"/>
        <v>0.96226415094339623</v>
      </c>
      <c r="F40" s="430">
        <f t="shared" si="21"/>
        <v>1.1881188118811881</v>
      </c>
      <c r="G40" s="430">
        <f t="shared" si="21"/>
        <v>0</v>
      </c>
      <c r="H40" s="430">
        <f t="shared" si="21"/>
        <v>0</v>
      </c>
      <c r="I40" s="430">
        <f t="shared" si="21"/>
        <v>0</v>
      </c>
      <c r="J40" s="430">
        <f t="shared" si="21"/>
        <v>0</v>
      </c>
      <c r="K40" s="430">
        <f t="shared" si="21"/>
        <v>0</v>
      </c>
      <c r="L40" s="430">
        <f t="shared" si="21"/>
        <v>0</v>
      </c>
      <c r="M40" s="430">
        <f t="shared" si="21"/>
        <v>0</v>
      </c>
      <c r="N40" s="430">
        <f t="shared" si="21"/>
        <v>0</v>
      </c>
      <c r="O40" s="430">
        <f t="shared" si="21"/>
        <v>0</v>
      </c>
      <c r="P40" s="430">
        <f t="shared" si="21"/>
        <v>0</v>
      </c>
      <c r="Q40" s="430">
        <f t="shared" si="21"/>
        <v>0</v>
      </c>
      <c r="R40" s="430">
        <f t="shared" ref="R40:U40" si="22">IF(R36=0,IF(R37=0,"-","100%"),R37/R36)</f>
        <v>0</v>
      </c>
      <c r="S40" s="430">
        <f t="shared" si="22"/>
        <v>0</v>
      </c>
      <c r="T40" s="430">
        <f t="shared" si="22"/>
        <v>0</v>
      </c>
      <c r="U40" s="430" t="str">
        <f t="shared" si="22"/>
        <v>-</v>
      </c>
      <c r="V40" s="423">
        <f>IF(V36=0,"-",V37/V36)</f>
        <v>0.32827832292595899</v>
      </c>
    </row>
    <row r="41" spans="1:22" ht="3.6" customHeight="1"/>
    <row r="42" spans="1:22" ht="21.75" customHeight="1">
      <c r="A42" s="1142" t="s">
        <v>895</v>
      </c>
      <c r="B42" s="1143"/>
      <c r="C42" s="1143"/>
      <c r="D42" s="1143"/>
      <c r="E42" s="1143"/>
      <c r="F42" s="1143"/>
      <c r="G42" s="1143"/>
      <c r="H42" s="1143"/>
      <c r="I42" s="1143"/>
      <c r="J42" s="1143"/>
      <c r="K42" s="1143"/>
      <c r="L42" s="1143"/>
      <c r="M42" s="1143"/>
      <c r="N42" s="1143"/>
      <c r="O42" s="1143"/>
      <c r="P42" s="1143"/>
      <c r="Q42" s="1143"/>
      <c r="R42" s="1143"/>
      <c r="S42" s="1143"/>
      <c r="T42" s="1143"/>
      <c r="U42" s="1143"/>
      <c r="V42" s="1143"/>
    </row>
    <row r="43" spans="1:22" ht="19.5" customHeight="1">
      <c r="A43" s="424" t="s">
        <v>896</v>
      </c>
      <c r="B43" s="425">
        <f>B15</f>
        <v>43</v>
      </c>
      <c r="C43" s="425">
        <f t="shared" ref="C43:U43" si="23">C15</f>
        <v>24</v>
      </c>
      <c r="D43" s="425">
        <f t="shared" si="23"/>
        <v>0</v>
      </c>
      <c r="E43" s="425">
        <f t="shared" si="23"/>
        <v>0</v>
      </c>
      <c r="F43" s="425">
        <f t="shared" si="23"/>
        <v>0</v>
      </c>
      <c r="G43" s="425">
        <f t="shared" si="23"/>
        <v>177</v>
      </c>
      <c r="H43" s="425">
        <f t="shared" si="23"/>
        <v>19</v>
      </c>
      <c r="I43" s="425">
        <f t="shared" si="23"/>
        <v>15</v>
      </c>
      <c r="J43" s="425">
        <f t="shared" si="23"/>
        <v>0</v>
      </c>
      <c r="K43" s="425">
        <f t="shared" si="23"/>
        <v>37</v>
      </c>
      <c r="L43" s="425">
        <f t="shared" si="23"/>
        <v>44</v>
      </c>
      <c r="M43" s="425">
        <f t="shared" si="23"/>
        <v>0</v>
      </c>
      <c r="N43" s="425">
        <f t="shared" si="23"/>
        <v>0</v>
      </c>
      <c r="O43" s="425">
        <f t="shared" si="23"/>
        <v>0</v>
      </c>
      <c r="P43" s="425">
        <f t="shared" si="23"/>
        <v>0</v>
      </c>
      <c r="Q43" s="425">
        <f t="shared" si="23"/>
        <v>11</v>
      </c>
      <c r="R43" s="425">
        <f t="shared" si="23"/>
        <v>32</v>
      </c>
      <c r="S43" s="425">
        <f t="shared" si="23"/>
        <v>42</v>
      </c>
      <c r="T43" s="425">
        <f t="shared" si="23"/>
        <v>1</v>
      </c>
      <c r="U43" s="425">
        <f t="shared" si="23"/>
        <v>0</v>
      </c>
      <c r="V43" s="426">
        <f>V15</f>
        <v>445</v>
      </c>
    </row>
    <row r="44" spans="1:22" ht="19.5" customHeight="1">
      <c r="A44" s="427" t="s">
        <v>897</v>
      </c>
      <c r="B44" s="428" cm="1">
        <f t="array" ref="B44">SUMPRODUCT((SVB!$S$2:$S$740&gt;=B80)*(SVB!$S$2:$S$740&lt;=B81)*(SVB!$K$2:$K$740="AP")*(ISNUMBER(SVB!$O$2:$O$740))*(SVB!$O$2:$O$740))</f>
        <v>67</v>
      </c>
      <c r="C44" s="428" cm="1">
        <f t="array" ref="C44">SUMPRODUCT((SVB!$S$2:$S$740&gt;=C80)*(SVB!$S$2:$S$740&lt;=C81)*(SVB!$K$2:$K$740="AP")*(ISNUMBER(SVB!$O$2:$O$740))*(SVB!$O$2:$O$740))</f>
        <v>0</v>
      </c>
      <c r="D44" s="428" cm="1">
        <f t="array" ref="D44">SUMPRODUCT((SVB!$S$2:$S$740&gt;=D80)*(SVB!$S$2:$S$740&lt;=D81)*(SVB!$K$2:$K$740="AP")*(ISNUMBER(SVB!$O$2:$O$740))*(SVB!$O$2:$O$740))</f>
        <v>0</v>
      </c>
      <c r="E44" s="428" cm="1">
        <f t="array" ref="E44">SUMPRODUCT((SVB!$S$2:$S$740&gt;=E80)*(SVB!$S$2:$S$740&lt;=E81)*(SVB!$K$2:$K$740="AP")*(ISNUMBER(SVB!$O$2:$O$740))*(SVB!$O$2:$O$740))</f>
        <v>0</v>
      </c>
      <c r="F44" s="428" cm="1">
        <f t="array" ref="F44">SUMPRODUCT((SVB!$S$2:$S$740&gt;=F80)*(SVB!$S$2:$S$740&lt;=F81)*(SVB!$K$2:$K$740="AP")*(ISNUMBER(SVB!$O$2:$O$740))*(SVB!$O$2:$O$740))</f>
        <v>0</v>
      </c>
      <c r="G44" s="428" cm="1">
        <f t="array" ref="G44">SUMPRODUCT((SVB!$S$2:$S$740&gt;=G80)*(SVB!$S$2:$S$740&lt;=G81)*(SVB!$K$2:$K$740="AP")*(ISNUMBER(SVB!$O$2:$O$740))*(SVB!$O$2:$O$740))</f>
        <v>0</v>
      </c>
      <c r="H44" s="428" cm="1">
        <f t="array" ref="H44">SUMPRODUCT((SVB!$S$2:$S$740&gt;=H80)*(SVB!$S$2:$S$740&lt;=H81)*(SVB!$K$2:$K$740="AP")*(ISNUMBER(SVB!$O$2:$O$740))*(SVB!$O$2:$O$740))</f>
        <v>0</v>
      </c>
      <c r="I44" s="428" cm="1">
        <f t="array" ref="I44">SUMPRODUCT((SVB!$S$2:$S$740&gt;=I80)*(SVB!$S$2:$S$740&lt;=I81)*(SVB!$K$2:$K$740="AP")*(ISNUMBER(SVB!$O$2:$O$740))*(SVB!$O$2:$O$740))</f>
        <v>0</v>
      </c>
      <c r="J44" s="428" cm="1">
        <f t="array" ref="J44">SUMPRODUCT((SVB!$S$2:$S$740&gt;=J80)*(SVB!$S$2:$S$740&lt;=J81)*(SVB!$K$2:$K$740="AP")*(ISNUMBER(SVB!$O$2:$O$740))*(SVB!$O$2:$O$740))</f>
        <v>0</v>
      </c>
      <c r="K44" s="428" cm="1">
        <f t="array" ref="K44">SUMPRODUCT((SVB!$S$2:$S$740&gt;=K80)*(SVB!$S$2:$S$740&lt;=K81)*(SVB!$K$2:$K$740="AP")*(ISNUMBER(SVB!$O$2:$O$740))*(SVB!$O$2:$O$740))</f>
        <v>0</v>
      </c>
      <c r="L44" s="428" cm="1">
        <f t="array" ref="L44">SUMPRODUCT((SVB!$S$2:$S$740&gt;=L80)*(SVB!$S$2:$S$740&lt;=L81)*(SVB!$K$2:$K$740="AP")*(ISNUMBER(SVB!$O$2:$O$740))*(SVB!$O$2:$O$740))</f>
        <v>0</v>
      </c>
      <c r="M44" s="428" cm="1">
        <f t="array" ref="M44">SUMPRODUCT((SVB!$S$2:$S$740&gt;=M80)*(SVB!$S$2:$S$740&lt;=M81)*(SVB!$K$2:$K$740="AP")*(ISNUMBER(SVB!$O$2:$O$740))*(SVB!$O$2:$O$740))</f>
        <v>0</v>
      </c>
      <c r="N44" s="428" cm="1">
        <f t="array" ref="N44">SUMPRODUCT((SVB!$S$2:$S$740&gt;=N80)*(SVB!$S$2:$S$740&lt;=N81)*(SVB!$K$2:$K$740="AP")*(ISNUMBER(SVB!$O$2:$O$740))*(SVB!$O$2:$O$740))</f>
        <v>0</v>
      </c>
      <c r="O44" s="428" cm="1">
        <f t="array" ref="O44">SUMPRODUCT((SVB!$S$2:$S$740&gt;=O80)*(SVB!$S$2:$S$740&lt;=O81)*(SVB!$K$2:$K$740="AP")*(ISNUMBER(SVB!$O$2:$O$740))*(SVB!$O$2:$O$740))</f>
        <v>0</v>
      </c>
      <c r="P44" s="428" cm="1">
        <f t="array" ref="P44">SUMPRODUCT((SVB!$S$2:$S$740&gt;=P80)*(SVB!$S$2:$S$740&lt;=P81)*(SVB!$K$2:$K$740="AP")*(ISNUMBER(SVB!$O$2:$O$740))*(SVB!$O$2:$O$740))</f>
        <v>0</v>
      </c>
      <c r="Q44" s="428" cm="1">
        <f t="array" ref="Q44">SUMPRODUCT((SVB!$S$2:$S$740&gt;=Q80)*(SVB!$S$2:$S$740&lt;=Q81)*(SVB!$K$2:$K$740="AP")*(ISNUMBER(SVB!$O$2:$O$740))*(SVB!$O$2:$O$740))</f>
        <v>0</v>
      </c>
      <c r="R44" s="428" cm="1">
        <f t="array" ref="R44">SUMPRODUCT((SVB!$S$2:$S$740&gt;=R80)*(SVB!$S$2:$S$740&lt;=R81)*(SVB!$K$2:$K$740="AP")*(ISNUMBER(SVB!$O$2:$O$740))*(SVB!$O$2:$O$740))</f>
        <v>0</v>
      </c>
      <c r="S44" s="428" cm="1">
        <f t="array" ref="S44">SUMPRODUCT((SVB!$S$2:$S$740&gt;=S80)*(SVB!$S$2:$S$740&lt;=S81)*(SVB!$K$2:$K$740="AP")*(ISNUMBER(SVB!$O$2:$O$740))*(SVB!$O$2:$O$740))</f>
        <v>0</v>
      </c>
      <c r="T44" s="428" cm="1">
        <f t="array" ref="T44">SUMPRODUCT((SVB!$S$2:$S$740&gt;=T80)*(SVB!$S$2:$S$740&lt;=T81)*(SVB!$K$2:$K$740="AP")*(ISNUMBER(SVB!$O$2:$O$740))*(SVB!$O$2:$O$740))</f>
        <v>0</v>
      </c>
      <c r="U44" s="428" cm="1">
        <f t="array" ref="U44">SUMPRODUCT((SVB!$S$2:$S$740&gt;=U80)*(SVB!$S$2:$S$740&lt;=U81)*(SVB!$K$2:$K$740="AP")*(ISNUMBER(SVB!$O$2:$O$740))*(SVB!$O$2:$O$740))</f>
        <v>0</v>
      </c>
      <c r="V44" s="426">
        <f>SUM(B44:U44)</f>
        <v>67</v>
      </c>
    </row>
    <row r="45" spans="1:22" ht="19.5" customHeight="1">
      <c r="A45" s="433" t="s">
        <v>898</v>
      </c>
      <c r="B45" s="434">
        <f>MAX(B44-B43,0)</f>
        <v>24</v>
      </c>
      <c r="C45" s="434">
        <f t="shared" ref="C45:Q45" si="24">MAX(C44-C43,0)</f>
        <v>0</v>
      </c>
      <c r="D45" s="434">
        <f t="shared" si="24"/>
        <v>0</v>
      </c>
      <c r="E45" s="434">
        <f t="shared" si="24"/>
        <v>0</v>
      </c>
      <c r="F45" s="434">
        <f t="shared" si="24"/>
        <v>0</v>
      </c>
      <c r="G45" s="434">
        <f t="shared" si="24"/>
        <v>0</v>
      </c>
      <c r="H45" s="434">
        <f t="shared" si="24"/>
        <v>0</v>
      </c>
      <c r="I45" s="434">
        <f t="shared" si="24"/>
        <v>0</v>
      </c>
      <c r="J45" s="434">
        <f t="shared" si="24"/>
        <v>0</v>
      </c>
      <c r="K45" s="434">
        <f t="shared" si="24"/>
        <v>0</v>
      </c>
      <c r="L45" s="434">
        <f t="shared" si="24"/>
        <v>0</v>
      </c>
      <c r="M45" s="434">
        <f t="shared" si="24"/>
        <v>0</v>
      </c>
      <c r="N45" s="434">
        <f t="shared" si="24"/>
        <v>0</v>
      </c>
      <c r="O45" s="434">
        <f t="shared" si="24"/>
        <v>0</v>
      </c>
      <c r="P45" s="434">
        <f t="shared" si="24"/>
        <v>0</v>
      </c>
      <c r="Q45" s="434">
        <f t="shared" si="24"/>
        <v>0</v>
      </c>
      <c r="R45" s="434">
        <f t="shared" ref="R45:U45" si="25">MAX(R44-R43,0)</f>
        <v>0</v>
      </c>
      <c r="S45" s="434">
        <f t="shared" si="25"/>
        <v>0</v>
      </c>
      <c r="T45" s="434">
        <f t="shared" si="25"/>
        <v>0</v>
      </c>
      <c r="U45" s="434">
        <f t="shared" si="25"/>
        <v>0</v>
      </c>
      <c r="V45" s="426">
        <f>MAX(V44-V43,0)</f>
        <v>0</v>
      </c>
    </row>
    <row r="46" spans="1:22" ht="19.5" customHeight="1">
      <c r="A46" s="433" t="s">
        <v>899</v>
      </c>
      <c r="B46" s="434">
        <f>MAX(B43-B44,0)</f>
        <v>0</v>
      </c>
      <c r="C46" s="434">
        <f t="shared" ref="C46:Q46" si="26">MAX(C43-C44,0)</f>
        <v>24</v>
      </c>
      <c r="D46" s="434">
        <f t="shared" si="26"/>
        <v>0</v>
      </c>
      <c r="E46" s="434">
        <f t="shared" si="26"/>
        <v>0</v>
      </c>
      <c r="F46" s="434">
        <f t="shared" si="26"/>
        <v>0</v>
      </c>
      <c r="G46" s="434">
        <f t="shared" si="26"/>
        <v>177</v>
      </c>
      <c r="H46" s="434">
        <f t="shared" si="26"/>
        <v>19</v>
      </c>
      <c r="I46" s="434">
        <f t="shared" si="26"/>
        <v>15</v>
      </c>
      <c r="J46" s="434">
        <f t="shared" si="26"/>
        <v>0</v>
      </c>
      <c r="K46" s="434">
        <f t="shared" si="26"/>
        <v>37</v>
      </c>
      <c r="L46" s="434">
        <f t="shared" si="26"/>
        <v>44</v>
      </c>
      <c r="M46" s="434">
        <f t="shared" si="26"/>
        <v>0</v>
      </c>
      <c r="N46" s="434">
        <f t="shared" si="26"/>
        <v>0</v>
      </c>
      <c r="O46" s="434">
        <f t="shared" si="26"/>
        <v>0</v>
      </c>
      <c r="P46" s="434">
        <f t="shared" si="26"/>
        <v>0</v>
      </c>
      <c r="Q46" s="434">
        <f t="shared" si="26"/>
        <v>11</v>
      </c>
      <c r="R46" s="434">
        <f t="shared" ref="R46:U46" si="27">MAX(R43-R44,0)</f>
        <v>32</v>
      </c>
      <c r="S46" s="434">
        <f t="shared" si="27"/>
        <v>42</v>
      </c>
      <c r="T46" s="434">
        <f t="shared" si="27"/>
        <v>1</v>
      </c>
      <c r="U46" s="434">
        <f t="shared" si="27"/>
        <v>0</v>
      </c>
      <c r="V46" s="426">
        <f>MAX(V43-V44,0)</f>
        <v>378</v>
      </c>
    </row>
    <row r="47" spans="1:22" ht="19.2" customHeight="1">
      <c r="A47" s="429" t="s">
        <v>900</v>
      </c>
      <c r="B47" s="430">
        <f>IF(B43=0,IF(B44=0,"-","100%"),B44/B43)</f>
        <v>1.558139534883721</v>
      </c>
      <c r="C47" s="430">
        <f t="shared" ref="C47:Q47" si="28">IF(C43=0,IF(C44=0,"-","100%"),C44/C43)</f>
        <v>0</v>
      </c>
      <c r="D47" s="430" t="str">
        <f t="shared" si="28"/>
        <v>-</v>
      </c>
      <c r="E47" s="430" t="str">
        <f t="shared" si="28"/>
        <v>-</v>
      </c>
      <c r="F47" s="430" t="str">
        <f t="shared" si="28"/>
        <v>-</v>
      </c>
      <c r="G47" s="430">
        <f t="shared" si="28"/>
        <v>0</v>
      </c>
      <c r="H47" s="430">
        <f t="shared" si="28"/>
        <v>0</v>
      </c>
      <c r="I47" s="430">
        <f t="shared" si="28"/>
        <v>0</v>
      </c>
      <c r="J47" s="430" t="str">
        <f t="shared" si="28"/>
        <v>-</v>
      </c>
      <c r="K47" s="430">
        <f t="shared" si="28"/>
        <v>0</v>
      </c>
      <c r="L47" s="430">
        <f t="shared" si="28"/>
        <v>0</v>
      </c>
      <c r="M47" s="430" t="str">
        <f t="shared" si="28"/>
        <v>-</v>
      </c>
      <c r="N47" s="430" t="str">
        <f t="shared" si="28"/>
        <v>-</v>
      </c>
      <c r="O47" s="430" t="str">
        <f t="shared" si="28"/>
        <v>-</v>
      </c>
      <c r="P47" s="430" t="str">
        <f t="shared" si="28"/>
        <v>-</v>
      </c>
      <c r="Q47" s="430">
        <f t="shared" si="28"/>
        <v>0</v>
      </c>
      <c r="R47" s="430">
        <f t="shared" ref="R47:U47" si="29">IF(R43=0,IF(R44=0,"-","100%"),R44/R43)</f>
        <v>0</v>
      </c>
      <c r="S47" s="430">
        <f t="shared" si="29"/>
        <v>0</v>
      </c>
      <c r="T47" s="430">
        <f t="shared" si="29"/>
        <v>0</v>
      </c>
      <c r="U47" s="430" t="str">
        <f t="shared" si="29"/>
        <v>-</v>
      </c>
      <c r="V47" s="423">
        <f>IF(V43=0,"-",V44/V43)</f>
        <v>0.15056179775280898</v>
      </c>
    </row>
    <row r="48" spans="1:22" ht="3.6" customHeight="1"/>
    <row r="49" spans="1:22" ht="21.75" customHeight="1">
      <c r="A49" s="1144" t="s">
        <v>325</v>
      </c>
      <c r="B49" s="1145"/>
      <c r="C49" s="1145"/>
      <c r="D49" s="1145"/>
      <c r="E49" s="1145"/>
      <c r="F49" s="1145"/>
      <c r="G49" s="1145"/>
      <c r="H49" s="1145"/>
      <c r="I49" s="1145"/>
      <c r="J49" s="1145"/>
      <c r="K49" s="1145"/>
      <c r="L49" s="1145"/>
      <c r="M49" s="1145"/>
      <c r="N49" s="1145"/>
      <c r="O49" s="1145"/>
      <c r="P49" s="1145"/>
      <c r="Q49" s="1145"/>
      <c r="R49" s="1145"/>
      <c r="S49" s="1145"/>
      <c r="T49" s="1145"/>
      <c r="U49" s="1145"/>
      <c r="V49" s="1145"/>
    </row>
    <row r="50" spans="1:22" ht="19.5" customHeight="1">
      <c r="A50" s="431" t="s">
        <v>326</v>
      </c>
      <c r="B50" s="432">
        <f>IF(B7=0,"-",(B20+B25+B30)/(B7*3))</f>
        <v>1.1699346405228759</v>
      </c>
      <c r="C50" s="432">
        <f t="shared" ref="C50:U50" si="30">IF(C7=0,"-",(C20+C25+C30)/(C7*3))</f>
        <v>0.65217391304347827</v>
      </c>
      <c r="D50" s="432">
        <f t="shared" si="30"/>
        <v>0.96969696969696972</v>
      </c>
      <c r="E50" s="432">
        <f t="shared" si="30"/>
        <v>0.96226415094339623</v>
      </c>
      <c r="F50" s="432">
        <f t="shared" si="30"/>
        <v>1.1881188118811881</v>
      </c>
      <c r="G50" s="432">
        <f t="shared" si="30"/>
        <v>0</v>
      </c>
      <c r="H50" s="432">
        <f t="shared" si="30"/>
        <v>0</v>
      </c>
      <c r="I50" s="432">
        <f t="shared" si="30"/>
        <v>0</v>
      </c>
      <c r="J50" s="432">
        <f t="shared" si="30"/>
        <v>0</v>
      </c>
      <c r="K50" s="432">
        <f t="shared" si="30"/>
        <v>0</v>
      </c>
      <c r="L50" s="432">
        <f t="shared" si="30"/>
        <v>0</v>
      </c>
      <c r="M50" s="432">
        <f t="shared" si="30"/>
        <v>0</v>
      </c>
      <c r="N50" s="432">
        <f t="shared" si="30"/>
        <v>0</v>
      </c>
      <c r="O50" s="432">
        <f t="shared" si="30"/>
        <v>0</v>
      </c>
      <c r="P50" s="432">
        <f t="shared" si="30"/>
        <v>0</v>
      </c>
      <c r="Q50" s="432">
        <f t="shared" si="30"/>
        <v>0</v>
      </c>
      <c r="R50" s="432">
        <f t="shared" si="30"/>
        <v>0</v>
      </c>
      <c r="S50" s="432">
        <f t="shared" si="30"/>
        <v>0</v>
      </c>
      <c r="T50" s="432">
        <f t="shared" si="30"/>
        <v>0</v>
      </c>
      <c r="U50" s="432" t="str">
        <f t="shared" si="30"/>
        <v>-</v>
      </c>
      <c r="V50" s="423">
        <f t="shared" ref="V50" si="31">IF(V7=0,"-",(V20+V25+V30)/(V7*3))</f>
        <v>0.28831658291457285</v>
      </c>
    </row>
    <row r="51" spans="1:22" ht="4.5" customHeight="1"/>
    <row r="52" spans="1:22" ht="19.5" customHeight="1">
      <c r="A52" s="433" t="s">
        <v>327</v>
      </c>
      <c r="B52" s="434">
        <f>SUM($B7:B7)</f>
        <v>153</v>
      </c>
      <c r="C52" s="434">
        <f>SUM($B7:C7)</f>
        <v>222</v>
      </c>
      <c r="D52" s="434">
        <f>SUM($B7:D7)</f>
        <v>288</v>
      </c>
      <c r="E52" s="434">
        <f>SUM($B7:E7)</f>
        <v>341</v>
      </c>
      <c r="F52" s="434">
        <f>SUM($B7:F7)</f>
        <v>442</v>
      </c>
      <c r="G52" s="434">
        <f>SUM($B7:G7)</f>
        <v>683</v>
      </c>
      <c r="H52" s="434">
        <f>SUM($B7:H7)</f>
        <v>732</v>
      </c>
      <c r="I52" s="434">
        <f>SUM($B7:I7)</f>
        <v>782</v>
      </c>
      <c r="J52" s="434">
        <f>SUM($B7:J7)</f>
        <v>813</v>
      </c>
      <c r="K52" s="434">
        <f>SUM($B7:K7)</f>
        <v>899</v>
      </c>
      <c r="L52" s="434">
        <f>SUM($B7:L7)</f>
        <v>992</v>
      </c>
      <c r="M52" s="434">
        <f>SUM($B7:M7)</f>
        <v>1089</v>
      </c>
      <c r="N52" s="434">
        <f>SUM($B7:N7)</f>
        <v>1139</v>
      </c>
      <c r="O52" s="434">
        <f>SUM($B7:O7)</f>
        <v>1197</v>
      </c>
      <c r="P52" s="434">
        <f>SUM($B7:P7)</f>
        <v>1274</v>
      </c>
      <c r="Q52" s="434">
        <f>SUM($B7:Q7)</f>
        <v>1373</v>
      </c>
      <c r="R52" s="434">
        <f>SUM($B7:R7)</f>
        <v>1472</v>
      </c>
      <c r="S52" s="434">
        <f>SUM($B7:S7)</f>
        <v>1569</v>
      </c>
      <c r="T52" s="434">
        <f>SUM($B7:T7)</f>
        <v>1592</v>
      </c>
      <c r="U52" s="434">
        <f>SUM($B7:U7)</f>
        <v>1592</v>
      </c>
      <c r="V52" s="426">
        <f>V7</f>
        <v>1592</v>
      </c>
    </row>
    <row r="53" spans="1:22" ht="19.5" customHeight="1">
      <c r="A53" s="433" t="s">
        <v>328</v>
      </c>
      <c r="B53" s="434">
        <f>SUM($B30:B30)</f>
        <v>179</v>
      </c>
      <c r="C53" s="434">
        <f>SUM($B30:C30)</f>
        <v>224</v>
      </c>
      <c r="D53" s="434">
        <f>SUM($B30:D30)</f>
        <v>288</v>
      </c>
      <c r="E53" s="434">
        <f>SUM($B30:E30)</f>
        <v>339</v>
      </c>
      <c r="F53" s="434">
        <f>SUM($B30:F30)</f>
        <v>459</v>
      </c>
      <c r="G53" s="434">
        <f>SUM($B30:G30)</f>
        <v>459</v>
      </c>
      <c r="H53" s="434">
        <f>SUM($B30:H30)</f>
        <v>459</v>
      </c>
      <c r="I53" s="434">
        <f>SUM($B30:I30)</f>
        <v>459</v>
      </c>
      <c r="J53" s="434">
        <f>SUM($B30:J30)</f>
        <v>459</v>
      </c>
      <c r="K53" s="434">
        <f>SUM($B30:K30)</f>
        <v>459</v>
      </c>
      <c r="L53" s="434">
        <f>SUM($B30:L30)</f>
        <v>459</v>
      </c>
      <c r="M53" s="434">
        <f>SUM($B30:M30)</f>
        <v>459</v>
      </c>
      <c r="N53" s="434">
        <f>SUM($B30:N30)</f>
        <v>459</v>
      </c>
      <c r="O53" s="434">
        <f>SUM($B30:O30)</f>
        <v>459</v>
      </c>
      <c r="P53" s="434">
        <f>SUM($B30:P30)</f>
        <v>459</v>
      </c>
      <c r="Q53" s="434">
        <f>SUM($B30:Q30)</f>
        <v>459</v>
      </c>
      <c r="R53" s="434">
        <f>SUM($B30:R30)</f>
        <v>459</v>
      </c>
      <c r="S53" s="434">
        <f>SUM($B30:S30)</f>
        <v>459</v>
      </c>
      <c r="T53" s="434">
        <f>SUM($B30:T30)</f>
        <v>459</v>
      </c>
      <c r="U53" s="434">
        <f>SUM($B30:U30)</f>
        <v>459</v>
      </c>
      <c r="V53" s="426">
        <f>V30</f>
        <v>459</v>
      </c>
    </row>
    <row r="54" spans="1:22" ht="19.5" customHeight="1">
      <c r="A54" s="435" t="s">
        <v>329</v>
      </c>
      <c r="B54" s="436">
        <f>IF($V$52=0,"-",B53/$V$52)</f>
        <v>0.11243718592964824</v>
      </c>
      <c r="C54" s="436">
        <f t="shared" ref="C54:U54" si="32">IF($V$52=0,"-",C53/$V$52)</f>
        <v>0.1407035175879397</v>
      </c>
      <c r="D54" s="436">
        <f t="shared" si="32"/>
        <v>0.18090452261306533</v>
      </c>
      <c r="E54" s="436">
        <f t="shared" si="32"/>
        <v>0.2129396984924623</v>
      </c>
      <c r="F54" s="436">
        <f t="shared" si="32"/>
        <v>0.28831658291457285</v>
      </c>
      <c r="G54" s="436">
        <f t="shared" si="32"/>
        <v>0.28831658291457285</v>
      </c>
      <c r="H54" s="436">
        <f t="shared" si="32"/>
        <v>0.28831658291457285</v>
      </c>
      <c r="I54" s="436">
        <f t="shared" si="32"/>
        <v>0.28831658291457285</v>
      </c>
      <c r="J54" s="436">
        <f t="shared" si="32"/>
        <v>0.28831658291457285</v>
      </c>
      <c r="K54" s="436">
        <f t="shared" si="32"/>
        <v>0.28831658291457285</v>
      </c>
      <c r="L54" s="436">
        <f t="shared" si="32"/>
        <v>0.28831658291457285</v>
      </c>
      <c r="M54" s="436">
        <f t="shared" si="32"/>
        <v>0.28831658291457285</v>
      </c>
      <c r="N54" s="436">
        <f t="shared" si="32"/>
        <v>0.28831658291457285</v>
      </c>
      <c r="O54" s="436">
        <f t="shared" si="32"/>
        <v>0.28831658291457285</v>
      </c>
      <c r="P54" s="436">
        <f t="shared" si="32"/>
        <v>0.28831658291457285</v>
      </c>
      <c r="Q54" s="436">
        <f t="shared" si="32"/>
        <v>0.28831658291457285</v>
      </c>
      <c r="R54" s="436">
        <f t="shared" si="32"/>
        <v>0.28831658291457285</v>
      </c>
      <c r="S54" s="436">
        <f t="shared" si="32"/>
        <v>0.28831658291457285</v>
      </c>
      <c r="T54" s="436">
        <f t="shared" si="32"/>
        <v>0.28831658291457285</v>
      </c>
      <c r="U54" s="436">
        <f t="shared" si="32"/>
        <v>0.28831658291457285</v>
      </c>
      <c r="V54" s="423">
        <f>IF(V7=0,"-",V53/V7)</f>
        <v>0.28831658291457285</v>
      </c>
    </row>
    <row r="55" spans="1:22" ht="19.2" customHeight="1">
      <c r="A55" s="437" t="s">
        <v>330</v>
      </c>
      <c r="B55" s="438">
        <f>IF($V$52=0,"-",B52/$V$52)</f>
        <v>9.6105527638190955E-2</v>
      </c>
      <c r="C55" s="438">
        <f t="shared" ref="C55:U55" si="33">IF($V$52=0,"-",C52/$V$52)</f>
        <v>0.13944723618090452</v>
      </c>
      <c r="D55" s="438">
        <f t="shared" si="33"/>
        <v>0.18090452261306533</v>
      </c>
      <c r="E55" s="438">
        <f t="shared" si="33"/>
        <v>0.21419597989949749</v>
      </c>
      <c r="F55" s="438">
        <f t="shared" si="33"/>
        <v>0.27763819095477388</v>
      </c>
      <c r="G55" s="438">
        <f t="shared" si="33"/>
        <v>0.42902010050251255</v>
      </c>
      <c r="H55" s="438">
        <f t="shared" si="33"/>
        <v>0.45979899497487436</v>
      </c>
      <c r="I55" s="438">
        <f t="shared" si="33"/>
        <v>0.49120603015075376</v>
      </c>
      <c r="J55" s="438">
        <f t="shared" si="33"/>
        <v>0.51067839195979903</v>
      </c>
      <c r="K55" s="438">
        <f t="shared" si="33"/>
        <v>0.56469849246231152</v>
      </c>
      <c r="L55" s="438">
        <f t="shared" si="33"/>
        <v>0.62311557788944727</v>
      </c>
      <c r="M55" s="438">
        <f t="shared" si="33"/>
        <v>0.68404522613065322</v>
      </c>
      <c r="N55" s="438">
        <f t="shared" si="33"/>
        <v>0.71545226130653261</v>
      </c>
      <c r="O55" s="438">
        <f t="shared" si="33"/>
        <v>0.75188442211055273</v>
      </c>
      <c r="P55" s="438">
        <f t="shared" si="33"/>
        <v>0.80025125628140703</v>
      </c>
      <c r="Q55" s="438">
        <f t="shared" si="33"/>
        <v>0.86243718592964824</v>
      </c>
      <c r="R55" s="438">
        <f t="shared" si="33"/>
        <v>0.92462311557788945</v>
      </c>
      <c r="S55" s="438">
        <f t="shared" si="33"/>
        <v>0.98555276381909551</v>
      </c>
      <c r="T55" s="438">
        <f t="shared" si="33"/>
        <v>1</v>
      </c>
      <c r="U55" s="438">
        <f t="shared" si="33"/>
        <v>1</v>
      </c>
      <c r="V55" s="423">
        <f>IF(V7=0,"-",V52/V7)</f>
        <v>1</v>
      </c>
    </row>
    <row r="56" spans="1:22" ht="3.6" customHeight="1"/>
    <row r="57" spans="1:22" ht="21.75" customHeight="1">
      <c r="A57" s="1144" t="s">
        <v>901</v>
      </c>
      <c r="B57" s="1145"/>
      <c r="C57" s="1145"/>
      <c r="D57" s="1145"/>
      <c r="E57" s="1145"/>
      <c r="F57" s="1145"/>
      <c r="G57" s="1145"/>
      <c r="H57" s="1145"/>
      <c r="I57" s="1145"/>
      <c r="J57" s="1145"/>
      <c r="K57" s="1145"/>
      <c r="L57" s="1145"/>
      <c r="M57" s="1145"/>
      <c r="N57" s="1145"/>
      <c r="O57" s="1145"/>
      <c r="P57" s="1145"/>
      <c r="Q57" s="1145"/>
      <c r="R57" s="1145"/>
      <c r="S57" s="1145"/>
      <c r="T57" s="1145"/>
      <c r="U57" s="1145"/>
      <c r="V57" s="1145"/>
    </row>
    <row r="58" spans="1:22" ht="19.5" customHeight="1">
      <c r="A58" s="431" t="s">
        <v>902</v>
      </c>
      <c r="B58" s="432">
        <f>IF(B11=0,"-",(B37)/(B11))</f>
        <v>1</v>
      </c>
      <c r="C58" s="432">
        <f t="shared" ref="C58:U58" si="34">IF(C11=0,"-",(C37)/(C11))</f>
        <v>1</v>
      </c>
      <c r="D58" s="432">
        <f t="shared" si="34"/>
        <v>1</v>
      </c>
      <c r="E58" s="432">
        <f t="shared" si="34"/>
        <v>0.96226415094339623</v>
      </c>
      <c r="F58" s="432">
        <f t="shared" si="34"/>
        <v>1.1881188118811881</v>
      </c>
      <c r="G58" s="432">
        <f t="shared" si="34"/>
        <v>0</v>
      </c>
      <c r="H58" s="432">
        <f t="shared" si="34"/>
        <v>0</v>
      </c>
      <c r="I58" s="432">
        <f t="shared" si="34"/>
        <v>0</v>
      </c>
      <c r="J58" s="432">
        <f t="shared" si="34"/>
        <v>0</v>
      </c>
      <c r="K58" s="432">
        <f t="shared" si="34"/>
        <v>0</v>
      </c>
      <c r="L58" s="432">
        <f t="shared" si="34"/>
        <v>0</v>
      </c>
      <c r="M58" s="432">
        <f t="shared" si="34"/>
        <v>0</v>
      </c>
      <c r="N58" s="432">
        <f t="shared" si="34"/>
        <v>0</v>
      </c>
      <c r="O58" s="432">
        <f t="shared" si="34"/>
        <v>0</v>
      </c>
      <c r="P58" s="432">
        <f t="shared" si="34"/>
        <v>0</v>
      </c>
      <c r="Q58" s="432">
        <f t="shared" si="34"/>
        <v>0</v>
      </c>
      <c r="R58" s="432">
        <f t="shared" si="34"/>
        <v>0</v>
      </c>
      <c r="S58" s="432">
        <f t="shared" si="34"/>
        <v>0</v>
      </c>
      <c r="T58" s="432">
        <f t="shared" si="34"/>
        <v>0</v>
      </c>
      <c r="U58" s="432" t="str">
        <f t="shared" si="34"/>
        <v>-</v>
      </c>
      <c r="V58" s="423">
        <f>IF(V11=0,"-",(V37)/(V11))</f>
        <v>0.32827832292595899</v>
      </c>
    </row>
    <row r="59" spans="1:22" ht="4.5" customHeight="1"/>
    <row r="60" spans="1:22" ht="19.5" customHeight="1">
      <c r="A60" s="433" t="s">
        <v>903</v>
      </c>
      <c r="B60" s="434">
        <f>SUM($B11:B11)</f>
        <v>88</v>
      </c>
      <c r="C60" s="434">
        <f>SUM($B11:C11)</f>
        <v>133</v>
      </c>
      <c r="D60" s="434">
        <f>SUM($B11:D11)</f>
        <v>197</v>
      </c>
      <c r="E60" s="434">
        <f>SUM($B11:E11)</f>
        <v>250</v>
      </c>
      <c r="F60" s="434">
        <f>SUM($B11:F11)</f>
        <v>351</v>
      </c>
      <c r="G60" s="434">
        <f>SUM($B11:G11)</f>
        <v>413</v>
      </c>
      <c r="H60" s="434">
        <f>SUM($B11:H11)</f>
        <v>443</v>
      </c>
      <c r="I60" s="434">
        <f>SUM($B11:I11)</f>
        <v>478</v>
      </c>
      <c r="J60" s="434">
        <f>SUM($B11:J11)</f>
        <v>509</v>
      </c>
      <c r="K60" s="434">
        <f>SUM($B11:K11)</f>
        <v>558</v>
      </c>
      <c r="L60" s="434">
        <f>SUM($B11:L11)</f>
        <v>607</v>
      </c>
      <c r="M60" s="434">
        <f>SUM($B11:M11)</f>
        <v>704</v>
      </c>
      <c r="N60" s="434">
        <f>SUM($B11:N11)</f>
        <v>754</v>
      </c>
      <c r="O60" s="434">
        <f>SUM($B11:O11)</f>
        <v>812</v>
      </c>
      <c r="P60" s="434">
        <f>SUM($B11:P11)</f>
        <v>889</v>
      </c>
      <c r="Q60" s="434">
        <f>SUM($B11:Q11)</f>
        <v>977</v>
      </c>
      <c r="R60" s="434">
        <f>SUM($B11:R11)</f>
        <v>1044</v>
      </c>
      <c r="S60" s="434">
        <f>SUM($B11:S11)</f>
        <v>1099</v>
      </c>
      <c r="T60" s="434">
        <f>SUM($B11:T11)</f>
        <v>1121</v>
      </c>
      <c r="U60" s="434">
        <f>SUM($B11:U11)</f>
        <v>1121</v>
      </c>
      <c r="V60" s="426">
        <f>V36</f>
        <v>1121</v>
      </c>
    </row>
    <row r="61" spans="1:22" ht="19.5" customHeight="1">
      <c r="A61" s="433" t="s">
        <v>904</v>
      </c>
      <c r="B61" s="434">
        <f>SUM($B37:B37)</f>
        <v>88</v>
      </c>
      <c r="C61" s="434">
        <f>SUM($B37:C37)</f>
        <v>133</v>
      </c>
      <c r="D61" s="434">
        <f>SUM($B37:D37)</f>
        <v>197</v>
      </c>
      <c r="E61" s="434">
        <f>SUM($B37:E37)</f>
        <v>248</v>
      </c>
      <c r="F61" s="434">
        <f>SUM($B37:F37)</f>
        <v>368</v>
      </c>
      <c r="G61" s="434">
        <f>SUM($B37:G37)</f>
        <v>368</v>
      </c>
      <c r="H61" s="434">
        <f>SUM($B37:H37)</f>
        <v>368</v>
      </c>
      <c r="I61" s="434">
        <f>SUM($B37:I37)</f>
        <v>368</v>
      </c>
      <c r="J61" s="434">
        <f>SUM($B37:J37)</f>
        <v>368</v>
      </c>
      <c r="K61" s="434">
        <f>SUM($B37:K37)</f>
        <v>368</v>
      </c>
      <c r="L61" s="434">
        <f>SUM($B37:L37)</f>
        <v>368</v>
      </c>
      <c r="M61" s="434">
        <f>SUM($B37:M37)</f>
        <v>368</v>
      </c>
      <c r="N61" s="434">
        <f>SUM($B37:N37)</f>
        <v>368</v>
      </c>
      <c r="O61" s="434">
        <f>SUM($B37:O37)</f>
        <v>368</v>
      </c>
      <c r="P61" s="434">
        <f>SUM($B37:P37)</f>
        <v>368</v>
      </c>
      <c r="Q61" s="434">
        <f>SUM($B37:Q37)</f>
        <v>368</v>
      </c>
      <c r="R61" s="434">
        <f>SUM($B37:R37)</f>
        <v>368</v>
      </c>
      <c r="S61" s="434">
        <f>SUM($B37:S37)</f>
        <v>368</v>
      </c>
      <c r="T61" s="434">
        <f>SUM($B37:T37)</f>
        <v>368</v>
      </c>
      <c r="U61" s="434">
        <f>SUM($B37:U37)</f>
        <v>368</v>
      </c>
      <c r="V61" s="426">
        <f>V37</f>
        <v>368</v>
      </c>
    </row>
    <row r="62" spans="1:22" ht="19.5" customHeight="1">
      <c r="A62" s="435" t="s">
        <v>905</v>
      </c>
      <c r="B62" s="436">
        <f>IF($V$60=0,"-",B61/$V$60)</f>
        <v>7.8501338090990191E-2</v>
      </c>
      <c r="C62" s="436">
        <f t="shared" ref="C62:U62" si="35">IF($V$60=0,"-",C61/$V$60)</f>
        <v>0.11864406779661017</v>
      </c>
      <c r="D62" s="436">
        <f t="shared" si="35"/>
        <v>0.17573595004460305</v>
      </c>
      <c r="E62" s="436">
        <f t="shared" si="35"/>
        <v>0.22123104371097235</v>
      </c>
      <c r="F62" s="436">
        <f t="shared" si="35"/>
        <v>0.32827832292595899</v>
      </c>
      <c r="G62" s="436">
        <f t="shared" si="35"/>
        <v>0.32827832292595899</v>
      </c>
      <c r="H62" s="436">
        <f t="shared" si="35"/>
        <v>0.32827832292595899</v>
      </c>
      <c r="I62" s="436">
        <f t="shared" si="35"/>
        <v>0.32827832292595899</v>
      </c>
      <c r="J62" s="436">
        <f t="shared" si="35"/>
        <v>0.32827832292595899</v>
      </c>
      <c r="K62" s="436">
        <f t="shared" si="35"/>
        <v>0.32827832292595899</v>
      </c>
      <c r="L62" s="436">
        <f t="shared" si="35"/>
        <v>0.32827832292595899</v>
      </c>
      <c r="M62" s="436">
        <f t="shared" si="35"/>
        <v>0.32827832292595899</v>
      </c>
      <c r="N62" s="436">
        <f t="shared" si="35"/>
        <v>0.32827832292595899</v>
      </c>
      <c r="O62" s="436">
        <f t="shared" si="35"/>
        <v>0.32827832292595899</v>
      </c>
      <c r="P62" s="436">
        <f t="shared" si="35"/>
        <v>0.32827832292595899</v>
      </c>
      <c r="Q62" s="436">
        <f t="shared" si="35"/>
        <v>0.32827832292595899</v>
      </c>
      <c r="R62" s="436">
        <f t="shared" si="35"/>
        <v>0.32827832292595899</v>
      </c>
      <c r="S62" s="436">
        <f t="shared" si="35"/>
        <v>0.32827832292595899</v>
      </c>
      <c r="T62" s="436">
        <f t="shared" si="35"/>
        <v>0.32827832292595899</v>
      </c>
      <c r="U62" s="436">
        <f t="shared" si="35"/>
        <v>0.32827832292595899</v>
      </c>
      <c r="V62" s="423">
        <f>IF(V11=0,"-",V61/V11)</f>
        <v>0.32827832292595899</v>
      </c>
    </row>
    <row r="63" spans="1:22" ht="19.5" customHeight="1">
      <c r="A63" s="437" t="s">
        <v>906</v>
      </c>
      <c r="B63" s="438">
        <f>IF($V$60=0,"-",B60/$V$60)</f>
        <v>7.8501338090990191E-2</v>
      </c>
      <c r="C63" s="438">
        <f t="shared" ref="C63:U63" si="36">IF($V$60=0,"-",C60/$V$60)</f>
        <v>0.11864406779661017</v>
      </c>
      <c r="D63" s="438">
        <f t="shared" si="36"/>
        <v>0.17573595004460305</v>
      </c>
      <c r="E63" s="438">
        <f t="shared" si="36"/>
        <v>0.22301516503122212</v>
      </c>
      <c r="F63" s="438">
        <f t="shared" si="36"/>
        <v>0.31311329170383584</v>
      </c>
      <c r="G63" s="438">
        <f t="shared" si="36"/>
        <v>0.36842105263157893</v>
      </c>
      <c r="H63" s="438">
        <f t="shared" si="36"/>
        <v>0.39518287243532563</v>
      </c>
      <c r="I63" s="438">
        <f t="shared" si="36"/>
        <v>0.42640499553969669</v>
      </c>
      <c r="J63" s="438">
        <f t="shared" si="36"/>
        <v>0.45405887600356826</v>
      </c>
      <c r="K63" s="438">
        <f t="shared" si="36"/>
        <v>0.49776984834968779</v>
      </c>
      <c r="L63" s="438">
        <f t="shared" si="36"/>
        <v>0.54148082069580727</v>
      </c>
      <c r="M63" s="438">
        <f t="shared" si="36"/>
        <v>0.62801070472792153</v>
      </c>
      <c r="N63" s="438">
        <f t="shared" si="36"/>
        <v>0.67261373773416588</v>
      </c>
      <c r="O63" s="438">
        <f t="shared" si="36"/>
        <v>0.72435325602140943</v>
      </c>
      <c r="P63" s="438">
        <f t="shared" si="36"/>
        <v>0.79304192685102592</v>
      </c>
      <c r="Q63" s="438">
        <f t="shared" si="36"/>
        <v>0.87154326494201606</v>
      </c>
      <c r="R63" s="438">
        <f t="shared" si="36"/>
        <v>0.93131132917038362</v>
      </c>
      <c r="S63" s="438">
        <f t="shared" si="36"/>
        <v>0.98037466547725249</v>
      </c>
      <c r="T63" s="438">
        <f t="shared" si="36"/>
        <v>1</v>
      </c>
      <c r="U63" s="438">
        <f t="shared" si="36"/>
        <v>1</v>
      </c>
      <c r="V63" s="423">
        <f>IF(V60=0,"-",V60/V60)</f>
        <v>1</v>
      </c>
    </row>
    <row r="64" spans="1:22" ht="3.6" customHeight="1"/>
    <row r="65" spans="1:22" ht="21.75" customHeight="1">
      <c r="A65" s="1144" t="s">
        <v>907</v>
      </c>
      <c r="B65" s="1145"/>
      <c r="C65" s="1145"/>
      <c r="D65" s="1145"/>
      <c r="E65" s="1145"/>
      <c r="F65" s="1145"/>
      <c r="G65" s="1145"/>
      <c r="H65" s="1145"/>
      <c r="I65" s="1145"/>
      <c r="J65" s="1145"/>
      <c r="K65" s="1145"/>
      <c r="L65" s="1145"/>
      <c r="M65" s="1145"/>
      <c r="N65" s="1145"/>
      <c r="O65" s="1145"/>
      <c r="P65" s="1145"/>
      <c r="Q65" s="1145"/>
      <c r="R65" s="1145"/>
      <c r="S65" s="1145"/>
      <c r="T65" s="1145"/>
      <c r="U65" s="1145"/>
      <c r="V65" s="1145"/>
    </row>
    <row r="66" spans="1:22" ht="19.5" customHeight="1">
      <c r="A66" s="431" t="s">
        <v>908</v>
      </c>
      <c r="B66" s="432">
        <f>IF(B15=0,"-",(B44)/(B15))</f>
        <v>1.558139534883721</v>
      </c>
      <c r="C66" s="432">
        <f t="shared" ref="C66:U66" si="37">IF(C15=0,"-",(C44)/(C15))</f>
        <v>0</v>
      </c>
      <c r="D66" s="432" t="str">
        <f t="shared" si="37"/>
        <v>-</v>
      </c>
      <c r="E66" s="432" t="str">
        <f t="shared" si="37"/>
        <v>-</v>
      </c>
      <c r="F66" s="432" t="str">
        <f t="shared" si="37"/>
        <v>-</v>
      </c>
      <c r="G66" s="432">
        <f t="shared" si="37"/>
        <v>0</v>
      </c>
      <c r="H66" s="432">
        <f t="shared" si="37"/>
        <v>0</v>
      </c>
      <c r="I66" s="432">
        <f t="shared" si="37"/>
        <v>0</v>
      </c>
      <c r="J66" s="432" t="str">
        <f t="shared" si="37"/>
        <v>-</v>
      </c>
      <c r="K66" s="432">
        <f t="shared" si="37"/>
        <v>0</v>
      </c>
      <c r="L66" s="432">
        <f t="shared" si="37"/>
        <v>0</v>
      </c>
      <c r="M66" s="432" t="str">
        <f t="shared" si="37"/>
        <v>-</v>
      </c>
      <c r="N66" s="432" t="str">
        <f t="shared" si="37"/>
        <v>-</v>
      </c>
      <c r="O66" s="432" t="str">
        <f t="shared" si="37"/>
        <v>-</v>
      </c>
      <c r="P66" s="432" t="str">
        <f t="shared" si="37"/>
        <v>-</v>
      </c>
      <c r="Q66" s="432">
        <f t="shared" si="37"/>
        <v>0</v>
      </c>
      <c r="R66" s="432">
        <f t="shared" si="37"/>
        <v>0</v>
      </c>
      <c r="S66" s="432">
        <f t="shared" si="37"/>
        <v>0</v>
      </c>
      <c r="T66" s="432">
        <f t="shared" si="37"/>
        <v>0</v>
      </c>
      <c r="U66" s="432" t="str">
        <f t="shared" si="37"/>
        <v>-</v>
      </c>
      <c r="V66" s="423">
        <f t="shared" ref="V66" si="38">IF(V15=0,"-",(V44)/(V15))</f>
        <v>0.15056179775280898</v>
      </c>
    </row>
    <row r="67" spans="1:22" ht="4.5" customHeight="1"/>
    <row r="68" spans="1:22" ht="19.5" customHeight="1">
      <c r="A68" s="433" t="s">
        <v>909</v>
      </c>
      <c r="B68" s="434">
        <f>SUM($B15:B15)</f>
        <v>43</v>
      </c>
      <c r="C68" s="434">
        <f>SUM($B15:C15)</f>
        <v>67</v>
      </c>
      <c r="D68" s="434">
        <f>SUM($B15:D15)</f>
        <v>67</v>
      </c>
      <c r="E68" s="434">
        <f>SUM($B15:E15)</f>
        <v>67</v>
      </c>
      <c r="F68" s="434">
        <f>SUM($B15:F15)</f>
        <v>67</v>
      </c>
      <c r="G68" s="434">
        <f>SUM($B15:G15)</f>
        <v>244</v>
      </c>
      <c r="H68" s="434">
        <f>SUM($B15:H15)</f>
        <v>263</v>
      </c>
      <c r="I68" s="434">
        <f>SUM($B15:I15)</f>
        <v>278</v>
      </c>
      <c r="J68" s="434">
        <f>SUM($B15:J15)</f>
        <v>278</v>
      </c>
      <c r="K68" s="434">
        <f>SUM($B15:K15)</f>
        <v>315</v>
      </c>
      <c r="L68" s="434">
        <f>SUM($B15:L15)</f>
        <v>359</v>
      </c>
      <c r="M68" s="434">
        <f>SUM($B15:M15)</f>
        <v>359</v>
      </c>
      <c r="N68" s="434">
        <f>SUM($B15:N15)</f>
        <v>359</v>
      </c>
      <c r="O68" s="434">
        <f>SUM($B15:O15)</f>
        <v>359</v>
      </c>
      <c r="P68" s="434">
        <f>SUM($B15:P15)</f>
        <v>359</v>
      </c>
      <c r="Q68" s="434">
        <f>SUM($B15:Q15)</f>
        <v>370</v>
      </c>
      <c r="R68" s="434">
        <f>SUM($B15:R15)</f>
        <v>402</v>
      </c>
      <c r="S68" s="434">
        <f>SUM($B15:S15)</f>
        <v>444</v>
      </c>
      <c r="T68" s="434">
        <f>SUM($B15:T15)</f>
        <v>445</v>
      </c>
      <c r="U68" s="434">
        <f>SUM($B15:U15)</f>
        <v>445</v>
      </c>
      <c r="V68" s="426">
        <f>V43</f>
        <v>445</v>
      </c>
    </row>
    <row r="69" spans="1:22" ht="19.5" customHeight="1">
      <c r="A69" s="433" t="s">
        <v>910</v>
      </c>
      <c r="B69" s="434">
        <f>SUM($B44:B44)</f>
        <v>67</v>
      </c>
      <c r="C69" s="434">
        <f>SUM($B44:C44)</f>
        <v>67</v>
      </c>
      <c r="D69" s="434">
        <f>SUM($B44:D44)</f>
        <v>67</v>
      </c>
      <c r="E69" s="434">
        <f>SUM($B44:E44)</f>
        <v>67</v>
      </c>
      <c r="F69" s="434">
        <f>SUM($B44:F44)</f>
        <v>67</v>
      </c>
      <c r="G69" s="434">
        <f>SUM($B44:G44)</f>
        <v>67</v>
      </c>
      <c r="H69" s="434">
        <f>SUM($B44:H44)</f>
        <v>67</v>
      </c>
      <c r="I69" s="434">
        <f>SUM($B44:I44)</f>
        <v>67</v>
      </c>
      <c r="J69" s="434">
        <f>SUM($B44:J44)</f>
        <v>67</v>
      </c>
      <c r="K69" s="434">
        <f>SUM($B44:K44)</f>
        <v>67</v>
      </c>
      <c r="L69" s="434">
        <f>SUM($B44:L44)</f>
        <v>67</v>
      </c>
      <c r="M69" s="434">
        <f>SUM($B44:M44)</f>
        <v>67</v>
      </c>
      <c r="N69" s="434">
        <f>SUM($B44:N44)</f>
        <v>67</v>
      </c>
      <c r="O69" s="434">
        <f>SUM($B44:O44)</f>
        <v>67</v>
      </c>
      <c r="P69" s="434">
        <f>SUM($B44:P44)</f>
        <v>67</v>
      </c>
      <c r="Q69" s="434">
        <f>SUM($B44:Q44)</f>
        <v>67</v>
      </c>
      <c r="R69" s="434">
        <f>SUM($B44:R44)</f>
        <v>67</v>
      </c>
      <c r="S69" s="434">
        <f>SUM($B44:S44)</f>
        <v>67</v>
      </c>
      <c r="T69" s="434">
        <f>SUM($B44:T44)</f>
        <v>67</v>
      </c>
      <c r="U69" s="434">
        <f>SUM($B44:U44)</f>
        <v>67</v>
      </c>
      <c r="V69" s="426">
        <f>V44</f>
        <v>67</v>
      </c>
    </row>
    <row r="70" spans="1:22" ht="19.5" customHeight="1">
      <c r="A70" s="435" t="s">
        <v>911</v>
      </c>
      <c r="B70" s="436">
        <f>IF($V$68=0,"-",B69/$V$68)</f>
        <v>0.15056179775280898</v>
      </c>
      <c r="C70" s="436">
        <f t="shared" ref="C70:U70" si="39">IF($V$68=0,"-",C69/$V$68)</f>
        <v>0.15056179775280898</v>
      </c>
      <c r="D70" s="436">
        <f t="shared" si="39"/>
        <v>0.15056179775280898</v>
      </c>
      <c r="E70" s="436">
        <f t="shared" si="39"/>
        <v>0.15056179775280898</v>
      </c>
      <c r="F70" s="436">
        <f t="shared" si="39"/>
        <v>0.15056179775280898</v>
      </c>
      <c r="G70" s="436">
        <f t="shared" si="39"/>
        <v>0.15056179775280898</v>
      </c>
      <c r="H70" s="436">
        <f t="shared" si="39"/>
        <v>0.15056179775280898</v>
      </c>
      <c r="I70" s="436">
        <f t="shared" si="39"/>
        <v>0.15056179775280898</v>
      </c>
      <c r="J70" s="436">
        <f t="shared" si="39"/>
        <v>0.15056179775280898</v>
      </c>
      <c r="K70" s="436">
        <f t="shared" si="39"/>
        <v>0.15056179775280898</v>
      </c>
      <c r="L70" s="436">
        <f t="shared" si="39"/>
        <v>0.15056179775280898</v>
      </c>
      <c r="M70" s="436">
        <f t="shared" si="39"/>
        <v>0.15056179775280898</v>
      </c>
      <c r="N70" s="436">
        <f t="shared" si="39"/>
        <v>0.15056179775280898</v>
      </c>
      <c r="O70" s="436">
        <f t="shared" si="39"/>
        <v>0.15056179775280898</v>
      </c>
      <c r="P70" s="436">
        <f t="shared" si="39"/>
        <v>0.15056179775280898</v>
      </c>
      <c r="Q70" s="436">
        <f t="shared" si="39"/>
        <v>0.15056179775280898</v>
      </c>
      <c r="R70" s="436">
        <f t="shared" si="39"/>
        <v>0.15056179775280898</v>
      </c>
      <c r="S70" s="436">
        <f t="shared" si="39"/>
        <v>0.15056179775280898</v>
      </c>
      <c r="T70" s="436">
        <f t="shared" si="39"/>
        <v>0.15056179775280898</v>
      </c>
      <c r="U70" s="436">
        <f t="shared" si="39"/>
        <v>0.15056179775280898</v>
      </c>
      <c r="V70" s="423">
        <f>IF(V15=0,"-",V69/V15)</f>
        <v>0.15056179775280898</v>
      </c>
    </row>
    <row r="71" spans="1:22" ht="19.5" customHeight="1">
      <c r="A71" s="437" t="s">
        <v>912</v>
      </c>
      <c r="B71" s="438">
        <f>IF($V$68=0,"-",B68/$V$68)</f>
        <v>9.662921348314607E-2</v>
      </c>
      <c r="C71" s="438">
        <f t="shared" ref="C71:U71" si="40">IF($V$68=0,"-",C68/$V$68)</f>
        <v>0.15056179775280898</v>
      </c>
      <c r="D71" s="438">
        <f t="shared" si="40"/>
        <v>0.15056179775280898</v>
      </c>
      <c r="E71" s="438">
        <f t="shared" si="40"/>
        <v>0.15056179775280898</v>
      </c>
      <c r="F71" s="438">
        <f t="shared" si="40"/>
        <v>0.15056179775280898</v>
      </c>
      <c r="G71" s="438">
        <f t="shared" si="40"/>
        <v>0.54831460674157306</v>
      </c>
      <c r="H71" s="438">
        <f t="shared" si="40"/>
        <v>0.59101123595505622</v>
      </c>
      <c r="I71" s="438">
        <f t="shared" si="40"/>
        <v>0.62471910112359552</v>
      </c>
      <c r="J71" s="438">
        <f t="shared" si="40"/>
        <v>0.62471910112359552</v>
      </c>
      <c r="K71" s="438">
        <f t="shared" si="40"/>
        <v>0.7078651685393258</v>
      </c>
      <c r="L71" s="438">
        <f t="shared" si="40"/>
        <v>0.80674157303370786</v>
      </c>
      <c r="M71" s="438">
        <f t="shared" si="40"/>
        <v>0.80674157303370786</v>
      </c>
      <c r="N71" s="438">
        <f t="shared" si="40"/>
        <v>0.80674157303370786</v>
      </c>
      <c r="O71" s="438">
        <f t="shared" si="40"/>
        <v>0.80674157303370786</v>
      </c>
      <c r="P71" s="438">
        <f t="shared" si="40"/>
        <v>0.80674157303370786</v>
      </c>
      <c r="Q71" s="438">
        <f t="shared" si="40"/>
        <v>0.8314606741573034</v>
      </c>
      <c r="R71" s="438">
        <f t="shared" si="40"/>
        <v>0.90337078651685399</v>
      </c>
      <c r="S71" s="438">
        <f t="shared" si="40"/>
        <v>0.99775280898876406</v>
      </c>
      <c r="T71" s="438">
        <f t="shared" si="40"/>
        <v>1</v>
      </c>
      <c r="U71" s="438">
        <f t="shared" si="40"/>
        <v>1</v>
      </c>
      <c r="V71" s="423">
        <f>IF($V$68=0,"-",V68/$V$68)</f>
        <v>1</v>
      </c>
    </row>
    <row r="73" spans="1:22" ht="19.5" customHeight="1">
      <c r="A73" s="1146" t="s">
        <v>913</v>
      </c>
      <c r="B73" s="1147"/>
      <c r="C73" s="1147"/>
      <c r="D73" s="1147"/>
      <c r="E73" s="1147"/>
      <c r="F73" s="1147"/>
      <c r="G73" s="1147"/>
      <c r="H73" s="1147"/>
      <c r="I73" s="1147"/>
      <c r="J73" s="1147"/>
      <c r="K73" s="1147"/>
      <c r="L73" s="1147"/>
      <c r="M73" s="1147"/>
      <c r="N73" s="1147"/>
      <c r="O73" s="1147"/>
      <c r="P73" s="1147"/>
      <c r="Q73" s="1147"/>
    </row>
    <row r="80" spans="1:22" ht="15" hidden="1" customHeight="1">
      <c r="B80" s="439">
        <f>DATE(2026,2,1)</f>
        <v>46054</v>
      </c>
      <c r="C80" s="439">
        <f>DATE(2026,2,21)</f>
        <v>46074</v>
      </c>
      <c r="D80" s="439">
        <f>DATE(2026,2,28)</f>
        <v>46081</v>
      </c>
      <c r="E80" s="439">
        <f>DATE(2026,3,7)</f>
        <v>46088</v>
      </c>
      <c r="F80" s="439">
        <f>DATE(2026,3,14)</f>
        <v>46095</v>
      </c>
      <c r="G80" s="439">
        <f>DATE(2026,3,21)</f>
        <v>46102</v>
      </c>
      <c r="H80" s="439">
        <f>DATE(2026,3,28)</f>
        <v>46109</v>
      </c>
      <c r="I80" s="439">
        <f>DATE(2026,4,4)</f>
        <v>46116</v>
      </c>
      <c r="J80" s="439">
        <f>DATE(2026,4,11)</f>
        <v>46123</v>
      </c>
      <c r="K80" s="439">
        <f>DATE(2026,4,18)</f>
        <v>46130</v>
      </c>
      <c r="L80" s="439">
        <f>DATE(2026,4,25)</f>
        <v>46137</v>
      </c>
      <c r="M80" s="439">
        <f>DATE(2026,5,2)</f>
        <v>46144</v>
      </c>
      <c r="N80" s="439">
        <f>DATE(2026,5,9)</f>
        <v>46151</v>
      </c>
      <c r="O80" s="439">
        <f>DATE(2026,5,16)</f>
        <v>46158</v>
      </c>
      <c r="P80" s="439">
        <f>DATE(2026,5,23)</f>
        <v>46165</v>
      </c>
      <c r="Q80" s="439">
        <f>DATE(2026,5,30)</f>
        <v>46172</v>
      </c>
      <c r="R80" s="439">
        <f>Q80+7</f>
        <v>46179</v>
      </c>
      <c r="S80" s="439">
        <f t="shared" ref="S80:U80" si="41">R80+7</f>
        <v>46186</v>
      </c>
      <c r="T80" s="439">
        <f t="shared" si="41"/>
        <v>46193</v>
      </c>
      <c r="U80" s="439">
        <f t="shared" si="41"/>
        <v>46200</v>
      </c>
    </row>
    <row r="81" spans="2:21" ht="15" hidden="1" customHeight="1">
      <c r="B81" s="439">
        <f>DATE(2026,2,20)</f>
        <v>46073</v>
      </c>
      <c r="C81" s="439">
        <f>DATE(2026,2,27)</f>
        <v>46080</v>
      </c>
      <c r="D81" s="439">
        <f>DATE(2026,3,6)</f>
        <v>46087</v>
      </c>
      <c r="E81" s="439">
        <f>DATE(2026,3,13)</f>
        <v>46094</v>
      </c>
      <c r="F81" s="439">
        <f>DATE(2026,3,20)</f>
        <v>46101</v>
      </c>
      <c r="G81" s="439">
        <f>DATE(2026,3,27)</f>
        <v>46108</v>
      </c>
      <c r="H81" s="439">
        <f>DATE(2026,4,3)</f>
        <v>46115</v>
      </c>
      <c r="I81" s="439">
        <f>DATE(2026,4,10)</f>
        <v>46122</v>
      </c>
      <c r="J81" s="439">
        <f>DATE(2026,4,17)</f>
        <v>46129</v>
      </c>
      <c r="K81" s="439">
        <f>DATE(2026,4,24)</f>
        <v>46136</v>
      </c>
      <c r="L81" s="439">
        <f>DATE(2026,5,1)</f>
        <v>46143</v>
      </c>
      <c r="M81" s="439">
        <f>DATE(2026,5,8)</f>
        <v>46150</v>
      </c>
      <c r="N81" s="439">
        <f>DATE(2026,5,15)</f>
        <v>46157</v>
      </c>
      <c r="O81" s="439">
        <f>DATE(2026,5,22)</f>
        <v>46164</v>
      </c>
      <c r="P81" s="439">
        <f>DATE(2026,5,29)</f>
        <v>46171</v>
      </c>
      <c r="Q81" s="439">
        <f>P81+7</f>
        <v>46178</v>
      </c>
      <c r="R81" s="439">
        <f>Q81+7</f>
        <v>46185</v>
      </c>
      <c r="S81" s="439">
        <f t="shared" ref="S81:U81" si="42">R81+7</f>
        <v>46192</v>
      </c>
      <c r="T81" s="439">
        <f t="shared" si="42"/>
        <v>46199</v>
      </c>
      <c r="U81" s="439">
        <f t="shared" si="42"/>
        <v>46206</v>
      </c>
    </row>
    <row r="82" spans="2:21" hidden="1"/>
  </sheetData>
  <mergeCells count="16">
    <mergeCell ref="A35:V35"/>
    <mergeCell ref="V4:V5"/>
    <mergeCell ref="A1:V1"/>
    <mergeCell ref="A2:V2"/>
    <mergeCell ref="A6:V6"/>
    <mergeCell ref="A10:V10"/>
    <mergeCell ref="A4:A5"/>
    <mergeCell ref="A14:V14"/>
    <mergeCell ref="A18:V18"/>
    <mergeCell ref="A23:V23"/>
    <mergeCell ref="A28:V28"/>
    <mergeCell ref="A42:V42"/>
    <mergeCell ref="A49:V49"/>
    <mergeCell ref="A57:V57"/>
    <mergeCell ref="A65:V65"/>
    <mergeCell ref="A73:Q7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01A9-1B96-40FF-AB82-6C3DBF271D5D}">
  <dimension ref="A1:V316"/>
  <sheetViews>
    <sheetView zoomScale="80" zoomScaleNormal="80" workbookViewId="0">
      <pane xSplit="1" ySplit="5" topLeftCell="B89" activePane="bottomRight" state="frozen"/>
      <selection pane="topRight" activeCell="B1" sqref="B1"/>
      <selection pane="bottomLeft" activeCell="A6" sqref="A6"/>
      <selection pane="bottomRight" activeCell="V25" sqref="V25:V27"/>
    </sheetView>
  </sheetViews>
  <sheetFormatPr defaultColWidth="8.6640625" defaultRowHeight="14.4"/>
  <cols>
    <col min="1" max="1" width="32" style="416" customWidth="1"/>
    <col min="2" max="17" width="11.6640625" style="416" bestFit="1" customWidth="1"/>
    <col min="18" max="18" width="11.6640625" style="416" customWidth="1"/>
    <col min="19" max="22" width="10.5546875" style="416" bestFit="1" customWidth="1"/>
    <col min="23" max="16384" width="8.6640625" style="416"/>
  </cols>
  <sheetData>
    <row r="1" spans="1:22" ht="30" customHeight="1">
      <c r="A1" s="1149" t="s">
        <v>914</v>
      </c>
      <c r="B1" s="1150"/>
      <c r="C1" s="1150"/>
      <c r="D1" s="1150"/>
      <c r="E1" s="1150"/>
      <c r="F1" s="1150"/>
      <c r="G1" s="1150"/>
      <c r="H1" s="1150"/>
      <c r="I1" s="1150"/>
      <c r="J1" s="1150"/>
      <c r="K1" s="1150"/>
      <c r="L1" s="1150"/>
      <c r="M1" s="1150"/>
      <c r="N1" s="1150"/>
      <c r="O1" s="1150"/>
      <c r="P1" s="1150"/>
      <c r="Q1" s="1150"/>
      <c r="R1" s="1150"/>
      <c r="S1" s="1150"/>
      <c r="T1" s="1150"/>
      <c r="U1" s="1150"/>
      <c r="V1" s="1150"/>
    </row>
    <row r="2" spans="1:22" ht="18" customHeight="1">
      <c r="A2" s="1160" t="s">
        <v>915</v>
      </c>
      <c r="B2" s="1161"/>
      <c r="C2" s="1161"/>
      <c r="D2" s="1161"/>
      <c r="E2" s="1161"/>
      <c r="F2" s="1161"/>
      <c r="G2" s="1161"/>
      <c r="H2" s="1161"/>
      <c r="I2" s="1161"/>
      <c r="J2" s="1161"/>
      <c r="K2" s="1161"/>
      <c r="L2" s="1161"/>
      <c r="M2" s="1161"/>
      <c r="N2" s="1161"/>
      <c r="O2" s="1161"/>
      <c r="P2" s="1161"/>
      <c r="Q2" s="1161"/>
      <c r="R2" s="1161"/>
      <c r="S2" s="1161"/>
      <c r="T2" s="1161"/>
      <c r="U2" s="1161"/>
      <c r="V2" s="1161"/>
    </row>
    <row r="3" spans="1:22" ht="4.2" customHeight="1"/>
    <row r="4" spans="1:22" ht="28.8">
      <c r="A4" s="1167" t="s">
        <v>296</v>
      </c>
      <c r="B4" s="596" t="s">
        <v>863</v>
      </c>
      <c r="C4" s="596" t="s">
        <v>864</v>
      </c>
      <c r="D4" s="596" t="s">
        <v>865</v>
      </c>
      <c r="E4" s="596" t="s">
        <v>866</v>
      </c>
      <c r="F4" s="596" t="s">
        <v>867</v>
      </c>
      <c r="G4" s="596" t="s">
        <v>868</v>
      </c>
      <c r="H4" s="596" t="s">
        <v>869</v>
      </c>
      <c r="I4" s="596" t="s">
        <v>870</v>
      </c>
      <c r="J4" s="596" t="s">
        <v>871</v>
      </c>
      <c r="K4" s="596" t="s">
        <v>872</v>
      </c>
      <c r="L4" s="596" t="s">
        <v>873</v>
      </c>
      <c r="M4" s="596" t="s">
        <v>874</v>
      </c>
      <c r="N4" s="596" t="s">
        <v>875</v>
      </c>
      <c r="O4" s="596" t="s">
        <v>876</v>
      </c>
      <c r="P4" s="596" t="s">
        <v>877</v>
      </c>
      <c r="Q4" s="417" t="s">
        <v>878</v>
      </c>
      <c r="R4" s="417" t="s">
        <v>879</v>
      </c>
      <c r="S4" s="417" t="s">
        <v>880</v>
      </c>
      <c r="T4" s="417" t="s">
        <v>881</v>
      </c>
      <c r="U4" s="417" t="s">
        <v>882</v>
      </c>
      <c r="V4" s="1167" t="s">
        <v>311</v>
      </c>
    </row>
    <row r="5" spans="1:22" ht="4.5" customHeight="1">
      <c r="A5" s="1167"/>
      <c r="V5" s="1167"/>
    </row>
    <row r="6" spans="1:22" ht="24" customHeight="1">
      <c r="A6" s="1162" t="s">
        <v>916</v>
      </c>
      <c r="B6" s="1163"/>
      <c r="C6" s="1163"/>
      <c r="D6" s="1163"/>
      <c r="E6" s="1163"/>
      <c r="F6" s="1163"/>
      <c r="G6" s="1163"/>
      <c r="H6" s="1163"/>
      <c r="I6" s="1163"/>
      <c r="J6" s="1163"/>
      <c r="K6" s="1163"/>
      <c r="L6" s="1163"/>
      <c r="M6" s="1163"/>
      <c r="N6" s="1163"/>
      <c r="O6" s="1163"/>
      <c r="P6" s="1163"/>
      <c r="Q6" s="1163"/>
      <c r="R6" s="1163"/>
      <c r="S6" s="1163"/>
      <c r="T6" s="1163"/>
      <c r="U6" s="1163"/>
      <c r="V6" s="1163"/>
    </row>
    <row r="7" spans="1:22" ht="18" customHeight="1">
      <c r="A7" s="527" t="s">
        <v>313</v>
      </c>
      <c r="B7" s="528" cm="1">
        <f t="array" ref="B7">SUMPRODUCT((SVB!$R$2:$R$740&gt;=B311)*(SVB!$R$2:$R$740&lt;=B312)*(SVB!$B$2:$B$740="AMF")*(ISNUMBER(SVB!$F$2:$F$740))*(SVB!$F$2:$F$740))</f>
        <v>2</v>
      </c>
      <c r="C7" s="528" cm="1">
        <f t="array" ref="C7">SUMPRODUCT((SVB!$R$2:$R$740&gt;=C311)*(SVB!$R$2:$R$740&lt;=C312)*(SVB!$B$2:$B$740="AMF")*(ISNUMBER(SVB!$F$2:$F$740))*(SVB!$F$2:$F$740))</f>
        <v>0</v>
      </c>
      <c r="D7" s="528" cm="1">
        <f t="array" ref="D7">SUMPRODUCT((SVB!$R$2:$R$740&gt;=D311)*(SVB!$R$2:$R$740&lt;=D312)*(SVB!$B$2:$B$740="AMF")*(ISNUMBER(SVB!$F$2:$F$740))*(SVB!$F$2:$F$740))</f>
        <v>0</v>
      </c>
      <c r="E7" s="528" cm="1">
        <f t="array" ref="E7">SUMPRODUCT((SVB!$R$2:$R$740&gt;=E311)*(SVB!$R$2:$R$740&lt;=E312)*(SVB!$B$2:$B$740="AMF")*(ISNUMBER(SVB!$F$2:$F$740))*(SVB!$F$2:$F$740))</f>
        <v>0</v>
      </c>
      <c r="F7" s="528" cm="1">
        <f t="array" ref="F7">SUMPRODUCT((SVB!$R$2:$R$740&gt;=F311)*(SVB!$R$2:$R$740&lt;=F312)*(SVB!$B$2:$B$740="AMF")*(ISNUMBER(SVB!$F$2:$F$740))*(SVB!$F$2:$F$740))</f>
        <v>0</v>
      </c>
      <c r="G7" s="528" cm="1">
        <f t="array" ref="G7">SUMPRODUCT((SVB!$R$2:$R$740&gt;=G311)*(SVB!$R$2:$R$740&lt;=G312)*(SVB!$B$2:$B$740="AMF")*(ISNUMBER(SVB!$F$2:$F$740))*(SVB!$F$2:$F$740))</f>
        <v>0</v>
      </c>
      <c r="H7" s="528" cm="1">
        <f t="array" ref="H7">SUMPRODUCT((SVB!$R$2:$R$740&gt;=H311)*(SVB!$R$2:$R$740&lt;=H312)*(SVB!$B$2:$B$740="AMF")*(ISNUMBER(SVB!$F$2:$F$740))*(SVB!$F$2:$F$740))</f>
        <v>0</v>
      </c>
      <c r="I7" s="528" cm="1">
        <f t="array" ref="I7">SUMPRODUCT((SVB!$R$2:$R$740&gt;=I311)*(SVB!$R$2:$R$740&lt;=I312)*(SVB!$B$2:$B$740="AMF")*(ISNUMBER(SVB!$F$2:$F$740))*(SVB!$F$2:$F$740))</f>
        <v>0</v>
      </c>
      <c r="J7" s="528" cm="1">
        <f t="array" ref="J7">SUMPRODUCT((SVB!$R$2:$R$740&gt;=J311)*(SVB!$R$2:$R$740&lt;=J312)*(SVB!$B$2:$B$740="AMF")*(ISNUMBER(SVB!$F$2:$F$740))*(SVB!$F$2:$F$740))</f>
        <v>0</v>
      </c>
      <c r="K7" s="528" cm="1">
        <f t="array" ref="K7">SUMPRODUCT((SVB!$R$2:$R$740&gt;=K311)*(SVB!$R$2:$R$740&lt;=K312)*(SVB!$B$2:$B$740="AMF")*(ISNUMBER(SVB!$F$2:$F$740))*(SVB!$F$2:$F$740))</f>
        <v>0</v>
      </c>
      <c r="L7" s="528" cm="1">
        <f t="array" ref="L7">SUMPRODUCT((SVB!$R$2:$R$740&gt;=L311)*(SVB!$R$2:$R$740&lt;=L312)*(SVB!$B$2:$B$740="AMF")*(ISNUMBER(SVB!$F$2:$F$740))*(SVB!$F$2:$F$740))</f>
        <v>0</v>
      </c>
      <c r="M7" s="528" cm="1">
        <f t="array" ref="M7">SUMPRODUCT((SVB!$R$2:$R$740&gt;=M311)*(SVB!$R$2:$R$740&lt;=M312)*(SVB!$B$2:$B$740="AMF")*(ISNUMBER(SVB!$F$2:$F$740))*(SVB!$F$2:$F$740))</f>
        <v>0</v>
      </c>
      <c r="N7" s="528" cm="1">
        <f t="array" ref="N7">SUMPRODUCT((SVB!$R$2:$R$740&gt;=N311)*(SVB!$R$2:$R$740&lt;=N312)*(SVB!$B$2:$B$740="AMF")*(ISNUMBER(SVB!$F$2:$F$740))*(SVB!$F$2:$F$740))</f>
        <v>0</v>
      </c>
      <c r="O7" s="528" cm="1">
        <f t="array" ref="O7">SUMPRODUCT((SVB!$R$2:$R$740&gt;=O311)*(SVB!$R$2:$R$740&lt;=O312)*(SVB!$B$2:$B$740="AMF")*(ISNUMBER(SVB!$F$2:$F$740))*(SVB!$F$2:$F$740))</f>
        <v>0</v>
      </c>
      <c r="P7" s="528" cm="1">
        <f t="array" ref="P7">SUMPRODUCT((SVB!$R$2:$R$740&gt;=P311)*(SVB!$R$2:$R$740&lt;=P312)*(SVB!$B$2:$B$740="AMF")*(ISNUMBER(SVB!$F$2:$F$740))*(SVB!$F$2:$F$740))</f>
        <v>0</v>
      </c>
      <c r="Q7" s="528" cm="1">
        <f t="array" ref="Q7">SUMPRODUCT((SVB!$R$2:$R$740&gt;=Q311)*(SVB!$R$2:$R$740&lt;=Q312)*(SVB!$B$2:$B$740="AMF")*(ISNUMBER(SVB!$F$2:$F$740))*(SVB!$F$2:$F$740))</f>
        <v>0</v>
      </c>
      <c r="R7" s="528" cm="1">
        <f t="array" ref="R7">SUMPRODUCT((SVB!$R$2:$R$740&gt;=R311)*(SVB!$R$2:$R$740&lt;=R312)*(SVB!$B$2:$B$740="AMF")*(ISNUMBER(SVB!$F$2:$F$740))*(SVB!$F$2:$F$740))</f>
        <v>0</v>
      </c>
      <c r="S7" s="528" cm="1">
        <f t="array" ref="S7">SUMPRODUCT((SVB!$R$2:$R$740&gt;=S311)*(SVB!$R$2:$R$740&lt;=S312)*(SVB!$B$2:$B$740="AMF")*(ISNUMBER(SVB!$F$2:$F$740))*(SVB!$F$2:$F$740))</f>
        <v>95</v>
      </c>
      <c r="T7" s="528" cm="1">
        <f t="array" ref="T7">SUMPRODUCT((SVB!$R$2:$R$740&gt;=T311)*(SVB!$R$2:$R$740&lt;=T312)*(SVB!$B$2:$B$740="AMF")*(ISNUMBER(SVB!$F$2:$F$740))*(SVB!$F$2:$F$740))</f>
        <v>17</v>
      </c>
      <c r="U7" s="528" cm="1">
        <f t="array" ref="U7">SUMPRODUCT((SVB!$R$2:$R$740&gt;=U311)*(SVB!$R$2:$R$740&lt;=U312)*(SVB!$B$2:$B$740="AMF")*(ISNUMBER(SVB!$F$2:$F$740))*(SVB!$F$2:$F$740))</f>
        <v>0</v>
      </c>
      <c r="V7" s="529" cm="1">
        <f t="array" ref="V7">SUMPRODUCT((SVB!$B$2:$B$740="AMF")*(ISNUMBER(SVB!$F$2:$F$740))*(SVB!$F$2:$F$740))</f>
        <v>114</v>
      </c>
    </row>
    <row r="8" spans="1:22" ht="18" customHeight="1">
      <c r="A8" s="442" t="s">
        <v>917</v>
      </c>
      <c r="B8" s="443" cm="1">
        <f t="array" ref="B8">SUMPRODUCT((SVB!$S$2:$S$740&gt;=B311)*(SVB!$S$2:$S$740&lt;=B312)*(SVB!$B$2:$B$740="AMF")*(ISNUMBER(SVB!$M$2:$M$740))*(SVB!$M$2:$M$740))</f>
        <v>2</v>
      </c>
      <c r="C8" s="443" cm="1">
        <f t="array" ref="C8">SUMPRODUCT((SVB!$S$2:$S$740&gt;=C311)*(SVB!$S$2:$S$740&lt;=C312)*(SVB!$B$2:$B$740="AMF")*(ISNUMBER(SVB!$M$2:$M$740))*(SVB!$M$2:$M$740))</f>
        <v>0</v>
      </c>
      <c r="D8" s="443" cm="1">
        <f t="array" ref="D8">SUMPRODUCT((SVB!$S$2:$S$740&gt;=D311)*(SVB!$S$2:$S$740&lt;=D312)*(SVB!$B$2:$B$740="AMF")*(ISNUMBER(SVB!$M$2:$M$740))*(SVB!$M$2:$M$740))</f>
        <v>0</v>
      </c>
      <c r="E8" s="443" cm="1">
        <f t="array" ref="E8">SUMPRODUCT((SVB!$S$2:$S$740&gt;=E311)*(SVB!$S$2:$S$740&lt;=E312)*(SVB!$B$2:$B$740="AMF")*(ISNUMBER(SVB!$M$2:$M$740))*(SVB!$M$2:$M$740))</f>
        <v>0</v>
      </c>
      <c r="F8" s="443" cm="1">
        <f t="array" ref="F8">SUMPRODUCT((SVB!$S$2:$S$740&gt;=F311)*(SVB!$S$2:$S$740&lt;=F312)*(SVB!$B$2:$B$740="AMF")*(ISNUMBER(SVB!$M$2:$M$740))*(SVB!$M$2:$M$740))</f>
        <v>0</v>
      </c>
      <c r="G8" s="443" cm="1">
        <f t="array" ref="G8">SUMPRODUCT((SVB!$S$2:$S$740&gt;=G311)*(SVB!$S$2:$S$740&lt;=G312)*(SVB!$B$2:$B$740="AMF")*(ISNUMBER(SVB!$M$2:$M$740))*(SVB!$M$2:$M$740))</f>
        <v>0</v>
      </c>
      <c r="H8" s="443" cm="1">
        <f t="array" ref="H8">SUMPRODUCT((SVB!$S$2:$S$740&gt;=H311)*(SVB!$S$2:$S$740&lt;=H312)*(SVB!$B$2:$B$740="AMF")*(ISNUMBER(SVB!$M$2:$M$740))*(SVB!$M$2:$M$740))</f>
        <v>0</v>
      </c>
      <c r="I8" s="443" cm="1">
        <f t="array" ref="I8">SUMPRODUCT((SVB!$S$2:$S$740&gt;=I311)*(SVB!$S$2:$S$740&lt;=I312)*(SVB!$B$2:$B$740="AMF")*(ISNUMBER(SVB!$M$2:$M$740))*(SVB!$M$2:$M$740))</f>
        <v>0</v>
      </c>
      <c r="J8" s="443" cm="1">
        <f t="array" ref="J8">SUMPRODUCT((SVB!$S$2:$S$740&gt;=J311)*(SVB!$S$2:$S$740&lt;=J312)*(SVB!$B$2:$B$740="AMF")*(ISNUMBER(SVB!$M$2:$M$740))*(SVB!$M$2:$M$740))</f>
        <v>0</v>
      </c>
      <c r="K8" s="443" cm="1">
        <f t="array" ref="K8">SUMPRODUCT((SVB!$S$2:$S$740&gt;=K311)*(SVB!$S$2:$S$740&lt;=K312)*(SVB!$B$2:$B$740="AMF")*(ISNUMBER(SVB!$M$2:$M$740))*(SVB!$M$2:$M$740))</f>
        <v>0</v>
      </c>
      <c r="L8" s="443" cm="1">
        <f t="array" ref="L8">SUMPRODUCT((SVB!$S$2:$S$740&gt;=L311)*(SVB!$S$2:$S$740&lt;=L312)*(SVB!$B$2:$B$740="AMF")*(ISNUMBER(SVB!$M$2:$M$740))*(SVB!$M$2:$M$740))</f>
        <v>0</v>
      </c>
      <c r="M8" s="443" cm="1">
        <f t="array" ref="M8">SUMPRODUCT((SVB!$S$2:$S$740&gt;=M311)*(SVB!$S$2:$S$740&lt;=M312)*(SVB!$B$2:$B$740="AMF")*(ISNUMBER(SVB!$M$2:$M$740))*(SVB!$M$2:$M$740))</f>
        <v>0</v>
      </c>
      <c r="N8" s="443" cm="1">
        <f t="array" ref="N8">SUMPRODUCT((SVB!$S$2:$S$740&gt;=N311)*(SVB!$S$2:$S$740&lt;=N312)*(SVB!$B$2:$B$740="AMF")*(ISNUMBER(SVB!$M$2:$M$740))*(SVB!$M$2:$M$740))</f>
        <v>0</v>
      </c>
      <c r="O8" s="443" cm="1">
        <f t="array" ref="O8">SUMPRODUCT((SVB!$S$2:$S$740&gt;=O311)*(SVB!$S$2:$S$740&lt;=O312)*(SVB!$B$2:$B$740="AMF")*(ISNUMBER(SVB!$M$2:$M$740))*(SVB!$M$2:$M$740))</f>
        <v>0</v>
      </c>
      <c r="P8" s="443" cm="1">
        <f t="array" ref="P8">SUMPRODUCT((SVB!$S$2:$S$740&gt;=P311)*(SVB!$S$2:$S$740&lt;=P312)*(SVB!$B$2:$B$740="AMF")*(ISNUMBER(SVB!$M$2:$M$740))*(SVB!$M$2:$M$740))</f>
        <v>0</v>
      </c>
      <c r="Q8" s="443" cm="1">
        <f t="array" ref="Q8">SUMPRODUCT((SVB!$S$2:$S$740&gt;=Q311)*(SVB!$S$2:$S$740&lt;=Q312)*(SVB!$B$2:$B$740="AMF")*(ISNUMBER(SVB!$M$2:$M$740))*(SVB!$M$2:$M$740))</f>
        <v>0</v>
      </c>
      <c r="R8" s="443" cm="1">
        <f t="array" ref="R8">SUMPRODUCT((SVB!$S$2:$S$740&gt;=R311)*(SVB!$S$2:$S$740&lt;=R312)*(SVB!$B$2:$B$740="AMF")*(ISNUMBER(SVB!$M$2:$M$740))*(SVB!$M$2:$M$740))</f>
        <v>0</v>
      </c>
      <c r="S8" s="443" cm="1">
        <f t="array" ref="S8">SUMPRODUCT((SVB!$S$2:$S$740&gt;=S311)*(SVB!$S$2:$S$740&lt;=S312)*(SVB!$B$2:$B$740="AMF")*(ISNUMBER(SVB!$M$2:$M$740))*(SVB!$M$2:$M$740))</f>
        <v>0</v>
      </c>
      <c r="T8" s="443" cm="1">
        <f t="array" ref="T8">SUMPRODUCT((SVB!$S$2:$S$740&gt;=T311)*(SVB!$S$2:$S$740&lt;=T312)*(SVB!$B$2:$B$740="AMF")*(ISNUMBER(SVB!$M$2:$M$740))*(SVB!$M$2:$M$740))</f>
        <v>0</v>
      </c>
      <c r="U8" s="443" cm="1">
        <f t="array" ref="U8">SUMPRODUCT((SVB!$S$2:$S$740&gt;=U311)*(SVB!$S$2:$S$740&lt;=U312)*(SVB!$B$2:$B$740="AMF")*(ISNUMBER(SVB!$M$2:$M$740))*(SVB!$M$2:$M$740))</f>
        <v>0</v>
      </c>
      <c r="V8" s="529">
        <f>SUM(B8:U8)</f>
        <v>2</v>
      </c>
    </row>
    <row r="9" spans="1:22" ht="18" customHeight="1">
      <c r="A9" s="442" t="s">
        <v>918</v>
      </c>
      <c r="B9" s="443" cm="1">
        <f t="array" ref="B9">SUMPRODUCT((SVB!$S$2:$S$740&gt;=B311)*(SVB!$S$2:$S$740&lt;=B312)*(SVB!$B$2:$B$740="AMF")*(ISNUMBER(SVB!$N$2:$N$740))*(SVB!$N$2:$N$740))</f>
        <v>2</v>
      </c>
      <c r="C9" s="443" cm="1">
        <f t="array" ref="C9">SUMPRODUCT((SVB!$S$2:$S$740&gt;=C311)*(SVB!$S$2:$S$740&lt;=C312)*(SVB!$B$2:$B$740="AMF")*(ISNUMBER(SVB!$N$2:$N$740))*(SVB!$N$2:$N$740))</f>
        <v>0</v>
      </c>
      <c r="D9" s="443" cm="1">
        <f t="array" ref="D9">SUMPRODUCT((SVB!$S$2:$S$740&gt;=D311)*(SVB!$S$2:$S$740&lt;=D312)*(SVB!$B$2:$B$740="AMF")*(ISNUMBER(SVB!$N$2:$N$740))*(SVB!$N$2:$N$740))</f>
        <v>0</v>
      </c>
      <c r="E9" s="443" cm="1">
        <f t="array" ref="E9">SUMPRODUCT((SVB!$S$2:$S$740&gt;=E311)*(SVB!$S$2:$S$740&lt;=E312)*(SVB!$B$2:$B$740="AMF")*(ISNUMBER(SVB!$N$2:$N$740))*(SVB!$N$2:$N$740))</f>
        <v>0</v>
      </c>
      <c r="F9" s="443" cm="1">
        <f t="array" ref="F9">SUMPRODUCT((SVB!$S$2:$S$740&gt;=F311)*(SVB!$S$2:$S$740&lt;=F312)*(SVB!$B$2:$B$740="AMF")*(ISNUMBER(SVB!$N$2:$N$740))*(SVB!$N$2:$N$740))</f>
        <v>0</v>
      </c>
      <c r="G9" s="443" cm="1">
        <f t="array" ref="G9">SUMPRODUCT((SVB!$S$2:$S$740&gt;=G311)*(SVB!$S$2:$S$740&lt;=G312)*(SVB!$B$2:$B$740="AMF")*(ISNUMBER(SVB!$N$2:$N$740))*(SVB!$N$2:$N$740))</f>
        <v>0</v>
      </c>
      <c r="H9" s="443" cm="1">
        <f t="array" ref="H9">SUMPRODUCT((SVB!$S$2:$S$740&gt;=H311)*(SVB!$S$2:$S$740&lt;=H312)*(SVB!$B$2:$B$740="AMF")*(ISNUMBER(SVB!$N$2:$N$740))*(SVB!$N$2:$N$740))</f>
        <v>0</v>
      </c>
      <c r="I9" s="443" cm="1">
        <f t="array" ref="I9">SUMPRODUCT((SVB!$S$2:$S$740&gt;=I311)*(SVB!$S$2:$S$740&lt;=I312)*(SVB!$B$2:$B$740="AMF")*(ISNUMBER(SVB!$N$2:$N$740))*(SVB!$N$2:$N$740))</f>
        <v>0</v>
      </c>
      <c r="J9" s="443" cm="1">
        <f t="array" ref="J9">SUMPRODUCT((SVB!$S$2:$S$740&gt;=J311)*(SVB!$S$2:$S$740&lt;=J312)*(SVB!$B$2:$B$740="AMF")*(ISNUMBER(SVB!$N$2:$N$740))*(SVB!$N$2:$N$740))</f>
        <v>0</v>
      </c>
      <c r="K9" s="443" cm="1">
        <f t="array" ref="K9">SUMPRODUCT((SVB!$S$2:$S$740&gt;=K311)*(SVB!$S$2:$S$740&lt;=K312)*(SVB!$B$2:$B$740="AMF")*(ISNUMBER(SVB!$N$2:$N$740))*(SVB!$N$2:$N$740))</f>
        <v>0</v>
      </c>
      <c r="L9" s="443" cm="1">
        <f t="array" ref="L9">SUMPRODUCT((SVB!$S$2:$S$740&gt;=L311)*(SVB!$S$2:$S$740&lt;=L312)*(SVB!$B$2:$B$740="AMF")*(ISNUMBER(SVB!$N$2:$N$740))*(SVB!$N$2:$N$740))</f>
        <v>0</v>
      </c>
      <c r="M9" s="443" cm="1">
        <f t="array" ref="M9">SUMPRODUCT((SVB!$S$2:$S$740&gt;=M311)*(SVB!$S$2:$S$740&lt;=M312)*(SVB!$B$2:$B$740="AMF")*(ISNUMBER(SVB!$N$2:$N$740))*(SVB!$N$2:$N$740))</f>
        <v>0</v>
      </c>
      <c r="N9" s="443" cm="1">
        <f t="array" ref="N9">SUMPRODUCT((SVB!$S$2:$S$740&gt;=N311)*(SVB!$S$2:$S$740&lt;=N312)*(SVB!$B$2:$B$740="AMF")*(ISNUMBER(SVB!$N$2:$N$740))*(SVB!$N$2:$N$740))</f>
        <v>0</v>
      </c>
      <c r="O9" s="443" cm="1">
        <f t="array" ref="O9">SUMPRODUCT((SVB!$S$2:$S$740&gt;=O311)*(SVB!$S$2:$S$740&lt;=O312)*(SVB!$B$2:$B$740="AMF")*(ISNUMBER(SVB!$N$2:$N$740))*(SVB!$N$2:$N$740))</f>
        <v>0</v>
      </c>
      <c r="P9" s="443" cm="1">
        <f t="array" ref="P9">SUMPRODUCT((SVB!$S$2:$S$740&gt;=P311)*(SVB!$S$2:$S$740&lt;=P312)*(SVB!$B$2:$B$740="AMF")*(ISNUMBER(SVB!$N$2:$N$740))*(SVB!$N$2:$N$740))</f>
        <v>0</v>
      </c>
      <c r="Q9" s="443" cm="1">
        <f t="array" ref="Q9">SUMPRODUCT((SVB!$S$2:$S$740&gt;=Q311)*(SVB!$S$2:$S$740&lt;=Q312)*(SVB!$B$2:$B$740="AMF")*(ISNUMBER(SVB!$N$2:$N$740))*(SVB!$N$2:$N$740))</f>
        <v>0</v>
      </c>
      <c r="R9" s="443" cm="1">
        <f t="array" ref="R9">SUMPRODUCT((SVB!$S$2:$S$740&gt;=R311)*(SVB!$S$2:$S$740&lt;=R312)*(SVB!$B$2:$B$740="AMF")*(ISNUMBER(SVB!$N$2:$N$740))*(SVB!$N$2:$N$740))</f>
        <v>0</v>
      </c>
      <c r="S9" s="443" cm="1">
        <f t="array" ref="S9">SUMPRODUCT((SVB!$S$2:$S$740&gt;=S311)*(SVB!$S$2:$S$740&lt;=S312)*(SVB!$B$2:$B$740="AMF")*(ISNUMBER(SVB!$N$2:$N$740))*(SVB!$N$2:$N$740))</f>
        <v>0</v>
      </c>
      <c r="T9" s="443" cm="1">
        <f t="array" ref="T9">SUMPRODUCT((SVB!$S$2:$S$740&gt;=T311)*(SVB!$S$2:$S$740&lt;=T312)*(SVB!$B$2:$B$740="AMF")*(ISNUMBER(SVB!$N$2:$N$740))*(SVB!$N$2:$N$740))</f>
        <v>0</v>
      </c>
      <c r="U9" s="443" cm="1">
        <f t="array" ref="U9">SUMPRODUCT((SVB!$S$2:$S$740&gt;=U311)*(SVB!$S$2:$S$740&lt;=U312)*(SVB!$B$2:$B$740="AMF")*(ISNUMBER(SVB!$N$2:$N$740))*(SVB!$N$2:$N$740))</f>
        <v>0</v>
      </c>
      <c r="V9" s="529">
        <f t="shared" ref="V9" si="0">SUM(B9:U9)</f>
        <v>2</v>
      </c>
    </row>
    <row r="10" spans="1:22" ht="18" customHeight="1">
      <c r="A10" s="442" t="s">
        <v>919</v>
      </c>
      <c r="B10" s="443" cm="1">
        <f t="array" ref="B10">SUMPRODUCT((SVB!$S$2:$S$740&gt;=B311)*(SVB!$S$2:$S$740&lt;=B312)*(SVB!$B$2:$B$740="AMF")*(ISNUMBER(SVB!$O$2:$O$740))*(SVB!$O$2:$O$740))</f>
        <v>2</v>
      </c>
      <c r="C10" s="443" cm="1">
        <f t="array" ref="C10">SUMPRODUCT((SVB!$S$2:$S$740&gt;=C311)*(SVB!$S$2:$S$740&lt;=C312)*(SVB!$B$2:$B$740="AMF")*(ISNUMBER(SVB!$O$2:$O$740))*(SVB!$O$2:$O$740))</f>
        <v>0</v>
      </c>
      <c r="D10" s="443" cm="1">
        <f t="array" ref="D10">SUMPRODUCT((SVB!$S$2:$S$740&gt;=D311)*(SVB!$S$2:$S$740&lt;=D312)*(SVB!$B$2:$B$740="AMF")*(ISNUMBER(SVB!$O$2:$O$740))*(SVB!$O$2:$O$740))</f>
        <v>0</v>
      </c>
      <c r="E10" s="443" cm="1">
        <f t="array" ref="E10">SUMPRODUCT((SVB!$S$2:$S$740&gt;=E311)*(SVB!$S$2:$S$740&lt;=E312)*(SVB!$B$2:$B$740="AMF")*(ISNUMBER(SVB!$O$2:$O$740))*(SVB!$O$2:$O$740))</f>
        <v>0</v>
      </c>
      <c r="F10" s="443" cm="1">
        <f t="array" ref="F10">SUMPRODUCT((SVB!$S$2:$S$740&gt;=F311)*(SVB!$S$2:$S$740&lt;=F312)*(SVB!$B$2:$B$740="AMF")*(ISNUMBER(SVB!$O$2:$O$740))*(SVB!$O$2:$O$740))</f>
        <v>0</v>
      </c>
      <c r="G10" s="443" cm="1">
        <f t="array" ref="G10">SUMPRODUCT((SVB!$S$2:$S$740&gt;=G311)*(SVB!$S$2:$S$740&lt;=G312)*(SVB!$B$2:$B$740="AMF")*(ISNUMBER(SVB!$O$2:$O$740))*(SVB!$O$2:$O$740))</f>
        <v>0</v>
      </c>
      <c r="H10" s="443" cm="1">
        <f t="array" ref="H10">SUMPRODUCT((SVB!$S$2:$S$740&gt;=H311)*(SVB!$S$2:$S$740&lt;=H312)*(SVB!$B$2:$B$740="AMF")*(ISNUMBER(SVB!$O$2:$O$740))*(SVB!$O$2:$O$740))</f>
        <v>0</v>
      </c>
      <c r="I10" s="443" cm="1">
        <f t="array" ref="I10">SUMPRODUCT((SVB!$S$2:$S$740&gt;=I311)*(SVB!$S$2:$S$740&lt;=I312)*(SVB!$B$2:$B$740="AMF")*(ISNUMBER(SVB!$O$2:$O$740))*(SVB!$O$2:$O$740))</f>
        <v>0</v>
      </c>
      <c r="J10" s="443" cm="1">
        <f t="array" ref="J10">SUMPRODUCT((SVB!$S$2:$S$740&gt;=J311)*(SVB!$S$2:$S$740&lt;=J312)*(SVB!$B$2:$B$740="AMF")*(ISNUMBER(SVB!$O$2:$O$740))*(SVB!$O$2:$O$740))</f>
        <v>0</v>
      </c>
      <c r="K10" s="443" cm="1">
        <f t="array" ref="K10">SUMPRODUCT((SVB!$S$2:$S$740&gt;=K311)*(SVB!$S$2:$S$740&lt;=K312)*(SVB!$B$2:$B$740="AMF")*(ISNUMBER(SVB!$O$2:$O$740))*(SVB!$O$2:$O$740))</f>
        <v>0</v>
      </c>
      <c r="L10" s="443" cm="1">
        <f t="array" ref="L10">SUMPRODUCT((SVB!$S$2:$S$740&gt;=L311)*(SVB!$S$2:$S$740&lt;=L312)*(SVB!$B$2:$B$740="AMF")*(ISNUMBER(SVB!$O$2:$O$740))*(SVB!$O$2:$O$740))</f>
        <v>0</v>
      </c>
      <c r="M10" s="443" cm="1">
        <f t="array" ref="M10">SUMPRODUCT((SVB!$S$2:$S$740&gt;=M311)*(SVB!$S$2:$S$740&lt;=M312)*(SVB!$B$2:$B$740="AMF")*(ISNUMBER(SVB!$O$2:$O$740))*(SVB!$O$2:$O$740))</f>
        <v>0</v>
      </c>
      <c r="N10" s="443" cm="1">
        <f t="array" ref="N10">SUMPRODUCT((SVB!$S$2:$S$740&gt;=N311)*(SVB!$S$2:$S$740&lt;=N312)*(SVB!$B$2:$B$740="AMF")*(ISNUMBER(SVB!$O$2:$O$740))*(SVB!$O$2:$O$740))</f>
        <v>0</v>
      </c>
      <c r="O10" s="443" cm="1">
        <f t="array" ref="O10">SUMPRODUCT((SVB!$S$2:$S$740&gt;=O311)*(SVB!$S$2:$S$740&lt;=O312)*(SVB!$B$2:$B$740="AMF")*(ISNUMBER(SVB!$O$2:$O$740))*(SVB!$O$2:$O$740))</f>
        <v>0</v>
      </c>
      <c r="P10" s="443" cm="1">
        <f t="array" ref="P10">SUMPRODUCT((SVB!$S$2:$S$740&gt;=P311)*(SVB!$S$2:$S$740&lt;=P312)*(SVB!$B$2:$B$740="AMF")*(ISNUMBER(SVB!$O$2:$O$740))*(SVB!$O$2:$O$740))</f>
        <v>0</v>
      </c>
      <c r="Q10" s="443" cm="1">
        <f t="array" ref="Q10">SUMPRODUCT((SVB!$S$2:$S$740&gt;=Q311)*(SVB!$S$2:$S$740&lt;=Q312)*(SVB!$B$2:$B$740="AMF")*(ISNUMBER(SVB!$O$2:$O$740))*(SVB!$O$2:$O$740))</f>
        <v>0</v>
      </c>
      <c r="R10" s="443" cm="1">
        <f t="array" ref="R10">SUMPRODUCT((SVB!$S$2:$S$740&gt;=R311)*(SVB!$S$2:$S$740&lt;=R312)*(SVB!$B$2:$B$740="AMF")*(ISNUMBER(SVB!$O$2:$O$740))*(SVB!$O$2:$O$740))</f>
        <v>0</v>
      </c>
      <c r="S10" s="443" cm="1">
        <f t="array" ref="S10">SUMPRODUCT((SVB!$S$2:$S$740&gt;=S311)*(SVB!$S$2:$S$740&lt;=S312)*(SVB!$B$2:$B$740="AMF")*(ISNUMBER(SVB!$O$2:$O$740))*(SVB!$O$2:$O$740))</f>
        <v>0</v>
      </c>
      <c r="T10" s="443" cm="1">
        <f t="array" ref="T10">SUMPRODUCT((SVB!$S$2:$S$740&gt;=T311)*(SVB!$S$2:$S$740&lt;=T312)*(SVB!$B$2:$B$740="AMF")*(ISNUMBER(SVB!$O$2:$O$740))*(SVB!$O$2:$O$740))</f>
        <v>0</v>
      </c>
      <c r="U10" s="443" cm="1">
        <f t="array" ref="U10">SUMPRODUCT((SVB!$S$2:$S$740&gt;=U311)*(SVB!$S$2:$S$740&lt;=U312)*(SVB!$B$2:$B$740="AMF")*(ISNUMBER(SVB!$O$2:$O$740))*(SVB!$O$2:$O$740))</f>
        <v>0</v>
      </c>
      <c r="V10" s="529">
        <f>SUM(B10:U10)</f>
        <v>2</v>
      </c>
    </row>
    <row r="11" spans="1:22" s="547" customFormat="1" ht="19.5" customHeight="1">
      <c r="A11" s="550" t="s">
        <v>322</v>
      </c>
      <c r="B11" s="551">
        <f>MAX(B10-B7,0)</f>
        <v>0</v>
      </c>
      <c r="C11" s="551">
        <f t="shared" ref="C11:Q11" si="1">MAX(C10-C7,0)</f>
        <v>0</v>
      </c>
      <c r="D11" s="551">
        <f t="shared" si="1"/>
        <v>0</v>
      </c>
      <c r="E11" s="551">
        <f t="shared" si="1"/>
        <v>0</v>
      </c>
      <c r="F11" s="551">
        <f t="shared" si="1"/>
        <v>0</v>
      </c>
      <c r="G11" s="551">
        <f t="shared" si="1"/>
        <v>0</v>
      </c>
      <c r="H11" s="551">
        <f t="shared" si="1"/>
        <v>0</v>
      </c>
      <c r="I11" s="551">
        <f t="shared" si="1"/>
        <v>0</v>
      </c>
      <c r="J11" s="551">
        <f t="shared" si="1"/>
        <v>0</v>
      </c>
      <c r="K11" s="551">
        <f t="shared" si="1"/>
        <v>0</v>
      </c>
      <c r="L11" s="551">
        <f t="shared" si="1"/>
        <v>0</v>
      </c>
      <c r="M11" s="551">
        <f t="shared" si="1"/>
        <v>0</v>
      </c>
      <c r="N11" s="551">
        <f t="shared" si="1"/>
        <v>0</v>
      </c>
      <c r="O11" s="551">
        <f t="shared" si="1"/>
        <v>0</v>
      </c>
      <c r="P11" s="551">
        <f t="shared" si="1"/>
        <v>0</v>
      </c>
      <c r="Q11" s="551">
        <f t="shared" si="1"/>
        <v>0</v>
      </c>
      <c r="R11" s="551">
        <f t="shared" ref="R11:U11" si="2">MAX(R10-R7,0)</f>
        <v>0</v>
      </c>
      <c r="S11" s="551">
        <f t="shared" si="2"/>
        <v>0</v>
      </c>
      <c r="T11" s="551">
        <f t="shared" si="2"/>
        <v>0</v>
      </c>
      <c r="U11" s="551">
        <f t="shared" si="2"/>
        <v>0</v>
      </c>
      <c r="V11" s="552">
        <f>MAX(V10-V7,0)</f>
        <v>0</v>
      </c>
    </row>
    <row r="12" spans="1:22" s="547" customFormat="1" ht="19.5" customHeight="1">
      <c r="A12" s="550" t="s">
        <v>323</v>
      </c>
      <c r="B12" s="551">
        <f>MAX(B7-B10,0)</f>
        <v>0</v>
      </c>
      <c r="C12" s="551">
        <f t="shared" ref="C12:Q12" si="3">MAX(C7-C10,0)</f>
        <v>0</v>
      </c>
      <c r="D12" s="551">
        <f t="shared" si="3"/>
        <v>0</v>
      </c>
      <c r="E12" s="551">
        <f t="shared" si="3"/>
        <v>0</v>
      </c>
      <c r="F12" s="551">
        <f t="shared" si="3"/>
        <v>0</v>
      </c>
      <c r="G12" s="551">
        <f t="shared" si="3"/>
        <v>0</v>
      </c>
      <c r="H12" s="551">
        <f t="shared" si="3"/>
        <v>0</v>
      </c>
      <c r="I12" s="551">
        <f t="shared" si="3"/>
        <v>0</v>
      </c>
      <c r="J12" s="551">
        <f t="shared" si="3"/>
        <v>0</v>
      </c>
      <c r="K12" s="551">
        <f t="shared" si="3"/>
        <v>0</v>
      </c>
      <c r="L12" s="551">
        <f t="shared" si="3"/>
        <v>0</v>
      </c>
      <c r="M12" s="551">
        <f t="shared" si="3"/>
        <v>0</v>
      </c>
      <c r="N12" s="551">
        <f t="shared" si="3"/>
        <v>0</v>
      </c>
      <c r="O12" s="551">
        <f t="shared" si="3"/>
        <v>0</v>
      </c>
      <c r="P12" s="551">
        <f t="shared" si="3"/>
        <v>0</v>
      </c>
      <c r="Q12" s="551">
        <f t="shared" si="3"/>
        <v>0</v>
      </c>
      <c r="R12" s="551">
        <f t="shared" ref="R12:U12" si="4">MAX(R7-R10,0)</f>
        <v>0</v>
      </c>
      <c r="S12" s="551">
        <f t="shared" si="4"/>
        <v>95</v>
      </c>
      <c r="T12" s="551">
        <f t="shared" si="4"/>
        <v>17</v>
      </c>
      <c r="U12" s="551">
        <f t="shared" si="4"/>
        <v>0</v>
      </c>
      <c r="V12" s="552">
        <f>MAX(V7-V10,0)</f>
        <v>112</v>
      </c>
    </row>
    <row r="13" spans="1:22" ht="18" customHeight="1">
      <c r="A13" s="541" t="s">
        <v>326</v>
      </c>
      <c r="B13" s="542">
        <f>IF(B7=0,"-",(B8+B9+B10)/(B7*3))</f>
        <v>1</v>
      </c>
      <c r="C13" s="542" t="str">
        <f t="shared" ref="C13:Q13" si="5">IF(C7=0,"-",(C8+C9+C10)/(C7*3))</f>
        <v>-</v>
      </c>
      <c r="D13" s="542" t="str">
        <f t="shared" si="5"/>
        <v>-</v>
      </c>
      <c r="E13" s="542" t="str">
        <f t="shared" si="5"/>
        <v>-</v>
      </c>
      <c r="F13" s="542" t="str">
        <f t="shared" si="5"/>
        <v>-</v>
      </c>
      <c r="G13" s="542" t="str">
        <f t="shared" si="5"/>
        <v>-</v>
      </c>
      <c r="H13" s="542" t="str">
        <f t="shared" si="5"/>
        <v>-</v>
      </c>
      <c r="I13" s="542" t="str">
        <f t="shared" si="5"/>
        <v>-</v>
      </c>
      <c r="J13" s="542" t="str">
        <f t="shared" si="5"/>
        <v>-</v>
      </c>
      <c r="K13" s="542" t="str">
        <f t="shared" si="5"/>
        <v>-</v>
      </c>
      <c r="L13" s="542" t="str">
        <f t="shared" si="5"/>
        <v>-</v>
      </c>
      <c r="M13" s="542" t="str">
        <f t="shared" si="5"/>
        <v>-</v>
      </c>
      <c r="N13" s="542" t="str">
        <f t="shared" si="5"/>
        <v>-</v>
      </c>
      <c r="O13" s="542" t="str">
        <f t="shared" si="5"/>
        <v>-</v>
      </c>
      <c r="P13" s="542" t="str">
        <f t="shared" si="5"/>
        <v>-</v>
      </c>
      <c r="Q13" s="542" t="str">
        <f t="shared" si="5"/>
        <v>-</v>
      </c>
      <c r="R13" s="542" t="str">
        <f t="shared" ref="R13:U13" si="6">IF(R7=0,"-",(R8+R9+R10)/(R7*3))</f>
        <v>-</v>
      </c>
      <c r="S13" s="542">
        <f t="shared" si="6"/>
        <v>0</v>
      </c>
      <c r="T13" s="542">
        <f t="shared" si="6"/>
        <v>0</v>
      </c>
      <c r="U13" s="542" t="str">
        <f t="shared" si="6"/>
        <v>-</v>
      </c>
      <c r="V13" s="530">
        <f t="shared" ref="V13" si="7">IF(V7=0,"-",(V8+V9+V10)/(V7*3))</f>
        <v>1.7543859649122806E-2</v>
      </c>
    </row>
    <row r="14" spans="1:22" ht="18" customHeight="1">
      <c r="A14" s="597" t="s">
        <v>920</v>
      </c>
      <c r="B14" s="598">
        <f>SUM($B10:B10)</f>
        <v>2</v>
      </c>
      <c r="C14" s="598">
        <f>SUM($B10:C10)</f>
        <v>2</v>
      </c>
      <c r="D14" s="598">
        <f>SUM($B10:D10)</f>
        <v>2</v>
      </c>
      <c r="E14" s="598">
        <f>SUM($B10:E10)</f>
        <v>2</v>
      </c>
      <c r="F14" s="598">
        <f>SUM($B10:F10)</f>
        <v>2</v>
      </c>
      <c r="G14" s="598">
        <f>SUM($B10:G10)</f>
        <v>2</v>
      </c>
      <c r="H14" s="598">
        <f>SUM($B10:H10)</f>
        <v>2</v>
      </c>
      <c r="I14" s="598">
        <f>SUM($B10:I10)</f>
        <v>2</v>
      </c>
      <c r="J14" s="598">
        <f>SUM($B10:J10)</f>
        <v>2</v>
      </c>
      <c r="K14" s="598">
        <f>SUM($B10:K10)</f>
        <v>2</v>
      </c>
      <c r="L14" s="598">
        <f>SUM($B10:L10)</f>
        <v>2</v>
      </c>
      <c r="M14" s="598">
        <f>SUM($B10:M10)</f>
        <v>2</v>
      </c>
      <c r="N14" s="598">
        <f>SUM($B10:N10)</f>
        <v>2</v>
      </c>
      <c r="O14" s="598">
        <f>SUM($B10:O10)</f>
        <v>2</v>
      </c>
      <c r="P14" s="598">
        <f>SUM($B10:P10)</f>
        <v>2</v>
      </c>
      <c r="Q14" s="598">
        <f>SUM($B10:Q10)</f>
        <v>2</v>
      </c>
      <c r="R14" s="598">
        <f>SUM($B10:R10)</f>
        <v>2</v>
      </c>
      <c r="S14" s="598">
        <f>SUM($B10:S10)</f>
        <v>2</v>
      </c>
      <c r="T14" s="598">
        <f>SUM($B10:T10)</f>
        <v>2</v>
      </c>
      <c r="U14" s="598">
        <f>SUM($B10:U10)</f>
        <v>2</v>
      </c>
      <c r="V14" s="529">
        <f>V10</f>
        <v>2</v>
      </c>
    </row>
    <row r="15" spans="1:22" ht="18" customHeight="1">
      <c r="A15" s="599" t="s">
        <v>318</v>
      </c>
      <c r="B15" s="600">
        <f>IF(B7=0,IF(B8=0,"-","100%"),B8/B7)</f>
        <v>1</v>
      </c>
      <c r="C15" s="600" t="str">
        <f t="shared" ref="C15:Q15" si="8">IF(C7=0,IF(C8=0,"-","100%"),C8/C7)</f>
        <v>-</v>
      </c>
      <c r="D15" s="600" t="str">
        <f t="shared" si="8"/>
        <v>-</v>
      </c>
      <c r="E15" s="600" t="str">
        <f t="shared" si="8"/>
        <v>-</v>
      </c>
      <c r="F15" s="600" t="str">
        <f t="shared" si="8"/>
        <v>-</v>
      </c>
      <c r="G15" s="600" t="str">
        <f t="shared" si="8"/>
        <v>-</v>
      </c>
      <c r="H15" s="600" t="str">
        <f t="shared" si="8"/>
        <v>-</v>
      </c>
      <c r="I15" s="600" t="str">
        <f t="shared" si="8"/>
        <v>-</v>
      </c>
      <c r="J15" s="600" t="str">
        <f t="shared" si="8"/>
        <v>-</v>
      </c>
      <c r="K15" s="600" t="str">
        <f t="shared" si="8"/>
        <v>-</v>
      </c>
      <c r="L15" s="600" t="str">
        <f t="shared" si="8"/>
        <v>-</v>
      </c>
      <c r="M15" s="600" t="str">
        <f t="shared" si="8"/>
        <v>-</v>
      </c>
      <c r="N15" s="600" t="str">
        <f t="shared" si="8"/>
        <v>-</v>
      </c>
      <c r="O15" s="600" t="str">
        <f t="shared" si="8"/>
        <v>-</v>
      </c>
      <c r="P15" s="600" t="str">
        <f t="shared" si="8"/>
        <v>-</v>
      </c>
      <c r="Q15" s="600" t="str">
        <f t="shared" si="8"/>
        <v>-</v>
      </c>
      <c r="R15" s="600" t="str">
        <f t="shared" ref="R15:U15" si="9">IF(R7=0,IF(R8=0,"-","100%"),R8/R7)</f>
        <v>-</v>
      </c>
      <c r="S15" s="600">
        <f t="shared" si="9"/>
        <v>0</v>
      </c>
      <c r="T15" s="600">
        <f t="shared" si="9"/>
        <v>0</v>
      </c>
      <c r="U15" s="600" t="str">
        <f t="shared" si="9"/>
        <v>-</v>
      </c>
      <c r="V15" s="601">
        <f>IF(V7=0,"-",V8/V7)</f>
        <v>1.7543859649122806E-2</v>
      </c>
    </row>
    <row r="16" spans="1:22" ht="18" customHeight="1">
      <c r="A16" s="599" t="s">
        <v>320</v>
      </c>
      <c r="B16" s="600">
        <f>IF(B7=0,IF(B9=0,"-","100%"),B9/B7)</f>
        <v>1</v>
      </c>
      <c r="C16" s="600" t="str">
        <f t="shared" ref="C16:Q16" si="10">IF(C7=0,IF(C9=0,"-","100%"),C9/C7)</f>
        <v>-</v>
      </c>
      <c r="D16" s="600" t="str">
        <f t="shared" si="10"/>
        <v>-</v>
      </c>
      <c r="E16" s="600" t="str">
        <f t="shared" si="10"/>
        <v>-</v>
      </c>
      <c r="F16" s="600" t="str">
        <f t="shared" si="10"/>
        <v>-</v>
      </c>
      <c r="G16" s="600" t="str">
        <f t="shared" si="10"/>
        <v>-</v>
      </c>
      <c r="H16" s="600" t="str">
        <f t="shared" si="10"/>
        <v>-</v>
      </c>
      <c r="I16" s="600" t="str">
        <f t="shared" si="10"/>
        <v>-</v>
      </c>
      <c r="J16" s="600" t="str">
        <f t="shared" si="10"/>
        <v>-</v>
      </c>
      <c r="K16" s="600" t="str">
        <f t="shared" si="10"/>
        <v>-</v>
      </c>
      <c r="L16" s="600" t="str">
        <f t="shared" si="10"/>
        <v>-</v>
      </c>
      <c r="M16" s="600" t="str">
        <f t="shared" si="10"/>
        <v>-</v>
      </c>
      <c r="N16" s="600" t="str">
        <f t="shared" si="10"/>
        <v>-</v>
      </c>
      <c r="O16" s="600" t="str">
        <f t="shared" si="10"/>
        <v>-</v>
      </c>
      <c r="P16" s="600" t="str">
        <f t="shared" si="10"/>
        <v>-</v>
      </c>
      <c r="Q16" s="600" t="str">
        <f t="shared" si="10"/>
        <v>-</v>
      </c>
      <c r="R16" s="600" t="str">
        <f t="shared" ref="R16:U16" si="11">IF(R7=0,IF(R9=0,"-","100%"),R9/R7)</f>
        <v>-</v>
      </c>
      <c r="S16" s="600">
        <f t="shared" si="11"/>
        <v>0</v>
      </c>
      <c r="T16" s="600">
        <f t="shared" si="11"/>
        <v>0</v>
      </c>
      <c r="U16" s="600" t="str">
        <f t="shared" si="11"/>
        <v>-</v>
      </c>
      <c r="V16" s="601">
        <f>IF(V7=0,"-",V9/V7)</f>
        <v>1.7543859649122806E-2</v>
      </c>
    </row>
    <row r="17" spans="1:22" ht="18" customHeight="1">
      <c r="A17" s="599" t="s">
        <v>324</v>
      </c>
      <c r="B17" s="600">
        <f>IF(B7=0,IF(B10=0,"-","100%"),B10/B7)</f>
        <v>1</v>
      </c>
      <c r="C17" s="600" t="str">
        <f t="shared" ref="C17:Q17" si="12">IF(C7=0,IF(C10=0,"-","100%"),C10/C7)</f>
        <v>-</v>
      </c>
      <c r="D17" s="600" t="str">
        <f t="shared" si="12"/>
        <v>-</v>
      </c>
      <c r="E17" s="600" t="str">
        <f t="shared" si="12"/>
        <v>-</v>
      </c>
      <c r="F17" s="600" t="str">
        <f t="shared" si="12"/>
        <v>-</v>
      </c>
      <c r="G17" s="600" t="str">
        <f t="shared" si="12"/>
        <v>-</v>
      </c>
      <c r="H17" s="600" t="str">
        <f t="shared" si="12"/>
        <v>-</v>
      </c>
      <c r="I17" s="600" t="str">
        <f t="shared" si="12"/>
        <v>-</v>
      </c>
      <c r="J17" s="600" t="str">
        <f t="shared" si="12"/>
        <v>-</v>
      </c>
      <c r="K17" s="600" t="str">
        <f t="shared" si="12"/>
        <v>-</v>
      </c>
      <c r="L17" s="600" t="str">
        <f t="shared" si="12"/>
        <v>-</v>
      </c>
      <c r="M17" s="600" t="str">
        <f t="shared" si="12"/>
        <v>-</v>
      </c>
      <c r="N17" s="600" t="str">
        <f t="shared" si="12"/>
        <v>-</v>
      </c>
      <c r="O17" s="600" t="str">
        <f t="shared" si="12"/>
        <v>-</v>
      </c>
      <c r="P17" s="600" t="str">
        <f t="shared" si="12"/>
        <v>-</v>
      </c>
      <c r="Q17" s="600" t="str">
        <f t="shared" si="12"/>
        <v>-</v>
      </c>
      <c r="R17" s="600" t="str">
        <f t="shared" ref="R17:U17" si="13">IF(R7=0,IF(R10=0,"-","100%"),R10/R7)</f>
        <v>-</v>
      </c>
      <c r="S17" s="600">
        <f t="shared" si="13"/>
        <v>0</v>
      </c>
      <c r="T17" s="600">
        <f t="shared" si="13"/>
        <v>0</v>
      </c>
      <c r="U17" s="600" t="str">
        <f t="shared" si="13"/>
        <v>-</v>
      </c>
      <c r="V17" s="601">
        <f>IF(V7=0,"-",V10/V7)</f>
        <v>1.7543859649122806E-2</v>
      </c>
    </row>
    <row r="18" spans="1:22" s="547" customFormat="1" ht="19.5" customHeight="1">
      <c r="A18" s="550" t="s">
        <v>327</v>
      </c>
      <c r="B18" s="551">
        <f>SUM($B7:B7)</f>
        <v>2</v>
      </c>
      <c r="C18" s="551">
        <f>SUM($B7:C7)</f>
        <v>2</v>
      </c>
      <c r="D18" s="551">
        <f>SUM($B7:D7)</f>
        <v>2</v>
      </c>
      <c r="E18" s="551">
        <f>SUM($B7:E7)</f>
        <v>2</v>
      </c>
      <c r="F18" s="551">
        <f>SUM($B7:F7)</f>
        <v>2</v>
      </c>
      <c r="G18" s="551">
        <f>SUM($B7:G7)</f>
        <v>2</v>
      </c>
      <c r="H18" s="551">
        <f>SUM($B7:H7)</f>
        <v>2</v>
      </c>
      <c r="I18" s="551">
        <f>SUM($B7:I7)</f>
        <v>2</v>
      </c>
      <c r="J18" s="551">
        <f>SUM($B7:J7)</f>
        <v>2</v>
      </c>
      <c r="K18" s="551">
        <f>SUM($B7:K7)</f>
        <v>2</v>
      </c>
      <c r="L18" s="551">
        <f>SUM($B7:L7)</f>
        <v>2</v>
      </c>
      <c r="M18" s="551">
        <f>SUM($B7:M7)</f>
        <v>2</v>
      </c>
      <c r="N18" s="551">
        <f>SUM($B7:N7)</f>
        <v>2</v>
      </c>
      <c r="O18" s="551">
        <f>SUM($B7:O7)</f>
        <v>2</v>
      </c>
      <c r="P18" s="551">
        <f>SUM($B7:P7)</f>
        <v>2</v>
      </c>
      <c r="Q18" s="551">
        <f>SUM($B7:Q7)</f>
        <v>2</v>
      </c>
      <c r="R18" s="551">
        <f>SUM($B7:R7)</f>
        <v>2</v>
      </c>
      <c r="S18" s="551">
        <f>SUM($B7:S7)</f>
        <v>97</v>
      </c>
      <c r="T18" s="551">
        <f>SUM($B7:T7)</f>
        <v>114</v>
      </c>
      <c r="U18" s="551">
        <f>SUM($B7:U7)</f>
        <v>114</v>
      </c>
      <c r="V18" s="552">
        <f>V7</f>
        <v>114</v>
      </c>
    </row>
    <row r="19" spans="1:22" s="547" customFormat="1" ht="19.5" customHeight="1">
      <c r="A19" s="550" t="s">
        <v>328</v>
      </c>
      <c r="B19" s="551">
        <f>SUM($B10:B10)</f>
        <v>2</v>
      </c>
      <c r="C19" s="551">
        <f>SUM($B10:C10)</f>
        <v>2</v>
      </c>
      <c r="D19" s="551">
        <f>SUM($B10:D10)</f>
        <v>2</v>
      </c>
      <c r="E19" s="551">
        <f>SUM($B10:E10)</f>
        <v>2</v>
      </c>
      <c r="F19" s="551">
        <f>SUM($B10:F10)</f>
        <v>2</v>
      </c>
      <c r="G19" s="551">
        <f>SUM($B10:G10)</f>
        <v>2</v>
      </c>
      <c r="H19" s="551">
        <f>SUM($B10:H10)</f>
        <v>2</v>
      </c>
      <c r="I19" s="551">
        <f>SUM($B10:I10)</f>
        <v>2</v>
      </c>
      <c r="J19" s="551">
        <f>SUM($B10:J10)</f>
        <v>2</v>
      </c>
      <c r="K19" s="551">
        <f>SUM($B10:K10)</f>
        <v>2</v>
      </c>
      <c r="L19" s="551">
        <f>SUM($B10:L10)</f>
        <v>2</v>
      </c>
      <c r="M19" s="551">
        <f>SUM($B10:M10)</f>
        <v>2</v>
      </c>
      <c r="N19" s="551">
        <f>SUM($B10:N10)</f>
        <v>2</v>
      </c>
      <c r="O19" s="551">
        <f>SUM($B10:O10)</f>
        <v>2</v>
      </c>
      <c r="P19" s="551">
        <f>SUM($B10:P10)</f>
        <v>2</v>
      </c>
      <c r="Q19" s="551">
        <f>SUM($B10:Q10)</f>
        <v>2</v>
      </c>
      <c r="R19" s="551">
        <f>SUM($B10:R10)</f>
        <v>2</v>
      </c>
      <c r="S19" s="551">
        <f>SUM($B10:S10)</f>
        <v>2</v>
      </c>
      <c r="T19" s="551">
        <f>SUM($B10:T10)</f>
        <v>2</v>
      </c>
      <c r="U19" s="551">
        <f>SUM($B10:U10)</f>
        <v>2</v>
      </c>
      <c r="V19" s="552">
        <f>V10</f>
        <v>2</v>
      </c>
    </row>
    <row r="20" spans="1:22" s="547" customFormat="1" ht="19.5" customHeight="1">
      <c r="A20" s="544" t="s">
        <v>329</v>
      </c>
      <c r="B20" s="545">
        <f>IF($V$7=0,"-",B19/$V$7)</f>
        <v>1.7543859649122806E-2</v>
      </c>
      <c r="C20" s="545">
        <f t="shared" ref="C20:U20" si="14">IF($V$7=0,"-",C19/$V$7)</f>
        <v>1.7543859649122806E-2</v>
      </c>
      <c r="D20" s="545">
        <f t="shared" si="14"/>
        <v>1.7543859649122806E-2</v>
      </c>
      <c r="E20" s="545">
        <f t="shared" si="14"/>
        <v>1.7543859649122806E-2</v>
      </c>
      <c r="F20" s="545">
        <f t="shared" si="14"/>
        <v>1.7543859649122806E-2</v>
      </c>
      <c r="G20" s="545">
        <f t="shared" si="14"/>
        <v>1.7543859649122806E-2</v>
      </c>
      <c r="H20" s="545">
        <f t="shared" si="14"/>
        <v>1.7543859649122806E-2</v>
      </c>
      <c r="I20" s="545">
        <f t="shared" si="14"/>
        <v>1.7543859649122806E-2</v>
      </c>
      <c r="J20" s="545">
        <f t="shared" si="14"/>
        <v>1.7543859649122806E-2</v>
      </c>
      <c r="K20" s="545">
        <f t="shared" si="14"/>
        <v>1.7543859649122806E-2</v>
      </c>
      <c r="L20" s="545">
        <f t="shared" si="14"/>
        <v>1.7543859649122806E-2</v>
      </c>
      <c r="M20" s="545">
        <f t="shared" si="14"/>
        <v>1.7543859649122806E-2</v>
      </c>
      <c r="N20" s="545">
        <f t="shared" si="14"/>
        <v>1.7543859649122806E-2</v>
      </c>
      <c r="O20" s="545">
        <f t="shared" si="14"/>
        <v>1.7543859649122806E-2</v>
      </c>
      <c r="P20" s="545">
        <f t="shared" si="14"/>
        <v>1.7543859649122806E-2</v>
      </c>
      <c r="Q20" s="545">
        <f t="shared" si="14"/>
        <v>1.7543859649122806E-2</v>
      </c>
      <c r="R20" s="545">
        <f t="shared" si="14"/>
        <v>1.7543859649122806E-2</v>
      </c>
      <c r="S20" s="545">
        <f t="shared" si="14"/>
        <v>1.7543859649122806E-2</v>
      </c>
      <c r="T20" s="545">
        <f t="shared" si="14"/>
        <v>1.7543859649122806E-2</v>
      </c>
      <c r="U20" s="545">
        <f t="shared" si="14"/>
        <v>1.7543859649122806E-2</v>
      </c>
      <c r="V20" s="546">
        <f>IF($V$7=0,"-",V19/$V$7)</f>
        <v>1.7543859649122806E-2</v>
      </c>
    </row>
    <row r="21" spans="1:22" s="547" customFormat="1" ht="19.5" customHeight="1">
      <c r="A21" s="548" t="s">
        <v>330</v>
      </c>
      <c r="B21" s="549">
        <f>IF($V$7=0,"-",B18/$V$7)</f>
        <v>1.7543859649122806E-2</v>
      </c>
      <c r="C21" s="549">
        <f t="shared" ref="C21:U21" si="15">IF($V$7=0,"-",C18/$V$7)</f>
        <v>1.7543859649122806E-2</v>
      </c>
      <c r="D21" s="549">
        <f t="shared" si="15"/>
        <v>1.7543859649122806E-2</v>
      </c>
      <c r="E21" s="549">
        <f t="shared" si="15"/>
        <v>1.7543859649122806E-2</v>
      </c>
      <c r="F21" s="549">
        <f t="shared" si="15"/>
        <v>1.7543859649122806E-2</v>
      </c>
      <c r="G21" s="549">
        <f t="shared" si="15"/>
        <v>1.7543859649122806E-2</v>
      </c>
      <c r="H21" s="549">
        <f t="shared" si="15"/>
        <v>1.7543859649122806E-2</v>
      </c>
      <c r="I21" s="549">
        <f t="shared" si="15"/>
        <v>1.7543859649122806E-2</v>
      </c>
      <c r="J21" s="549">
        <f t="shared" si="15"/>
        <v>1.7543859649122806E-2</v>
      </c>
      <c r="K21" s="549">
        <f t="shared" si="15"/>
        <v>1.7543859649122806E-2</v>
      </c>
      <c r="L21" s="549">
        <f t="shared" si="15"/>
        <v>1.7543859649122806E-2</v>
      </c>
      <c r="M21" s="549">
        <f t="shared" si="15"/>
        <v>1.7543859649122806E-2</v>
      </c>
      <c r="N21" s="549">
        <f t="shared" si="15"/>
        <v>1.7543859649122806E-2</v>
      </c>
      <c r="O21" s="549">
        <f t="shared" si="15"/>
        <v>1.7543859649122806E-2</v>
      </c>
      <c r="P21" s="549">
        <f t="shared" si="15"/>
        <v>1.7543859649122806E-2</v>
      </c>
      <c r="Q21" s="549">
        <f t="shared" si="15"/>
        <v>1.7543859649122806E-2</v>
      </c>
      <c r="R21" s="549">
        <f t="shared" si="15"/>
        <v>1.7543859649122806E-2</v>
      </c>
      <c r="S21" s="549">
        <f t="shared" si="15"/>
        <v>0.85087719298245612</v>
      </c>
      <c r="T21" s="549">
        <f t="shared" si="15"/>
        <v>1</v>
      </c>
      <c r="U21" s="549">
        <f t="shared" si="15"/>
        <v>1</v>
      </c>
      <c r="V21" s="546">
        <f>IF($V$7=0,"-",V18/$V$7)</f>
        <v>1</v>
      </c>
    </row>
    <row r="22" spans="1:22" ht="4.5" customHeight="1"/>
    <row r="23" spans="1:22" ht="24" customHeight="1">
      <c r="A23" s="1164" t="s">
        <v>921</v>
      </c>
      <c r="B23" s="1165"/>
      <c r="C23" s="1165"/>
      <c r="D23" s="1165"/>
      <c r="E23" s="1165"/>
      <c r="F23" s="1165"/>
      <c r="G23" s="1165"/>
      <c r="H23" s="1165"/>
      <c r="I23" s="1165"/>
      <c r="J23" s="1165"/>
      <c r="K23" s="1165"/>
      <c r="L23" s="1165"/>
      <c r="M23" s="1165"/>
      <c r="N23" s="1165"/>
      <c r="O23" s="1165"/>
      <c r="P23" s="1165"/>
      <c r="Q23" s="1165"/>
      <c r="R23" s="1165"/>
      <c r="S23" s="1165"/>
      <c r="T23" s="1165"/>
      <c r="U23" s="1165"/>
      <c r="V23" s="1165"/>
    </row>
    <row r="24" spans="1:22" ht="18" customHeight="1">
      <c r="A24" s="527" t="s">
        <v>313</v>
      </c>
      <c r="B24" s="528" cm="1">
        <f t="array" ref="B24">SUMPRODUCT((SVB!$R$2:$R$740&gt;=B311)*(SVB!$R$2:$R$740&lt;=B312)*(SVB!$B$2:$B$740="CFZ")*(ISNUMBER(SVB!$F$2:$F$740))*(SVB!$F$2:$F$740))</f>
        <v>4</v>
      </c>
      <c r="C24" s="528" cm="1">
        <f t="array" ref="C24">SUMPRODUCT((SVB!$R$2:$R$740&gt;=C311)*(SVB!$R$2:$R$740&lt;=C312)*(SVB!$B$2:$B$740="CFZ")*(ISNUMBER(SVB!$F$2:$F$740))*(SVB!$F$2:$F$740))</f>
        <v>69</v>
      </c>
      <c r="D24" s="528" cm="1">
        <f t="array" ref="D24">SUMPRODUCT((SVB!$R$2:$R$740&gt;=D311)*(SVB!$R$2:$R$740&lt;=D312)*(SVB!$B$2:$B$740="CFZ")*(ISNUMBER(SVB!$F$2:$F$740))*(SVB!$F$2:$F$740))</f>
        <v>54</v>
      </c>
      <c r="E24" s="528" cm="1">
        <f t="array" ref="E24">SUMPRODUCT((SVB!$R$2:$R$740&gt;=E311)*(SVB!$R$2:$R$740&lt;=E312)*(SVB!$B$2:$B$740="CFZ")*(ISNUMBER(SVB!$F$2:$F$740))*(SVB!$F$2:$F$740))</f>
        <v>0</v>
      </c>
      <c r="F24" s="528" cm="1">
        <f t="array" ref="F24">SUMPRODUCT((SVB!$R$2:$R$740&gt;=F311)*(SVB!$R$2:$R$740&lt;=F312)*(SVB!$B$2:$B$740="CFZ")*(ISNUMBER(SVB!$F$2:$F$740))*(SVB!$F$2:$F$740))</f>
        <v>41</v>
      </c>
      <c r="G24" s="528" cm="1">
        <f t="array" ref="G24">SUMPRODUCT((SVB!$R$2:$R$740&gt;=G311)*(SVB!$R$2:$R$740&lt;=G312)*(SVB!$B$2:$B$740="CFZ")*(ISNUMBER(SVB!$F$2:$F$740))*(SVB!$F$2:$F$740))</f>
        <v>17</v>
      </c>
      <c r="H24" s="528" cm="1">
        <f t="array" ref="H24">SUMPRODUCT((SVB!$R$2:$R$740&gt;=H311)*(SVB!$R$2:$R$740&lt;=H312)*(SVB!$B$2:$B$740="CFZ")*(ISNUMBER(SVB!$F$2:$F$740))*(SVB!$F$2:$F$740))</f>
        <v>0</v>
      </c>
      <c r="I24" s="528" cm="1">
        <f t="array" ref="I24">SUMPRODUCT((SVB!$R$2:$R$740&gt;=I311)*(SVB!$R$2:$R$740&lt;=I312)*(SVB!$B$2:$B$740="CFZ")*(ISNUMBER(SVB!$F$2:$F$740))*(SVB!$F$2:$F$740))</f>
        <v>0</v>
      </c>
      <c r="J24" s="528" cm="1">
        <f t="array" ref="J24">SUMPRODUCT((SVB!$R$2:$R$740&gt;=J311)*(SVB!$R$2:$R$740&lt;=J312)*(SVB!$B$2:$B$740="CFZ")*(ISNUMBER(SVB!$F$2:$F$740))*(SVB!$F$2:$F$740))</f>
        <v>0</v>
      </c>
      <c r="K24" s="528" cm="1">
        <f t="array" ref="K24">SUMPRODUCT((SVB!$R$2:$R$740&gt;=K311)*(SVB!$R$2:$R$740&lt;=K312)*(SVB!$B$2:$B$740="CFZ")*(ISNUMBER(SVB!$F$2:$F$740))*(SVB!$F$2:$F$740))</f>
        <v>0</v>
      </c>
      <c r="L24" s="528" cm="1">
        <f t="array" ref="L24">SUMPRODUCT((SVB!$R$2:$R$740&gt;=L311)*(SVB!$R$2:$R$740&lt;=L312)*(SVB!$B$2:$B$740="CFZ")*(ISNUMBER(SVB!$F$2:$F$740))*(SVB!$F$2:$F$740))</f>
        <v>0</v>
      </c>
      <c r="M24" s="528" cm="1">
        <f t="array" ref="M24">SUMPRODUCT((SVB!$R$2:$R$740&gt;=M311)*(SVB!$R$2:$R$740&lt;=M312)*(SVB!$B$2:$B$740="CFZ")*(ISNUMBER(SVB!$F$2:$F$740))*(SVB!$F$2:$F$740))</f>
        <v>0</v>
      </c>
      <c r="N24" s="528" cm="1">
        <f t="array" ref="N24">SUMPRODUCT((SVB!$R$2:$R$740&gt;=N311)*(SVB!$R$2:$R$740&lt;=N312)*(SVB!$B$2:$B$740="CFZ")*(ISNUMBER(SVB!$F$2:$F$740))*(SVB!$F$2:$F$740))</f>
        <v>0</v>
      </c>
      <c r="O24" s="528" cm="1">
        <f t="array" ref="O24">SUMPRODUCT((SVB!$R$2:$R$740&gt;=O311)*(SVB!$R$2:$R$740&lt;=O312)*(SVB!$B$2:$B$740="CFZ")*(ISNUMBER(SVB!$F$2:$F$740))*(SVB!$F$2:$F$740))</f>
        <v>0</v>
      </c>
      <c r="P24" s="528" cm="1">
        <f t="array" ref="P24">SUMPRODUCT((SVB!$R$2:$R$740&gt;=P311)*(SVB!$R$2:$R$740&lt;=P312)*(SVB!$B$2:$B$740="CFZ")*(ISNUMBER(SVB!$F$2:$F$740))*(SVB!$F$2:$F$740))</f>
        <v>0</v>
      </c>
      <c r="Q24" s="528" cm="1">
        <f t="array" ref="Q24">SUMPRODUCT((SVB!$R$2:$R$740&gt;=Q311)*(SVB!$R$2:$R$740&lt;=Q312)*(SVB!$B$2:$B$740="CFZ")*(ISNUMBER(SVB!$F$2:$F$740))*(SVB!$F$2:$F$740))</f>
        <v>2</v>
      </c>
      <c r="R24" s="528" cm="1">
        <f t="array" ref="R24">SUMPRODUCT((SVB!$R$2:$R$740&gt;=R311)*(SVB!$R$2:$R$740&lt;=R312)*(SVB!$B$2:$B$740="CFZ")*(ISNUMBER(SVB!$F$2:$F$740))*(SVB!$F$2:$F$740))</f>
        <v>0</v>
      </c>
      <c r="S24" s="528" cm="1">
        <f t="array" ref="S24">SUMPRODUCT((SVB!$R$2:$R$740&gt;=S311)*(SVB!$R$2:$R$740&lt;=S312)*(SVB!$B$2:$B$740="CFZ")*(ISNUMBER(SVB!$F$2:$F$740))*(SVB!$F$2:$F$740))</f>
        <v>0</v>
      </c>
      <c r="T24" s="528" cm="1">
        <f t="array" ref="T24">SUMPRODUCT((SVB!$R$2:$R$740&gt;=T311)*(SVB!$R$2:$R$740&lt;=T312)*(SVB!$B$2:$B$740="CFZ")*(ISNUMBER(SVB!$F$2:$F$740))*(SVB!$F$2:$F$740))</f>
        <v>0</v>
      </c>
      <c r="U24" s="528" cm="1">
        <f t="array" ref="U24">SUMPRODUCT((SVB!$R$2:$R$740&gt;=U311)*(SVB!$R$2:$R$740&lt;=U312)*(SVB!$B$2:$B$740="CFZ")*(ISNUMBER(SVB!$F$2:$F$740))*(SVB!$F$2:$F$740))</f>
        <v>0</v>
      </c>
      <c r="V24" s="529" cm="1">
        <f t="array" ref="V24">SUMPRODUCT((SVB!$B$2:$B$740="CFZ")*(ISNUMBER(SVB!$F$2:$F$740))*(SVB!$F$2:$F$740))</f>
        <v>187</v>
      </c>
    </row>
    <row r="25" spans="1:22" ht="18" customHeight="1">
      <c r="A25" s="527" t="s">
        <v>884</v>
      </c>
      <c r="B25" s="528" cm="1">
        <f t="array" ref="B25">SUMPRODUCT((SVB!$R$2:$R$740&gt;=B311)*(SVB!$R$2:$R$740&lt;=B312)*(SVB!$B$2:$B$740="CFZ")*(SVB!$K$2:$K$740="Switch")*(ISNUMBER(SVB!$F$2:$F$740))*(SVB!$F$2:$F$740))</f>
        <v>2</v>
      </c>
      <c r="C25" s="528" cm="1">
        <f t="array" ref="C25">SUMPRODUCT((SVB!$R$2:$R$740&gt;=C311)*(SVB!$R$2:$R$740&lt;=C312)*(SVB!$B$2:$B$740="CFZ")*(SVB!$K$2:$K$740="Switch")*(ISNUMBER(SVB!$F$2:$F$740))*(SVB!$F$2:$F$740))</f>
        <v>45</v>
      </c>
      <c r="D25" s="528" cm="1">
        <f t="array" ref="D25">SUMPRODUCT((SVB!$R$2:$R$740&gt;=D311)*(SVB!$R$2:$R$740&lt;=D312)*(SVB!$B$2:$B$740="CFZ")*(SVB!$K$2:$K$740="Switch")*(ISNUMBER(SVB!$F$2:$F$740))*(SVB!$F$2:$F$740))</f>
        <v>52</v>
      </c>
      <c r="E25" s="528" cm="1">
        <f t="array" ref="E25">SUMPRODUCT((SVB!$R$2:$R$740&gt;=E311)*(SVB!$R$2:$R$740&lt;=E312)*(SVB!$B$2:$B$740="CFZ")*(SVB!$K$2:$K$740="Switch")*(ISNUMBER(SVB!$F$2:$F$740))*(SVB!$F$2:$F$740))</f>
        <v>0</v>
      </c>
      <c r="F25" s="528" cm="1">
        <f t="array" ref="F25">SUMPRODUCT((SVB!$R$2:$R$740&gt;=F311)*(SVB!$R$2:$R$740&lt;=F312)*(SVB!$B$2:$B$740="CFZ")*(SVB!$K$2:$K$740="Switch")*(ISNUMBER(SVB!$F$2:$F$740))*(SVB!$F$2:$F$740))</f>
        <v>41</v>
      </c>
      <c r="G25" s="528" cm="1">
        <f t="array" ref="G25">SUMPRODUCT((SVB!$R$2:$R$740&gt;=G311)*(SVB!$R$2:$R$740&lt;=G312)*(SVB!$B$2:$B$740="CFZ")*(SVB!$K$2:$K$740="Switch")*(ISNUMBER(SVB!$F$2:$F$740))*(SVB!$F$2:$F$740))</f>
        <v>14</v>
      </c>
      <c r="H25" s="528" cm="1">
        <f t="array" ref="H25">SUMPRODUCT((SVB!$R$2:$R$740&gt;=H311)*(SVB!$R$2:$R$740&lt;=H312)*(SVB!$B$2:$B$740="CFZ")*(SVB!$K$2:$K$740="Switch")*(ISNUMBER(SVB!$F$2:$F$740))*(SVB!$F$2:$F$740))</f>
        <v>0</v>
      </c>
      <c r="I25" s="528" cm="1">
        <f t="array" ref="I25">SUMPRODUCT((SVB!$R$2:$R$740&gt;=I311)*(SVB!$R$2:$R$740&lt;=I312)*(SVB!$B$2:$B$740="CFZ")*(SVB!$K$2:$K$740="Switch")*(ISNUMBER(SVB!$F$2:$F$740))*(SVB!$F$2:$F$740))</f>
        <v>0</v>
      </c>
      <c r="J25" s="528" cm="1">
        <f t="array" ref="J25">SUMPRODUCT((SVB!$R$2:$R$740&gt;=J311)*(SVB!$R$2:$R$740&lt;=J312)*(SVB!$B$2:$B$740="CFZ")*(SVB!$K$2:$K$740="Switch")*(ISNUMBER(SVB!$F$2:$F$740))*(SVB!$F$2:$F$740))</f>
        <v>0</v>
      </c>
      <c r="K25" s="528" cm="1">
        <f t="array" ref="K25">SUMPRODUCT((SVB!$R$2:$R$740&gt;=K311)*(SVB!$R$2:$R$740&lt;=K312)*(SVB!$B$2:$B$740="CFZ")*(SVB!$K$2:$K$740="Switch")*(ISNUMBER(SVB!$F$2:$F$740))*(SVB!$F$2:$F$740))</f>
        <v>0</v>
      </c>
      <c r="L25" s="528" cm="1">
        <f t="array" ref="L25">SUMPRODUCT((SVB!$R$2:$R$740&gt;=L311)*(SVB!$R$2:$R$740&lt;=L312)*(SVB!$B$2:$B$740="CFZ")*(SVB!$K$2:$K$740="Switch")*(ISNUMBER(SVB!$F$2:$F$740))*(SVB!$F$2:$F$740))</f>
        <v>0</v>
      </c>
      <c r="M25" s="528" cm="1">
        <f t="array" ref="M25">SUMPRODUCT((SVB!$R$2:$R$740&gt;=M311)*(SVB!$R$2:$R$740&lt;=M312)*(SVB!$B$2:$B$740="CFZ")*(SVB!$K$2:$K$740="Switch")*(ISNUMBER(SVB!$F$2:$F$740))*(SVB!$F$2:$F$740))</f>
        <v>0</v>
      </c>
      <c r="N25" s="528" cm="1">
        <f t="array" ref="N25">SUMPRODUCT((SVB!$R$2:$R$740&gt;=N311)*(SVB!$R$2:$R$740&lt;=N312)*(SVB!$B$2:$B$740="CFZ")*(SVB!$K$2:$K$740="Switch")*(ISNUMBER(SVB!$F$2:$F$740))*(SVB!$F$2:$F$740))</f>
        <v>0</v>
      </c>
      <c r="O25" s="528" cm="1">
        <f t="array" ref="O25">SUMPRODUCT((SVB!$R$2:$R$740&gt;=O311)*(SVB!$R$2:$R$740&lt;=O312)*(SVB!$B$2:$B$740="CFZ")*(SVB!$K$2:$K$740="Switch")*(ISNUMBER(SVB!$F$2:$F$740))*(SVB!$F$2:$F$740))</f>
        <v>0</v>
      </c>
      <c r="P25" s="528" cm="1">
        <f t="array" ref="P25">SUMPRODUCT((SVB!$R$2:$R$740&gt;=P311)*(SVB!$R$2:$R$740&lt;=P312)*(SVB!$B$2:$B$740="CFZ")*(SVB!$K$2:$K$740="Switch")*(ISNUMBER(SVB!$F$2:$F$740))*(SVB!$F$2:$F$740))</f>
        <v>0</v>
      </c>
      <c r="Q25" s="528" cm="1">
        <f t="array" ref="Q25">SUMPRODUCT((SVB!$R$2:$R$740&gt;=Q311)*(SVB!$R$2:$R$740&lt;=Q312)*(SVB!$B$2:$B$740="CFZ")*(SVB!$K$2:$K$740="Switch")*(ISNUMBER(SVB!$F$2:$F$740))*(SVB!$F$2:$F$740))</f>
        <v>2</v>
      </c>
      <c r="R25" s="528" cm="1">
        <f t="array" ref="R25">SUMPRODUCT((SVB!$R$2:$R$740&gt;=R311)*(SVB!$R$2:$R$740&lt;=R312)*(SVB!$B$2:$B$740="CFZ")*(SVB!$K$2:$K$740="Switch")*(ISNUMBER(SVB!$F$2:$F$740))*(SVB!$F$2:$F$740))</f>
        <v>0</v>
      </c>
      <c r="S25" s="528" cm="1">
        <f t="array" ref="S25">SUMPRODUCT((SVB!$R$2:$R$740&gt;=S311)*(SVB!$R$2:$R$740&lt;=S312)*(SVB!$B$2:$B$740="CFZ")*(SVB!$K$2:$K$740="Switch")*(ISNUMBER(SVB!$F$2:$F$740))*(SVB!$F$2:$F$740))</f>
        <v>0</v>
      </c>
      <c r="T25" s="528" cm="1">
        <f t="array" ref="T25">SUMPRODUCT((SVB!$R$2:$R$740&gt;=T311)*(SVB!$R$2:$R$740&lt;=T312)*(SVB!$B$2:$B$740="CFZ")*(SVB!$K$2:$K$740="Switch")*(ISNUMBER(SVB!$F$2:$F$740))*(SVB!$F$2:$F$740))</f>
        <v>0</v>
      </c>
      <c r="U25" s="528" cm="1">
        <f t="array" ref="U25">SUMPRODUCT((SVB!$R$2:$R$740&gt;=U311)*(SVB!$R$2:$R$740&lt;=U312)*(SVB!$B$2:$B$740="CFZ")*(SVB!$K$2:$K$740="Switch")*(ISNUMBER(SVB!$F$2:$F$740))*(SVB!$F$2:$F$740))</f>
        <v>0</v>
      </c>
      <c r="V25" s="529" cm="1">
        <f t="array" ref="V25">SUMPRODUCT((SVB!$B$2:$B$740="CFZ")*(SVB!$K$2:$K$740="Switch")*(ISNUMBER(SVB!$F$2:$F$740))*(SVB!$F$2:$F$740))</f>
        <v>156</v>
      </c>
    </row>
    <row r="26" spans="1:22" ht="18" customHeight="1">
      <c r="A26" s="527" t="s">
        <v>887</v>
      </c>
      <c r="B26" s="528" cm="1">
        <f t="array" ref="B26">SUMPRODUCT((SVB!$R$2:$R$740&gt;=B311)*(SVB!$R$2:$R$740&lt;=B312)*(SVB!$B$2:$B$740="CFZ")*(SVB!$K$2:$K$740="AP")*(ISNUMBER(SVB!$F$2:$F$740))*(SVB!$F$2:$F$740))</f>
        <v>0</v>
      </c>
      <c r="C26" s="528" cm="1">
        <f t="array" ref="C26">SUMPRODUCT((SVB!$R$2:$R$740&gt;=C311)*(SVB!$R$2:$R$740&lt;=C312)*(SVB!$B$2:$B$740="CFZ")*(SVB!$K$2:$K$740="AP")*(ISNUMBER(SVB!$F$2:$F$740))*(SVB!$F$2:$F$740))</f>
        <v>24</v>
      </c>
      <c r="D26" s="528" cm="1">
        <f t="array" ref="D26">SUMPRODUCT((SVB!$R$2:$R$740&gt;=D311)*(SVB!$R$2:$R$740&lt;=D312)*(SVB!$B$2:$B$740="CFZ")*(SVB!$K$2:$K$740="AP")*(ISNUMBER(SVB!$F$2:$F$740))*(SVB!$F$2:$F$740))</f>
        <v>0</v>
      </c>
      <c r="E26" s="528" cm="1">
        <f t="array" ref="E26">SUMPRODUCT((SVB!$R$2:$R$740&gt;=E311)*(SVB!$R$2:$R$740&lt;=E312)*(SVB!$B$2:$B$740="CFZ")*(SVB!$K$2:$K$740="AP")*(ISNUMBER(SVB!$F$2:$F$740))*(SVB!$F$2:$F$740))</f>
        <v>0</v>
      </c>
      <c r="F26" s="528" cm="1">
        <f t="array" ref="F26">SUMPRODUCT((SVB!$R$2:$R$740&gt;=F311)*(SVB!$R$2:$R$740&lt;=F312)*(SVB!$B$2:$B$740="CFZ")*(SVB!$K$2:$K$740="AP")*(ISNUMBER(SVB!$F$2:$F$740))*(SVB!$F$2:$F$740))</f>
        <v>0</v>
      </c>
      <c r="G26" s="528" cm="1">
        <f t="array" ref="G26">SUMPRODUCT((SVB!$R$2:$R$740&gt;=G311)*(SVB!$R$2:$R$740&lt;=G312)*(SVB!$B$2:$B$740="CFZ")*(SVB!$K$2:$K$740="AP")*(ISNUMBER(SVB!$F$2:$F$740))*(SVB!$F$2:$F$740))</f>
        <v>1</v>
      </c>
      <c r="H26" s="528" cm="1">
        <f t="array" ref="H26">SUMPRODUCT((SVB!$R$2:$R$740&gt;=H311)*(SVB!$R$2:$R$740&lt;=H312)*(SVB!$B$2:$B$740="CFZ")*(SVB!$K$2:$K$740="AP")*(ISNUMBER(SVB!$F$2:$F$740))*(SVB!$F$2:$F$740))</f>
        <v>0</v>
      </c>
      <c r="I26" s="528" cm="1">
        <f t="array" ref="I26">SUMPRODUCT((SVB!$R$2:$R$740&gt;=I311)*(SVB!$R$2:$R$740&lt;=I312)*(SVB!$B$2:$B$740="CFZ")*(SVB!$K$2:$K$740="AP")*(ISNUMBER(SVB!$F$2:$F$740))*(SVB!$F$2:$F$740))</f>
        <v>0</v>
      </c>
      <c r="J26" s="528" cm="1">
        <f t="array" ref="J26">SUMPRODUCT((SVB!$R$2:$R$740&gt;=J311)*(SVB!$R$2:$R$740&lt;=J312)*(SVB!$B$2:$B$740="CFZ")*(SVB!$K$2:$K$740="AP")*(ISNUMBER(SVB!$F$2:$F$740))*(SVB!$F$2:$F$740))</f>
        <v>0</v>
      </c>
      <c r="K26" s="528" cm="1">
        <f t="array" ref="K26">SUMPRODUCT((SVB!$R$2:$R$740&gt;=K311)*(SVB!$R$2:$R$740&lt;=K312)*(SVB!$B$2:$B$740="CFZ")*(SVB!$K$2:$K$740="AP")*(ISNUMBER(SVB!$F$2:$F$740))*(SVB!$F$2:$F$740))</f>
        <v>0</v>
      </c>
      <c r="L26" s="528" cm="1">
        <f t="array" ref="L26">SUMPRODUCT((SVB!$R$2:$R$740&gt;=L311)*(SVB!$R$2:$R$740&lt;=L312)*(SVB!$B$2:$B$740="CFZ")*(SVB!$K$2:$K$740="AP")*(ISNUMBER(SVB!$F$2:$F$740))*(SVB!$F$2:$F$740))</f>
        <v>0</v>
      </c>
      <c r="M26" s="528" cm="1">
        <f t="array" ref="M26">SUMPRODUCT((SVB!$R$2:$R$740&gt;=M311)*(SVB!$R$2:$R$740&lt;=M312)*(SVB!$B$2:$B$740="CFZ")*(SVB!$K$2:$K$740="AP")*(ISNUMBER(SVB!$F$2:$F$740))*(SVB!$F$2:$F$740))</f>
        <v>0</v>
      </c>
      <c r="N26" s="528" cm="1">
        <f t="array" ref="N26">SUMPRODUCT((SVB!$R$2:$R$740&gt;=N311)*(SVB!$R$2:$R$740&lt;=N312)*(SVB!$B$2:$B$740="CFZ")*(SVB!$K$2:$K$740="AP")*(ISNUMBER(SVB!$F$2:$F$740))*(SVB!$F$2:$F$740))</f>
        <v>0</v>
      </c>
      <c r="O26" s="528" cm="1">
        <f t="array" ref="O26">SUMPRODUCT((SVB!$R$2:$R$740&gt;=O311)*(SVB!$R$2:$R$740&lt;=O312)*(SVB!$B$2:$B$740="CFZ")*(SVB!$K$2:$K$740="AP")*(ISNUMBER(SVB!$F$2:$F$740))*(SVB!$F$2:$F$740))</f>
        <v>0</v>
      </c>
      <c r="P26" s="528" cm="1">
        <f t="array" ref="P26">SUMPRODUCT((SVB!$R$2:$R$740&gt;=P311)*(SVB!$R$2:$R$740&lt;=P312)*(SVB!$B$2:$B$740="CFZ")*(SVB!$K$2:$K$740="AP")*(ISNUMBER(SVB!$F$2:$F$740))*(SVB!$F$2:$F$740))</f>
        <v>0</v>
      </c>
      <c r="Q26" s="528" cm="1">
        <f t="array" ref="Q26">SUMPRODUCT((SVB!$R$2:$R$740&gt;=Q311)*(SVB!$R$2:$R$740&lt;=Q312)*(SVB!$B$2:$B$740="CFZ")*(SVB!$K$2:$K$740="AP")*(ISNUMBER(SVB!$F$2:$F$740))*(SVB!$F$2:$F$740))</f>
        <v>0</v>
      </c>
      <c r="R26" s="528" cm="1">
        <f t="array" ref="R26">SUMPRODUCT((SVB!$R$2:$R$740&gt;=R311)*(SVB!$R$2:$R$740&lt;=R312)*(SVB!$B$2:$B$740="CFZ")*(SVB!$K$2:$K$740="AP")*(ISNUMBER(SVB!$F$2:$F$740))*(SVB!$F$2:$F$740))</f>
        <v>0</v>
      </c>
      <c r="S26" s="528" cm="1">
        <f t="array" ref="S26">SUMPRODUCT((SVB!$R$2:$R$740&gt;=S311)*(SVB!$R$2:$R$740&lt;=S312)*(SVB!$B$2:$B$740="CFZ")*(SVB!$K$2:$K$740="AP")*(ISNUMBER(SVB!$F$2:$F$740))*(SVB!$F$2:$F$740))</f>
        <v>0</v>
      </c>
      <c r="T26" s="528" cm="1">
        <f t="array" ref="T26">SUMPRODUCT((SVB!$R$2:$R$740&gt;=T311)*(SVB!$R$2:$R$740&lt;=T312)*(SVB!$B$2:$B$740="CFZ")*(SVB!$K$2:$K$740="AP")*(ISNUMBER(SVB!$F$2:$F$740))*(SVB!$F$2:$F$740))</f>
        <v>0</v>
      </c>
      <c r="U26" s="528" cm="1">
        <f t="array" ref="U26">SUMPRODUCT((SVB!$R$2:$R$740&gt;=U311)*(SVB!$R$2:$R$740&lt;=U312)*(SVB!$B$2:$B$740="CFZ")*(SVB!$K$2:$K$740="AP")*(ISNUMBER(SVB!$F$2:$F$740))*(SVB!$F$2:$F$740))</f>
        <v>0</v>
      </c>
      <c r="V26" s="529" cm="1">
        <f t="array" ref="V26">SUMPRODUCT((SVB!$B$2:$B$740="CFZ")*(SVB!$K$2:$K$740="AP")*(ISNUMBER(SVB!$F$2:$F$740))*(SVB!$F$2:$F$740))</f>
        <v>25</v>
      </c>
    </row>
    <row r="27" spans="1:22" ht="18" customHeight="1">
      <c r="A27" s="527" t="s">
        <v>922</v>
      </c>
      <c r="B27" s="528" cm="1">
        <f t="array" ref="B27">SUMPRODUCT((SVB!$R$2:$R$740&gt;=B311)*(SVB!$R$2:$R$740&lt;=B312)*(SVB!$B$2:$B$740="CFZ")*(SVB!$K$2:$K$740="Infra")*(ISNUMBER(SVB!$F$2:$F$740))*(SVB!$F$2:$F$740))</f>
        <v>2</v>
      </c>
      <c r="C27" s="528" cm="1">
        <f t="array" ref="C27">SUMPRODUCT((SVB!$R$2:$R$740&gt;=C311)*(SVB!$R$2:$R$740&lt;=C312)*(SVB!$B$2:$B$740="CFZ")*(SVB!$K$2:$K$740="Infra")*(ISNUMBER(SVB!$F$2:$F$740))*(SVB!$F$2:$F$740))</f>
        <v>0</v>
      </c>
      <c r="D27" s="528" cm="1">
        <f t="array" ref="D27">SUMPRODUCT((SVB!$R$2:$R$740&gt;=D311)*(SVB!$R$2:$R$740&lt;=D312)*(SVB!$B$2:$B$740="CFZ")*(SVB!$K$2:$K$740="Infra")*(ISNUMBER(SVB!$F$2:$F$740))*(SVB!$F$2:$F$740))</f>
        <v>2</v>
      </c>
      <c r="E27" s="528" cm="1">
        <f t="array" ref="E27">SUMPRODUCT((SVB!$R$2:$R$740&gt;=E311)*(SVB!$R$2:$R$740&lt;=E312)*(SVB!$B$2:$B$740="CFZ")*(SVB!$K$2:$K$740="Infra")*(ISNUMBER(SVB!$F$2:$F$740))*(SVB!$F$2:$F$740))</f>
        <v>0</v>
      </c>
      <c r="F27" s="528" cm="1">
        <f t="array" ref="F27">SUMPRODUCT((SVB!$R$2:$R$740&gt;=F311)*(SVB!$R$2:$R$740&lt;=F312)*(SVB!$B$2:$B$740="CFZ")*(SVB!$K$2:$K$740="Infra")*(ISNUMBER(SVB!$F$2:$F$740))*(SVB!$F$2:$F$740))</f>
        <v>0</v>
      </c>
      <c r="G27" s="528" cm="1">
        <f t="array" ref="G27">SUMPRODUCT((SVB!$R$2:$R$740&gt;=G311)*(SVB!$R$2:$R$740&lt;=G312)*(SVB!$B$2:$B$740="CFZ")*(SVB!$K$2:$K$740="Infra")*(ISNUMBER(SVB!$F$2:$F$740))*(SVB!$F$2:$F$740))</f>
        <v>2</v>
      </c>
      <c r="H27" s="528" cm="1">
        <f t="array" ref="H27">SUMPRODUCT((SVB!$R$2:$R$740&gt;=H311)*(SVB!$R$2:$R$740&lt;=H312)*(SVB!$B$2:$B$740="CFZ")*(SVB!$K$2:$K$740="Infra")*(ISNUMBER(SVB!$F$2:$F$740))*(SVB!$F$2:$F$740))</f>
        <v>0</v>
      </c>
      <c r="I27" s="528" cm="1">
        <f t="array" ref="I27">SUMPRODUCT((SVB!$R$2:$R$740&gt;=I311)*(SVB!$R$2:$R$740&lt;=I312)*(SVB!$B$2:$B$740="CFZ")*(SVB!$K$2:$K$740="Infra")*(ISNUMBER(SVB!$F$2:$F$740))*(SVB!$F$2:$F$740))</f>
        <v>0</v>
      </c>
      <c r="J27" s="528" cm="1">
        <f t="array" ref="J27">SUMPRODUCT((SVB!$R$2:$R$740&gt;=J311)*(SVB!$R$2:$R$740&lt;=J312)*(SVB!$B$2:$B$740="CFZ")*(SVB!$K$2:$K$740="Infra")*(ISNUMBER(SVB!$F$2:$F$740))*(SVB!$F$2:$F$740))</f>
        <v>0</v>
      </c>
      <c r="K27" s="528" cm="1">
        <f t="array" ref="K27">SUMPRODUCT((SVB!$R$2:$R$740&gt;=K311)*(SVB!$R$2:$R$740&lt;=K312)*(SVB!$B$2:$B$740="CFZ")*(SVB!$K$2:$K$740="Infra")*(ISNUMBER(SVB!$F$2:$F$740))*(SVB!$F$2:$F$740))</f>
        <v>0</v>
      </c>
      <c r="L27" s="528" cm="1">
        <f t="array" ref="L27">SUMPRODUCT((SVB!$R$2:$R$740&gt;=L311)*(SVB!$R$2:$R$740&lt;=L312)*(SVB!$B$2:$B$740="CFZ")*(SVB!$K$2:$K$740="Infra")*(ISNUMBER(SVB!$F$2:$F$740))*(SVB!$F$2:$F$740))</f>
        <v>0</v>
      </c>
      <c r="M27" s="528" cm="1">
        <f t="array" ref="M27">SUMPRODUCT((SVB!$R$2:$R$740&gt;=M311)*(SVB!$R$2:$R$740&lt;=M312)*(SVB!$B$2:$B$740="CFZ")*(SVB!$K$2:$K$740="Infra")*(ISNUMBER(SVB!$F$2:$F$740))*(SVB!$F$2:$F$740))</f>
        <v>0</v>
      </c>
      <c r="N27" s="528" cm="1">
        <f t="array" ref="N27">SUMPRODUCT((SVB!$R$2:$R$740&gt;=N311)*(SVB!$R$2:$R$740&lt;=N312)*(SVB!$B$2:$B$740="CFZ")*(SVB!$K$2:$K$740="Infra")*(ISNUMBER(SVB!$F$2:$F$740))*(SVB!$F$2:$F$740))</f>
        <v>0</v>
      </c>
      <c r="O27" s="528" cm="1">
        <f t="array" ref="O27">SUMPRODUCT((SVB!$R$2:$R$740&gt;=O311)*(SVB!$R$2:$R$740&lt;=O312)*(SVB!$B$2:$B$740="CFZ")*(SVB!$K$2:$K$740="Infra")*(ISNUMBER(SVB!$F$2:$F$740))*(SVB!$F$2:$F$740))</f>
        <v>0</v>
      </c>
      <c r="P27" s="528" cm="1">
        <f t="array" ref="P27">SUMPRODUCT((SVB!$R$2:$R$740&gt;=P311)*(SVB!$R$2:$R$740&lt;=P312)*(SVB!$B$2:$B$740="CFZ")*(SVB!$K$2:$K$740="Infra")*(ISNUMBER(SVB!$F$2:$F$740))*(SVB!$F$2:$F$740))</f>
        <v>0</v>
      </c>
      <c r="Q27" s="528" cm="1">
        <f t="array" ref="Q27">SUMPRODUCT((SVB!$R$2:$R$740&gt;=Q311)*(SVB!$R$2:$R$740&lt;=Q312)*(SVB!$B$2:$B$740="CFZ")*(SVB!$K$2:$K$740="Infra")*(ISNUMBER(SVB!$F$2:$F$740))*(SVB!$F$2:$F$740))</f>
        <v>0</v>
      </c>
      <c r="R27" s="528" cm="1">
        <f t="array" ref="R27">SUMPRODUCT((SVB!$R$2:$R$740&gt;=R311)*(SVB!$R$2:$R$740&lt;=R312)*(SVB!$B$2:$B$740="CFZ")*(SVB!$K$2:$K$740="Infra")*(ISNUMBER(SVB!$F$2:$F$740))*(SVB!$F$2:$F$740))</f>
        <v>0</v>
      </c>
      <c r="S27" s="528" cm="1">
        <f t="array" ref="S27">SUMPRODUCT((SVB!$R$2:$R$740&gt;=S311)*(SVB!$R$2:$R$740&lt;=S312)*(SVB!$B$2:$B$740="CFZ")*(SVB!$K$2:$K$740="Infra")*(ISNUMBER(SVB!$F$2:$F$740))*(SVB!$F$2:$F$740))</f>
        <v>0</v>
      </c>
      <c r="T27" s="528" cm="1">
        <f t="array" ref="T27">SUMPRODUCT((SVB!$R$2:$R$740&gt;=T311)*(SVB!$R$2:$R$740&lt;=T312)*(SVB!$B$2:$B$740="CFZ")*(SVB!$K$2:$K$740="Infra")*(ISNUMBER(SVB!$F$2:$F$740))*(SVB!$F$2:$F$740))</f>
        <v>0</v>
      </c>
      <c r="U27" s="528" cm="1">
        <f t="array" ref="U27">SUMPRODUCT((SVB!$R$2:$R$740&gt;=U311)*(SVB!$R$2:$R$740&lt;=U312)*(SVB!$B$2:$B$740="CFZ")*(SVB!$K$2:$K$740="Infra")*(ISNUMBER(SVB!$F$2:$F$740))*(SVB!$F$2:$F$740))</f>
        <v>0</v>
      </c>
      <c r="V27" s="529" cm="1">
        <f t="array" ref="V27">SUMPRODUCT((SVB!$B$2:$B$740="CFZ")*(SVB!$K$2:$K$740="Infra")*(ISNUMBER(SVB!$F$2:$F$740))*(SVB!$F$2:$F$740))</f>
        <v>6</v>
      </c>
    </row>
    <row r="28" spans="1:22" ht="18" customHeight="1">
      <c r="A28" s="442" t="s">
        <v>917</v>
      </c>
      <c r="B28" s="443" cm="1">
        <f t="array" ref="B28">SUMPRODUCT((SVB!$S$2:$S$740&gt;=B311)*(SVB!$S$2:$S$740&lt;=B312)*(SVB!$B$2:$B$740="CFZ")*(ISNUMBER(SVB!$M$2:$M$740))*(SVB!$M$2:$M$740))</f>
        <v>30</v>
      </c>
      <c r="C28" s="443" cm="1">
        <f t="array" ref="C28">SUMPRODUCT((SVB!$S$2:$S$740&gt;=C311)*(SVB!$S$2:$S$740&lt;=C312)*(SVB!$B$2:$B$740="CFZ")*(ISNUMBER(SVB!$M$2:$M$740))*(SVB!$M$2:$M$740))</f>
        <v>45</v>
      </c>
      <c r="D28" s="443" cm="1">
        <f t="array" ref="D28">SUMPRODUCT((SVB!$S$2:$S$740&gt;=D311)*(SVB!$S$2:$S$740&lt;=D312)*(SVB!$B$2:$B$740="CFZ")*(ISNUMBER(SVB!$M$2:$M$740))*(SVB!$M$2:$M$740))</f>
        <v>52</v>
      </c>
      <c r="E28" s="443" cm="1">
        <f t="array" ref="E28">SUMPRODUCT((SVB!$S$2:$S$740&gt;=E311)*(SVB!$S$2:$S$740&lt;=E312)*(SVB!$B$2:$B$740="CFZ")*(ISNUMBER(SVB!$M$2:$M$740))*(SVB!$M$2:$M$740))</f>
        <v>0</v>
      </c>
      <c r="F28" s="443" cm="1">
        <f t="array" ref="F28">SUMPRODUCT((SVB!$S$2:$S$740&gt;=F311)*(SVB!$S$2:$S$740&lt;=F312)*(SVB!$B$2:$B$740="CFZ")*(ISNUMBER(SVB!$M$2:$M$740))*(SVB!$M$2:$M$740))</f>
        <v>42</v>
      </c>
      <c r="G28" s="443" cm="1">
        <f t="array" ref="G28">SUMPRODUCT((SVB!$S$2:$S$740&gt;=G311)*(SVB!$S$2:$S$740&lt;=G312)*(SVB!$B$2:$B$740="CFZ")*(ISNUMBER(SVB!$M$2:$M$740))*(SVB!$M$2:$M$740))</f>
        <v>0</v>
      </c>
      <c r="H28" s="443" cm="1">
        <f t="array" ref="H28">SUMPRODUCT((SVB!$S$2:$S$740&gt;=H311)*(SVB!$S$2:$S$740&lt;=H312)*(SVB!$B$2:$B$740="CFZ")*(ISNUMBER(SVB!$M$2:$M$740))*(SVB!$M$2:$M$740))</f>
        <v>0</v>
      </c>
      <c r="I28" s="443" cm="1">
        <f t="array" ref="I28">SUMPRODUCT((SVB!$S$2:$S$740&gt;=I311)*(SVB!$S$2:$S$740&lt;=I312)*(SVB!$B$2:$B$740="CFZ")*(ISNUMBER(SVB!$M$2:$M$740))*(SVB!$M$2:$M$740))</f>
        <v>0</v>
      </c>
      <c r="J28" s="443" cm="1">
        <f t="array" ref="J28">SUMPRODUCT((SVB!$S$2:$S$740&gt;=J311)*(SVB!$S$2:$S$740&lt;=J312)*(SVB!$B$2:$B$740="CFZ")*(ISNUMBER(SVB!$M$2:$M$740))*(SVB!$M$2:$M$740))</f>
        <v>0</v>
      </c>
      <c r="K28" s="443" cm="1">
        <f t="array" ref="K28">SUMPRODUCT((SVB!$S$2:$S$740&gt;=K311)*(SVB!$S$2:$S$740&lt;=K312)*(SVB!$B$2:$B$740="CFZ")*(ISNUMBER(SVB!$M$2:$M$740))*(SVB!$M$2:$M$740))</f>
        <v>0</v>
      </c>
      <c r="L28" s="443" cm="1">
        <f t="array" ref="L28">SUMPRODUCT((SVB!$S$2:$S$740&gt;=L311)*(SVB!$S$2:$S$740&lt;=L312)*(SVB!$B$2:$B$740="CFZ")*(ISNUMBER(SVB!$M$2:$M$740))*(SVB!$M$2:$M$740))</f>
        <v>0</v>
      </c>
      <c r="M28" s="443" cm="1">
        <f t="array" ref="M28">SUMPRODUCT((SVB!$S$2:$S$740&gt;=M311)*(SVB!$S$2:$S$740&lt;=M312)*(SVB!$B$2:$B$740="CFZ")*(ISNUMBER(SVB!$M$2:$M$740))*(SVB!$M$2:$M$740))</f>
        <v>0</v>
      </c>
      <c r="N28" s="443" cm="1">
        <f t="array" ref="N28">SUMPRODUCT((SVB!$S$2:$S$740&gt;=N311)*(SVB!$S$2:$S$740&lt;=N312)*(SVB!$B$2:$B$740="CFZ")*(ISNUMBER(SVB!$M$2:$M$740))*(SVB!$M$2:$M$740))</f>
        <v>0</v>
      </c>
      <c r="O28" s="443" cm="1">
        <f t="array" ref="O28">SUMPRODUCT((SVB!$S$2:$S$740&gt;=O311)*(SVB!$S$2:$S$740&lt;=O312)*(SVB!$B$2:$B$740="CFZ")*(ISNUMBER(SVB!$M$2:$M$740))*(SVB!$M$2:$M$740))</f>
        <v>0</v>
      </c>
      <c r="P28" s="443" cm="1">
        <f t="array" ref="P28">SUMPRODUCT((SVB!$S$2:$S$740&gt;=P311)*(SVB!$S$2:$S$740&lt;=P312)*(SVB!$B$2:$B$740="CFZ")*(ISNUMBER(SVB!$M$2:$M$740))*(SVB!$M$2:$M$740))</f>
        <v>0</v>
      </c>
      <c r="Q28" s="443" cm="1">
        <f t="array" ref="Q28">SUMPRODUCT((SVB!$S$2:$S$740&gt;=Q311)*(SVB!$S$2:$S$740&lt;=Q312)*(SVB!$B$2:$B$740="CFZ")*(ISNUMBER(SVB!$M$2:$M$740))*(SVB!$M$2:$M$740))</f>
        <v>0</v>
      </c>
      <c r="R28" s="443" cm="1">
        <f t="array" ref="R28">SUMPRODUCT((SVB!$S$2:$S$740&gt;=R311)*(SVB!$S$2:$S$740&lt;=R312)*(SVB!$B$2:$B$740="CFZ")*(ISNUMBER(SVB!$M$2:$M$740))*(SVB!$M$2:$M$740))</f>
        <v>0</v>
      </c>
      <c r="S28" s="443" cm="1">
        <f t="array" ref="S28">SUMPRODUCT((SVB!$S$2:$S$740&gt;=S311)*(SVB!$S$2:$S$740&lt;=S312)*(SVB!$B$2:$B$740="CFZ")*(ISNUMBER(SVB!$M$2:$M$740))*(SVB!$M$2:$M$740))</f>
        <v>0</v>
      </c>
      <c r="T28" s="443" cm="1">
        <f t="array" ref="T28">SUMPRODUCT((SVB!$S$2:$S$740&gt;=T311)*(SVB!$S$2:$S$740&lt;=T312)*(SVB!$B$2:$B$740="CFZ")*(ISNUMBER(SVB!$M$2:$M$740))*(SVB!$M$2:$M$740))</f>
        <v>0</v>
      </c>
      <c r="U28" s="443" cm="1">
        <f t="array" ref="U28">SUMPRODUCT((SVB!$S$2:$S$740&gt;=U311)*(SVB!$S$2:$S$740&lt;=U312)*(SVB!$B$2:$B$740="CFZ")*(ISNUMBER(SVB!$M$2:$M$740))*(SVB!$M$2:$M$740))</f>
        <v>0</v>
      </c>
      <c r="V28" s="529">
        <f>SUM(B28:U28)</f>
        <v>169</v>
      </c>
    </row>
    <row r="29" spans="1:22" ht="18" customHeight="1">
      <c r="A29" s="442" t="s">
        <v>918</v>
      </c>
      <c r="B29" s="443" cm="1">
        <f t="array" ref="B29">SUMPRODUCT((SVB!$S$2:$S$740&gt;=B311)*(SVB!$S$2:$S$740&lt;=B312)*(SVB!$B$2:$B$740="CFZ")*(ISNUMBER(SVB!$N$2:$N$740))*(SVB!$N$2:$N$740))</f>
        <v>30</v>
      </c>
      <c r="C29" s="443" cm="1">
        <f t="array" ref="C29">SUMPRODUCT((SVB!$S$2:$S$740&gt;=C311)*(SVB!$S$2:$S$740&lt;=C312)*(SVB!$B$2:$B$740="CFZ")*(ISNUMBER(SVB!$N$2:$N$740))*(SVB!$N$2:$N$740))</f>
        <v>45</v>
      </c>
      <c r="D29" s="443" cm="1">
        <f t="array" ref="D29">SUMPRODUCT((SVB!$S$2:$S$740&gt;=D311)*(SVB!$S$2:$S$740&lt;=D312)*(SVB!$B$2:$B$740="CFZ")*(ISNUMBER(SVB!$N$2:$N$740))*(SVB!$N$2:$N$740))</f>
        <v>52</v>
      </c>
      <c r="E29" s="443" cm="1">
        <f t="array" ref="E29">SUMPRODUCT((SVB!$S$2:$S$740&gt;=E311)*(SVB!$S$2:$S$740&lt;=E312)*(SVB!$B$2:$B$740="CFZ")*(ISNUMBER(SVB!$N$2:$N$740))*(SVB!$N$2:$N$740))</f>
        <v>0</v>
      </c>
      <c r="F29" s="443" cm="1">
        <f t="array" ref="F29">SUMPRODUCT((SVB!$S$2:$S$740&gt;=F311)*(SVB!$S$2:$S$740&lt;=F312)*(SVB!$B$2:$B$740="CFZ")*(ISNUMBER(SVB!$N$2:$N$740))*(SVB!$N$2:$N$740))</f>
        <v>42</v>
      </c>
      <c r="G29" s="443" cm="1">
        <f t="array" ref="G29">SUMPRODUCT((SVB!$S$2:$S$740&gt;=G311)*(SVB!$S$2:$S$740&lt;=G312)*(SVB!$B$2:$B$740="CFZ")*(ISNUMBER(SVB!$N$2:$N$740))*(SVB!$N$2:$N$740))</f>
        <v>0</v>
      </c>
      <c r="H29" s="443" cm="1">
        <f t="array" ref="H29">SUMPRODUCT((SVB!$S$2:$S$740&gt;=H311)*(SVB!$S$2:$S$740&lt;=H312)*(SVB!$B$2:$B$740="CFZ")*(ISNUMBER(SVB!$N$2:$N$740))*(SVB!$N$2:$N$740))</f>
        <v>0</v>
      </c>
      <c r="I29" s="443" cm="1">
        <f t="array" ref="I29">SUMPRODUCT((SVB!$S$2:$S$740&gt;=I311)*(SVB!$S$2:$S$740&lt;=I312)*(SVB!$B$2:$B$740="CFZ")*(ISNUMBER(SVB!$N$2:$N$740))*(SVB!$N$2:$N$740))</f>
        <v>0</v>
      </c>
      <c r="J29" s="443" cm="1">
        <f t="array" ref="J29">SUMPRODUCT((SVB!$S$2:$S$740&gt;=J311)*(SVB!$S$2:$S$740&lt;=J312)*(SVB!$B$2:$B$740="CFZ")*(ISNUMBER(SVB!$N$2:$N$740))*(SVB!$N$2:$N$740))</f>
        <v>0</v>
      </c>
      <c r="K29" s="443" cm="1">
        <f t="array" ref="K29">SUMPRODUCT((SVB!$S$2:$S$740&gt;=K311)*(SVB!$S$2:$S$740&lt;=K312)*(SVB!$B$2:$B$740="CFZ")*(ISNUMBER(SVB!$N$2:$N$740))*(SVB!$N$2:$N$740))</f>
        <v>0</v>
      </c>
      <c r="L29" s="443" cm="1">
        <f t="array" ref="L29">SUMPRODUCT((SVB!$S$2:$S$740&gt;=L311)*(SVB!$S$2:$S$740&lt;=L312)*(SVB!$B$2:$B$740="CFZ")*(ISNUMBER(SVB!$N$2:$N$740))*(SVB!$N$2:$N$740))</f>
        <v>0</v>
      </c>
      <c r="M29" s="443" cm="1">
        <f t="array" ref="M29">SUMPRODUCT((SVB!$S$2:$S$740&gt;=M311)*(SVB!$S$2:$S$740&lt;=M312)*(SVB!$B$2:$B$740="CFZ")*(ISNUMBER(SVB!$N$2:$N$740))*(SVB!$N$2:$N$740))</f>
        <v>0</v>
      </c>
      <c r="N29" s="443" cm="1">
        <f t="array" ref="N29">SUMPRODUCT((SVB!$S$2:$S$740&gt;=N311)*(SVB!$S$2:$S$740&lt;=N312)*(SVB!$B$2:$B$740="CFZ")*(ISNUMBER(SVB!$N$2:$N$740))*(SVB!$N$2:$N$740))</f>
        <v>0</v>
      </c>
      <c r="O29" s="443" cm="1">
        <f t="array" ref="O29">SUMPRODUCT((SVB!$S$2:$S$740&gt;=O311)*(SVB!$S$2:$S$740&lt;=O312)*(SVB!$B$2:$B$740="CFZ")*(ISNUMBER(SVB!$N$2:$N$740))*(SVB!$N$2:$N$740))</f>
        <v>0</v>
      </c>
      <c r="P29" s="443" cm="1">
        <f t="array" ref="P29">SUMPRODUCT((SVB!$S$2:$S$740&gt;=P311)*(SVB!$S$2:$S$740&lt;=P312)*(SVB!$B$2:$B$740="CFZ")*(ISNUMBER(SVB!$N$2:$N$740))*(SVB!$N$2:$N$740))</f>
        <v>0</v>
      </c>
      <c r="Q29" s="443" cm="1">
        <f t="array" ref="Q29">SUMPRODUCT((SVB!$S$2:$S$740&gt;=Q311)*(SVB!$S$2:$S$740&lt;=Q312)*(SVB!$B$2:$B$740="CFZ")*(ISNUMBER(SVB!$N$2:$N$740))*(SVB!$N$2:$N$740))</f>
        <v>0</v>
      </c>
      <c r="R29" s="443" cm="1">
        <f t="array" ref="R29">SUMPRODUCT((SVB!$S$2:$S$740&gt;=R311)*(SVB!$S$2:$S$740&lt;=R312)*(SVB!$B$2:$B$740="CFZ")*(ISNUMBER(SVB!$N$2:$N$740))*(SVB!$N$2:$N$740))</f>
        <v>0</v>
      </c>
      <c r="S29" s="443" cm="1">
        <f t="array" ref="S29">SUMPRODUCT((SVB!$S$2:$S$740&gt;=S311)*(SVB!$S$2:$S$740&lt;=S312)*(SVB!$B$2:$B$740="CFZ")*(ISNUMBER(SVB!$N$2:$N$740))*(SVB!$N$2:$N$740))</f>
        <v>0</v>
      </c>
      <c r="T29" s="443" cm="1">
        <f t="array" ref="T29">SUMPRODUCT((SVB!$S$2:$S$740&gt;=T311)*(SVB!$S$2:$S$740&lt;=T312)*(SVB!$B$2:$B$740="CFZ")*(ISNUMBER(SVB!$N$2:$N$740))*(SVB!$N$2:$N$740))</f>
        <v>0</v>
      </c>
      <c r="U29" s="443" cm="1">
        <f t="array" ref="U29">SUMPRODUCT((SVB!$S$2:$S$740&gt;=U311)*(SVB!$S$2:$S$740&lt;=U312)*(SVB!$B$2:$B$740="CFZ")*(ISNUMBER(SVB!$N$2:$N$740))*(SVB!$N$2:$N$740))</f>
        <v>0</v>
      </c>
      <c r="V29" s="529">
        <f t="shared" ref="V29:V33" si="16">SUM(B29:U29)</f>
        <v>169</v>
      </c>
    </row>
    <row r="30" spans="1:22" ht="18" customHeight="1">
      <c r="A30" s="442" t="s">
        <v>919</v>
      </c>
      <c r="B30" s="443" cm="1">
        <f t="array" ref="B30">SUMPRODUCT((SVB!$S$2:$S$740&gt;=B311)*(SVB!$S$2:$S$740&lt;=B312)*(SVB!$B$2:$B$740="CFZ")*(ISNUMBER(SVB!$O$2:$O$740))*(SVB!$O$2:$O$740))</f>
        <v>30</v>
      </c>
      <c r="C30" s="443" cm="1">
        <f t="array" ref="C30">SUMPRODUCT((SVB!$S$2:$S$740&gt;=C311)*(SVB!$S$2:$S$740&lt;=C312)*(SVB!$B$2:$B$740="CFZ")*(ISNUMBER(SVB!$O$2:$O$740))*(SVB!$O$2:$O$740))</f>
        <v>45</v>
      </c>
      <c r="D30" s="443" cm="1">
        <f t="array" ref="D30">SUMPRODUCT((SVB!$S$2:$S$740&gt;=D311)*(SVB!$S$2:$S$740&lt;=D312)*(SVB!$B$2:$B$740="CFZ")*(ISNUMBER(SVB!$O$2:$O$740))*(SVB!$O$2:$O$740))</f>
        <v>52</v>
      </c>
      <c r="E30" s="443" cm="1">
        <f t="array" ref="E30">SUMPRODUCT((SVB!$S$2:$S$740&gt;=E311)*(SVB!$S$2:$S$740&lt;=E312)*(SVB!$B$2:$B$740="CFZ")*(ISNUMBER(SVB!$O$2:$O$740))*(SVB!$O$2:$O$740))</f>
        <v>0</v>
      </c>
      <c r="F30" s="443" cm="1">
        <f t="array" ref="F30">SUMPRODUCT((SVB!$S$2:$S$740&gt;=F311)*(SVB!$S$2:$S$740&lt;=F312)*(SVB!$B$2:$B$740="CFZ")*(ISNUMBER(SVB!$O$2:$O$740))*(SVB!$O$2:$O$740))</f>
        <v>42</v>
      </c>
      <c r="G30" s="443" cm="1">
        <f t="array" ref="G30">SUMPRODUCT((SVB!$S$2:$S$740&gt;=G311)*(SVB!$S$2:$S$740&lt;=G312)*(SVB!$B$2:$B$740="CFZ")*(ISNUMBER(SVB!$O$2:$O$740))*(SVB!$O$2:$O$740))</f>
        <v>0</v>
      </c>
      <c r="H30" s="443" cm="1">
        <f t="array" ref="H30">SUMPRODUCT((SVB!$S$2:$S$740&gt;=H311)*(SVB!$S$2:$S$740&lt;=H312)*(SVB!$B$2:$B$740="CFZ")*(ISNUMBER(SVB!$O$2:$O$740))*(SVB!$O$2:$O$740))</f>
        <v>0</v>
      </c>
      <c r="I30" s="443" cm="1">
        <f t="array" ref="I30">SUMPRODUCT((SVB!$S$2:$S$740&gt;=I311)*(SVB!$S$2:$S$740&lt;=I312)*(SVB!$B$2:$B$740="CFZ")*(ISNUMBER(SVB!$O$2:$O$740))*(SVB!$O$2:$O$740))</f>
        <v>0</v>
      </c>
      <c r="J30" s="443" cm="1">
        <f t="array" ref="J30">SUMPRODUCT((SVB!$S$2:$S$740&gt;=J311)*(SVB!$S$2:$S$740&lt;=J312)*(SVB!$B$2:$B$740="CFZ")*(ISNUMBER(SVB!$O$2:$O$740))*(SVB!$O$2:$O$740))</f>
        <v>0</v>
      </c>
      <c r="K30" s="443" cm="1">
        <f t="array" ref="K30">SUMPRODUCT((SVB!$S$2:$S$740&gt;=K311)*(SVB!$S$2:$S$740&lt;=K312)*(SVB!$B$2:$B$740="CFZ")*(ISNUMBER(SVB!$O$2:$O$740))*(SVB!$O$2:$O$740))</f>
        <v>0</v>
      </c>
      <c r="L30" s="443" cm="1">
        <f t="array" ref="L30">SUMPRODUCT((SVB!$S$2:$S$740&gt;=L311)*(SVB!$S$2:$S$740&lt;=L312)*(SVB!$B$2:$B$740="CFZ")*(ISNUMBER(SVB!$O$2:$O$740))*(SVB!$O$2:$O$740))</f>
        <v>0</v>
      </c>
      <c r="M30" s="443" cm="1">
        <f t="array" ref="M30">SUMPRODUCT((SVB!$S$2:$S$740&gt;=M311)*(SVB!$S$2:$S$740&lt;=M312)*(SVB!$B$2:$B$740="CFZ")*(ISNUMBER(SVB!$O$2:$O$740))*(SVB!$O$2:$O$740))</f>
        <v>0</v>
      </c>
      <c r="N30" s="443" cm="1">
        <f t="array" ref="N30">SUMPRODUCT((SVB!$S$2:$S$740&gt;=N311)*(SVB!$S$2:$S$740&lt;=N312)*(SVB!$B$2:$B$740="CFZ")*(ISNUMBER(SVB!$O$2:$O$740))*(SVB!$O$2:$O$740))</f>
        <v>0</v>
      </c>
      <c r="O30" s="443" cm="1">
        <f t="array" ref="O30">SUMPRODUCT((SVB!$S$2:$S$740&gt;=O311)*(SVB!$S$2:$S$740&lt;=O312)*(SVB!$B$2:$B$740="CFZ")*(ISNUMBER(SVB!$O$2:$O$740))*(SVB!$O$2:$O$740))</f>
        <v>0</v>
      </c>
      <c r="P30" s="443" cm="1">
        <f t="array" ref="P30">SUMPRODUCT((SVB!$S$2:$S$740&gt;=P311)*(SVB!$S$2:$S$740&lt;=P312)*(SVB!$B$2:$B$740="CFZ")*(ISNUMBER(SVB!$O$2:$O$740))*(SVB!$O$2:$O$740))</f>
        <v>0</v>
      </c>
      <c r="Q30" s="443" cm="1">
        <f t="array" ref="Q30">SUMPRODUCT((SVB!$S$2:$S$740&gt;=Q311)*(SVB!$S$2:$S$740&lt;=Q312)*(SVB!$B$2:$B$740="CFZ")*(ISNUMBER(SVB!$O$2:$O$740))*(SVB!$O$2:$O$740))</f>
        <v>0</v>
      </c>
      <c r="R30" s="443" cm="1">
        <f t="array" ref="R30">SUMPRODUCT((SVB!$S$2:$S$740&gt;=R311)*(SVB!$S$2:$S$740&lt;=R312)*(SVB!$B$2:$B$740="CFZ")*(ISNUMBER(SVB!$O$2:$O$740))*(SVB!$O$2:$O$740))</f>
        <v>0</v>
      </c>
      <c r="S30" s="443" cm="1">
        <f t="array" ref="S30">SUMPRODUCT((SVB!$S$2:$S$740&gt;=S311)*(SVB!$S$2:$S$740&lt;=S312)*(SVB!$B$2:$B$740="CFZ")*(ISNUMBER(SVB!$O$2:$O$740))*(SVB!$O$2:$O$740))</f>
        <v>0</v>
      </c>
      <c r="T30" s="443" cm="1">
        <f t="array" ref="T30">SUMPRODUCT((SVB!$S$2:$S$740&gt;=T311)*(SVB!$S$2:$S$740&lt;=T312)*(SVB!$B$2:$B$740="CFZ")*(ISNUMBER(SVB!$O$2:$O$740))*(SVB!$O$2:$O$740))</f>
        <v>0</v>
      </c>
      <c r="U30" s="443" cm="1">
        <f t="array" ref="U30">SUMPRODUCT((SVB!$S$2:$S$740&gt;=U311)*(SVB!$S$2:$S$740&lt;=U312)*(SVB!$B$2:$B$740="CFZ")*(ISNUMBER(SVB!$O$2:$O$740))*(SVB!$O$2:$O$740))</f>
        <v>0</v>
      </c>
      <c r="V30" s="529">
        <f t="shared" si="16"/>
        <v>169</v>
      </c>
    </row>
    <row r="31" spans="1:22" ht="18" customHeight="1">
      <c r="A31" s="442" t="s">
        <v>923</v>
      </c>
      <c r="B31" s="443" cm="1">
        <f t="array" ref="B31">SUMPRODUCT((SVB!$S$2:$S$740&gt;=B311)*(SVB!$S$2:$S$740&lt;=B312)*(SVB!$B$2:$B$740="CFZ")*(SVB!$K$2:$K$740="Switch")*(ISNUMBER(SVB!$O$2:$O$740))*(SVB!$O$2:$O$740))</f>
        <v>2</v>
      </c>
      <c r="C31" s="443" cm="1">
        <f t="array" ref="C31">SUMPRODUCT((SVB!$S$2:$S$740&gt;=C311)*(SVB!$S$2:$S$740&lt;=C312)*(SVB!$B$2:$B$740="CFZ")*(SVB!$K$2:$K$740="Switch")*(ISNUMBER(SVB!$O$2:$O$740))*(SVB!$O$2:$O$740))</f>
        <v>45</v>
      </c>
      <c r="D31" s="443" cm="1">
        <f t="array" ref="D31">SUMPRODUCT((SVB!$S$2:$S$740&gt;=D311)*(SVB!$S$2:$S$740&lt;=D312)*(SVB!$B$2:$B$740="CFZ")*(SVB!$K$2:$K$740="Switch")*(ISNUMBER(SVB!$O$2:$O$740))*(SVB!$O$2:$O$740))</f>
        <v>52</v>
      </c>
      <c r="E31" s="443" cm="1">
        <f t="array" ref="E31">SUMPRODUCT((SVB!$S$2:$S$740&gt;=E311)*(SVB!$S$2:$S$740&lt;=E312)*(SVB!$B$2:$B$740="CFZ")*(SVB!$K$2:$K$740="Switch")*(ISNUMBER(SVB!$O$2:$O$740))*(SVB!$O$2:$O$740))</f>
        <v>0</v>
      </c>
      <c r="F31" s="443" cm="1">
        <f t="array" ref="F31">SUMPRODUCT((SVB!$S$2:$S$740&gt;=F311)*(SVB!$S$2:$S$740&lt;=F312)*(SVB!$B$2:$B$740="CFZ")*(SVB!$K$2:$K$740="Switch")*(ISNUMBER(SVB!$O$2:$O$740))*(SVB!$O$2:$O$740))</f>
        <v>42</v>
      </c>
      <c r="G31" s="443" cm="1">
        <f t="array" ref="G31">SUMPRODUCT((SVB!$S$2:$S$740&gt;=G311)*(SVB!$S$2:$S$740&lt;=G312)*(SVB!$B$2:$B$740="CFZ")*(SVB!$K$2:$K$740="Switch")*(ISNUMBER(SVB!$O$2:$O$740))*(SVB!$O$2:$O$740))</f>
        <v>0</v>
      </c>
      <c r="H31" s="443" cm="1">
        <f t="array" ref="H31">SUMPRODUCT((SVB!$S$2:$S$740&gt;=H311)*(SVB!$S$2:$S$740&lt;=H312)*(SVB!$B$2:$B$740="CFZ")*(SVB!$K$2:$K$740="Switch")*(ISNUMBER(SVB!$O$2:$O$740))*(SVB!$O$2:$O$740))</f>
        <v>0</v>
      </c>
      <c r="I31" s="443" cm="1">
        <f t="array" ref="I31">SUMPRODUCT((SVB!$S$2:$S$740&gt;=I311)*(SVB!$S$2:$S$740&lt;=I312)*(SVB!$B$2:$B$740="CFZ")*(SVB!$K$2:$K$740="Switch")*(ISNUMBER(SVB!$O$2:$O$740))*(SVB!$O$2:$O$740))</f>
        <v>0</v>
      </c>
      <c r="J31" s="443" cm="1">
        <f t="array" ref="J31">SUMPRODUCT((SVB!$S$2:$S$740&gt;=J311)*(SVB!$S$2:$S$740&lt;=J312)*(SVB!$B$2:$B$740="CFZ")*(SVB!$K$2:$K$740="Switch")*(ISNUMBER(SVB!$O$2:$O$740))*(SVB!$O$2:$O$740))</f>
        <v>0</v>
      </c>
      <c r="K31" s="443" cm="1">
        <f t="array" ref="K31">SUMPRODUCT((SVB!$S$2:$S$740&gt;=K311)*(SVB!$S$2:$S$740&lt;=K312)*(SVB!$B$2:$B$740="CFZ")*(SVB!$K$2:$K$740="Switch")*(ISNUMBER(SVB!$O$2:$O$740))*(SVB!$O$2:$O$740))</f>
        <v>0</v>
      </c>
      <c r="L31" s="443" cm="1">
        <f t="array" ref="L31">SUMPRODUCT((SVB!$S$2:$S$740&gt;=L311)*(SVB!$S$2:$S$740&lt;=L312)*(SVB!$B$2:$B$740="CFZ")*(SVB!$K$2:$K$740="Switch")*(ISNUMBER(SVB!$O$2:$O$740))*(SVB!$O$2:$O$740))</f>
        <v>0</v>
      </c>
      <c r="M31" s="443" cm="1">
        <f t="array" ref="M31">SUMPRODUCT((SVB!$S$2:$S$740&gt;=M311)*(SVB!$S$2:$S$740&lt;=M312)*(SVB!$B$2:$B$740="CFZ")*(SVB!$K$2:$K$740="Switch")*(ISNUMBER(SVB!$O$2:$O$740))*(SVB!$O$2:$O$740))</f>
        <v>0</v>
      </c>
      <c r="N31" s="443" cm="1">
        <f t="array" ref="N31">SUMPRODUCT((SVB!$S$2:$S$740&gt;=N311)*(SVB!$S$2:$S$740&lt;=N312)*(SVB!$B$2:$B$740="CFZ")*(SVB!$K$2:$K$740="Switch")*(ISNUMBER(SVB!$O$2:$O$740))*(SVB!$O$2:$O$740))</f>
        <v>0</v>
      </c>
      <c r="O31" s="443" cm="1">
        <f t="array" ref="O31">SUMPRODUCT((SVB!$S$2:$S$740&gt;=O311)*(SVB!$S$2:$S$740&lt;=O312)*(SVB!$B$2:$B$740="CFZ")*(SVB!$K$2:$K$740="Switch")*(ISNUMBER(SVB!$O$2:$O$740))*(SVB!$O$2:$O$740))</f>
        <v>0</v>
      </c>
      <c r="P31" s="443" cm="1">
        <f t="array" ref="P31">SUMPRODUCT((SVB!$S$2:$S$740&gt;=P311)*(SVB!$S$2:$S$740&lt;=P312)*(SVB!$B$2:$B$740="CFZ")*(SVB!$K$2:$K$740="Switch")*(ISNUMBER(SVB!$O$2:$O$740))*(SVB!$O$2:$O$740))</f>
        <v>0</v>
      </c>
      <c r="Q31" s="443" cm="1">
        <f t="array" ref="Q31">SUMPRODUCT((SVB!$S$2:$S$740&gt;=Q311)*(SVB!$S$2:$S$740&lt;=Q312)*(SVB!$B$2:$B$740="CFZ")*(SVB!$K$2:$K$740="Switch")*(ISNUMBER(SVB!$O$2:$O$740))*(SVB!$O$2:$O$740))</f>
        <v>0</v>
      </c>
      <c r="R31" s="443" cm="1">
        <f t="array" ref="R31">SUMPRODUCT((SVB!$S$2:$S$740&gt;=R311)*(SVB!$S$2:$S$740&lt;=R312)*(SVB!$B$2:$B$740="CFZ")*(SVB!$K$2:$K$740="Switch")*(ISNUMBER(SVB!$O$2:$O$740))*(SVB!$O$2:$O$740))</f>
        <v>0</v>
      </c>
      <c r="S31" s="443" cm="1">
        <f t="array" ref="S31">SUMPRODUCT((SVB!$S$2:$S$740&gt;=S311)*(SVB!$S$2:$S$740&lt;=S312)*(SVB!$B$2:$B$740="CFZ")*(SVB!$K$2:$K$740="Switch")*(ISNUMBER(SVB!$O$2:$O$740))*(SVB!$O$2:$O$740))</f>
        <v>0</v>
      </c>
      <c r="T31" s="443" cm="1">
        <f t="array" ref="T31">SUMPRODUCT((SVB!$S$2:$S$740&gt;=T311)*(SVB!$S$2:$S$740&lt;=T312)*(SVB!$B$2:$B$740="CFZ")*(SVB!$K$2:$K$740="Switch")*(ISNUMBER(SVB!$O$2:$O$740))*(SVB!$O$2:$O$740))</f>
        <v>0</v>
      </c>
      <c r="U31" s="443" cm="1">
        <f t="array" ref="U31">SUMPRODUCT((SVB!$S$2:$S$740&gt;=U311)*(SVB!$S$2:$S$740&lt;=U312)*(SVB!$B$2:$B$740="CFZ")*(SVB!$K$2:$K$740="Switch")*(ISNUMBER(SVB!$O$2:$O$740))*(SVB!$O$2:$O$740))</f>
        <v>0</v>
      </c>
      <c r="V31" s="529">
        <f t="shared" si="16"/>
        <v>141</v>
      </c>
    </row>
    <row r="32" spans="1:22" ht="18" customHeight="1">
      <c r="A32" s="442" t="s">
        <v>924</v>
      </c>
      <c r="B32" s="443" cm="1">
        <f t="array" ref="B32">SUMPRODUCT((SVB!$S$2:$S$740&gt;=B311)*(SVB!$S$2:$S$740&lt;=B312)*(SVB!$B$2:$B$740="CFZ")*(SVB!$K$2:$K$740="AP")*(ISNUMBER(SVB!$O$2:$O$740))*(SVB!$O$2:$O$740))</f>
        <v>24</v>
      </c>
      <c r="C32" s="443" cm="1">
        <f t="array" ref="C32">SUMPRODUCT((SVB!$S$2:$S$740&gt;=C311)*(SVB!$S$2:$S$740&lt;=C312)*(SVB!$B$2:$B$740="CFZ")*(SVB!$K$2:$K$740="AP")*(ISNUMBER(SVB!$O$2:$O$740))*(SVB!$O$2:$O$740))</f>
        <v>0</v>
      </c>
      <c r="D32" s="443" cm="1">
        <f t="array" ref="D32">SUMPRODUCT((SVB!$S$2:$S$740&gt;=D311)*(SVB!$S$2:$S$740&lt;=D312)*(SVB!$B$2:$B$740="CFZ")*(SVB!$K$2:$K$740="AP")*(ISNUMBER(SVB!$O$2:$O$740))*(SVB!$O$2:$O$740))</f>
        <v>0</v>
      </c>
      <c r="E32" s="443" cm="1">
        <f t="array" ref="E32">SUMPRODUCT((SVB!$S$2:$S$740&gt;=E311)*(SVB!$S$2:$S$740&lt;=E312)*(SVB!$B$2:$B$740="CFZ")*(SVB!$K$2:$K$740="AP")*(ISNUMBER(SVB!$O$2:$O$740))*(SVB!$O$2:$O$740))</f>
        <v>0</v>
      </c>
      <c r="F32" s="443" cm="1">
        <f t="array" ref="F32">SUMPRODUCT((SVB!$S$2:$S$740&gt;=F311)*(SVB!$S$2:$S$740&lt;=F312)*(SVB!$B$2:$B$740="CFZ")*(SVB!$K$2:$K$740="AP")*(ISNUMBER(SVB!$O$2:$O$740))*(SVB!$O$2:$O$740))</f>
        <v>0</v>
      </c>
      <c r="G32" s="443" cm="1">
        <f t="array" ref="G32">SUMPRODUCT((SVB!$S$2:$S$740&gt;=G311)*(SVB!$S$2:$S$740&lt;=G312)*(SVB!$B$2:$B$740="CFZ")*(SVB!$K$2:$K$740="AP")*(ISNUMBER(SVB!$O$2:$O$740))*(SVB!$O$2:$O$740))</f>
        <v>0</v>
      </c>
      <c r="H32" s="443" cm="1">
        <f t="array" ref="H32">SUMPRODUCT((SVB!$S$2:$S$740&gt;=H311)*(SVB!$S$2:$S$740&lt;=H312)*(SVB!$B$2:$B$740="CFZ")*(SVB!$K$2:$K$740="AP")*(ISNUMBER(SVB!$O$2:$O$740))*(SVB!$O$2:$O$740))</f>
        <v>0</v>
      </c>
      <c r="I32" s="443" cm="1">
        <f t="array" ref="I32">SUMPRODUCT((SVB!$S$2:$S$740&gt;=I311)*(SVB!$S$2:$S$740&lt;=I312)*(SVB!$B$2:$B$740="CFZ")*(SVB!$K$2:$K$740="AP")*(ISNUMBER(SVB!$O$2:$O$740))*(SVB!$O$2:$O$740))</f>
        <v>0</v>
      </c>
      <c r="J32" s="443" cm="1">
        <f t="array" ref="J32">SUMPRODUCT((SVB!$S$2:$S$740&gt;=J311)*(SVB!$S$2:$S$740&lt;=J312)*(SVB!$B$2:$B$740="CFZ")*(SVB!$K$2:$K$740="AP")*(ISNUMBER(SVB!$O$2:$O$740))*(SVB!$O$2:$O$740))</f>
        <v>0</v>
      </c>
      <c r="K32" s="443" cm="1">
        <f t="array" ref="K32">SUMPRODUCT((SVB!$S$2:$S$740&gt;=K311)*(SVB!$S$2:$S$740&lt;=K312)*(SVB!$B$2:$B$740="CFZ")*(SVB!$K$2:$K$740="AP")*(ISNUMBER(SVB!$O$2:$O$740))*(SVB!$O$2:$O$740))</f>
        <v>0</v>
      </c>
      <c r="L32" s="443" cm="1">
        <f t="array" ref="L32">SUMPRODUCT((SVB!$S$2:$S$740&gt;=L311)*(SVB!$S$2:$S$740&lt;=L312)*(SVB!$B$2:$B$740="CFZ")*(SVB!$K$2:$K$740="AP")*(ISNUMBER(SVB!$O$2:$O$740))*(SVB!$O$2:$O$740))</f>
        <v>0</v>
      </c>
      <c r="M32" s="443" cm="1">
        <f t="array" ref="M32">SUMPRODUCT((SVB!$S$2:$S$740&gt;=M311)*(SVB!$S$2:$S$740&lt;=M312)*(SVB!$B$2:$B$740="CFZ")*(SVB!$K$2:$K$740="AP")*(ISNUMBER(SVB!$O$2:$O$740))*(SVB!$O$2:$O$740))</f>
        <v>0</v>
      </c>
      <c r="N32" s="443" cm="1">
        <f t="array" ref="N32">SUMPRODUCT((SVB!$S$2:$S$740&gt;=N311)*(SVB!$S$2:$S$740&lt;=N312)*(SVB!$B$2:$B$740="CFZ")*(SVB!$K$2:$K$740="AP")*(ISNUMBER(SVB!$O$2:$O$740))*(SVB!$O$2:$O$740))</f>
        <v>0</v>
      </c>
      <c r="O32" s="443" cm="1">
        <f t="array" ref="O32">SUMPRODUCT((SVB!$S$2:$S$740&gt;=O311)*(SVB!$S$2:$S$740&lt;=O312)*(SVB!$B$2:$B$740="CFZ")*(SVB!$K$2:$K$740="AP")*(ISNUMBER(SVB!$O$2:$O$740))*(SVB!$O$2:$O$740))</f>
        <v>0</v>
      </c>
      <c r="P32" s="443" cm="1">
        <f t="array" ref="P32">SUMPRODUCT((SVB!$S$2:$S$740&gt;=P311)*(SVB!$S$2:$S$740&lt;=P312)*(SVB!$B$2:$B$740="CFZ")*(SVB!$K$2:$K$740="AP")*(ISNUMBER(SVB!$O$2:$O$740))*(SVB!$O$2:$O$740))</f>
        <v>0</v>
      </c>
      <c r="Q32" s="443" cm="1">
        <f t="array" ref="Q32">SUMPRODUCT((SVB!$S$2:$S$740&gt;=Q311)*(SVB!$S$2:$S$740&lt;=Q312)*(SVB!$B$2:$B$740="CFZ")*(SVB!$K$2:$K$740="AP")*(ISNUMBER(SVB!$O$2:$O$740))*(SVB!$O$2:$O$740))</f>
        <v>0</v>
      </c>
      <c r="R32" s="443" cm="1">
        <f t="array" ref="R32">SUMPRODUCT((SVB!$S$2:$S$740&gt;=R311)*(SVB!$S$2:$S$740&lt;=R312)*(SVB!$B$2:$B$740="CFZ")*(SVB!$K$2:$K$740="AP")*(ISNUMBER(SVB!$O$2:$O$740))*(SVB!$O$2:$O$740))</f>
        <v>0</v>
      </c>
      <c r="S32" s="443" cm="1">
        <f t="array" ref="S32">SUMPRODUCT((SVB!$S$2:$S$740&gt;=S311)*(SVB!$S$2:$S$740&lt;=S312)*(SVB!$B$2:$B$740="CFZ")*(SVB!$K$2:$K$740="AP")*(ISNUMBER(SVB!$O$2:$O$740))*(SVB!$O$2:$O$740))</f>
        <v>0</v>
      </c>
      <c r="T32" s="443" cm="1">
        <f t="array" ref="T32">SUMPRODUCT((SVB!$S$2:$S$740&gt;=T311)*(SVB!$S$2:$S$740&lt;=T312)*(SVB!$B$2:$B$740="CFZ")*(SVB!$K$2:$K$740="AP")*(ISNUMBER(SVB!$O$2:$O$740))*(SVB!$O$2:$O$740))</f>
        <v>0</v>
      </c>
      <c r="U32" s="443" cm="1">
        <f t="array" ref="U32">SUMPRODUCT((SVB!$S$2:$S$740&gt;=U311)*(SVB!$S$2:$S$740&lt;=U312)*(SVB!$B$2:$B$740="CFZ")*(SVB!$K$2:$K$740="AP")*(ISNUMBER(SVB!$O$2:$O$740))*(SVB!$O$2:$O$740))</f>
        <v>0</v>
      </c>
      <c r="V32" s="529">
        <f t="shared" si="16"/>
        <v>24</v>
      </c>
    </row>
    <row r="33" spans="1:22" ht="18" customHeight="1">
      <c r="A33" s="442" t="s">
        <v>925</v>
      </c>
      <c r="B33" s="443" cm="1">
        <f t="array" ref="B33">SUMPRODUCT((SVB!$S$2:$S$740&gt;=B311)*(SVB!$S$2:$S$740&lt;=B312)*(SVB!$B$2:$B$740="CFZ")*(SVB!$K$2:$K$740="Infra")*(ISNUMBER(SVB!$O$2:$O$740))*(SVB!$O$2:$O$740))</f>
        <v>4</v>
      </c>
      <c r="C33" s="443" cm="1">
        <f t="array" ref="C33">SUMPRODUCT((SVB!$S$2:$S$740&gt;=C311)*(SVB!$S$2:$S$740&lt;=C312)*(SVB!$B$2:$B$740="CFZ")*(SVB!$K$2:$K$740="Infra")*(ISNUMBER(SVB!$O$2:$O$740))*(SVB!$O$2:$O$740))</f>
        <v>0</v>
      </c>
      <c r="D33" s="443" cm="1">
        <f t="array" ref="D33">SUMPRODUCT((SVB!$S$2:$S$740&gt;=D311)*(SVB!$S$2:$S$740&lt;=D312)*(SVB!$B$2:$B$740="CFZ")*(SVB!$K$2:$K$740="Infra")*(ISNUMBER(SVB!$O$2:$O$740))*(SVB!$O$2:$O$740))</f>
        <v>0</v>
      </c>
      <c r="E33" s="443" cm="1">
        <f t="array" ref="E33">SUMPRODUCT((SVB!$S$2:$S$740&gt;=E311)*(SVB!$S$2:$S$740&lt;=E312)*(SVB!$B$2:$B$740="CFZ")*(SVB!$K$2:$K$740="Infra")*(ISNUMBER(SVB!$O$2:$O$740))*(SVB!$O$2:$O$740))</f>
        <v>0</v>
      </c>
      <c r="F33" s="443" cm="1">
        <f t="array" ref="F33">SUMPRODUCT((SVB!$S$2:$S$740&gt;=F311)*(SVB!$S$2:$S$740&lt;=F312)*(SVB!$B$2:$B$740="CFZ")*(SVB!$K$2:$K$740="Infra")*(ISNUMBER(SVB!$O$2:$O$740))*(SVB!$O$2:$O$740))</f>
        <v>0</v>
      </c>
      <c r="G33" s="443" cm="1">
        <f t="array" ref="G33">SUMPRODUCT((SVB!$S$2:$S$740&gt;=G311)*(SVB!$S$2:$S$740&lt;=G312)*(SVB!$B$2:$B$740="CFZ")*(SVB!$K$2:$K$740="Infra")*(ISNUMBER(SVB!$O$2:$O$740))*(SVB!$O$2:$O$740))</f>
        <v>0</v>
      </c>
      <c r="H33" s="443" cm="1">
        <f t="array" ref="H33">SUMPRODUCT((SVB!$S$2:$S$740&gt;=H311)*(SVB!$S$2:$S$740&lt;=H312)*(SVB!$B$2:$B$740="CFZ")*(SVB!$K$2:$K$740="Infra")*(ISNUMBER(SVB!$O$2:$O$740))*(SVB!$O$2:$O$740))</f>
        <v>0</v>
      </c>
      <c r="I33" s="443" cm="1">
        <f t="array" ref="I33">SUMPRODUCT((SVB!$S$2:$S$740&gt;=I311)*(SVB!$S$2:$S$740&lt;=I312)*(SVB!$B$2:$B$740="CFZ")*(SVB!$K$2:$K$740="Infra")*(ISNUMBER(SVB!$O$2:$O$740))*(SVB!$O$2:$O$740))</f>
        <v>0</v>
      </c>
      <c r="J33" s="443" cm="1">
        <f t="array" ref="J33">SUMPRODUCT((SVB!$S$2:$S$740&gt;=J311)*(SVB!$S$2:$S$740&lt;=J312)*(SVB!$B$2:$B$740="CFZ")*(SVB!$K$2:$K$740="Infra")*(ISNUMBER(SVB!$O$2:$O$740))*(SVB!$O$2:$O$740))</f>
        <v>0</v>
      </c>
      <c r="K33" s="443" cm="1">
        <f t="array" ref="K33">SUMPRODUCT((SVB!$S$2:$S$740&gt;=K311)*(SVB!$S$2:$S$740&lt;=K312)*(SVB!$B$2:$B$740="CFZ")*(SVB!$K$2:$K$740="Infra")*(ISNUMBER(SVB!$O$2:$O$740))*(SVB!$O$2:$O$740))</f>
        <v>0</v>
      </c>
      <c r="L33" s="443" cm="1">
        <f t="array" ref="L33">SUMPRODUCT((SVB!$S$2:$S$740&gt;=L311)*(SVB!$S$2:$S$740&lt;=L312)*(SVB!$B$2:$B$740="CFZ")*(SVB!$K$2:$K$740="Infra")*(ISNUMBER(SVB!$O$2:$O$740))*(SVB!$O$2:$O$740))</f>
        <v>0</v>
      </c>
      <c r="M33" s="443" cm="1">
        <f t="array" ref="M33">SUMPRODUCT((SVB!$S$2:$S$740&gt;=M311)*(SVB!$S$2:$S$740&lt;=M312)*(SVB!$B$2:$B$740="CFZ")*(SVB!$K$2:$K$740="Infra")*(ISNUMBER(SVB!$O$2:$O$740))*(SVB!$O$2:$O$740))</f>
        <v>0</v>
      </c>
      <c r="N33" s="443" cm="1">
        <f t="array" ref="N33">SUMPRODUCT((SVB!$S$2:$S$740&gt;=N311)*(SVB!$S$2:$S$740&lt;=N312)*(SVB!$B$2:$B$740="CFZ")*(SVB!$K$2:$K$740="Infra")*(ISNUMBER(SVB!$O$2:$O$740))*(SVB!$O$2:$O$740))</f>
        <v>0</v>
      </c>
      <c r="O33" s="443" cm="1">
        <f t="array" ref="O33">SUMPRODUCT((SVB!$S$2:$S$740&gt;=O311)*(SVB!$S$2:$S$740&lt;=O312)*(SVB!$B$2:$B$740="CFZ")*(SVB!$K$2:$K$740="Infra")*(ISNUMBER(SVB!$O$2:$O$740))*(SVB!$O$2:$O$740))</f>
        <v>0</v>
      </c>
      <c r="P33" s="443" cm="1">
        <f t="array" ref="P33">SUMPRODUCT((SVB!$S$2:$S$740&gt;=P311)*(SVB!$S$2:$S$740&lt;=P312)*(SVB!$B$2:$B$740="CFZ")*(SVB!$K$2:$K$740="Infra")*(ISNUMBER(SVB!$O$2:$O$740))*(SVB!$O$2:$O$740))</f>
        <v>0</v>
      </c>
      <c r="Q33" s="443" cm="1">
        <f t="array" ref="Q33">SUMPRODUCT((SVB!$S$2:$S$740&gt;=Q311)*(SVB!$S$2:$S$740&lt;=Q312)*(SVB!$B$2:$B$740="CFZ")*(SVB!$K$2:$K$740="Infra")*(ISNUMBER(SVB!$O$2:$O$740))*(SVB!$O$2:$O$740))</f>
        <v>0</v>
      </c>
      <c r="R33" s="443" cm="1">
        <f t="array" ref="R33">SUMPRODUCT((SVB!$S$2:$S$740&gt;=R311)*(SVB!$S$2:$S$740&lt;=R312)*(SVB!$B$2:$B$740="CFZ")*(SVB!$K$2:$K$740="Infra")*(ISNUMBER(SVB!$O$2:$O$740))*(SVB!$O$2:$O$740))</f>
        <v>0</v>
      </c>
      <c r="S33" s="443" cm="1">
        <f t="array" ref="S33">SUMPRODUCT((SVB!$S$2:$S$740&gt;=S311)*(SVB!$S$2:$S$740&lt;=S312)*(SVB!$B$2:$B$740="CFZ")*(SVB!$K$2:$K$740="Infra")*(ISNUMBER(SVB!$O$2:$O$740))*(SVB!$O$2:$O$740))</f>
        <v>0</v>
      </c>
      <c r="T33" s="443" cm="1">
        <f t="array" ref="T33">SUMPRODUCT((SVB!$S$2:$S$740&gt;=T311)*(SVB!$S$2:$S$740&lt;=T312)*(SVB!$B$2:$B$740="CFZ")*(SVB!$K$2:$K$740="Infra")*(ISNUMBER(SVB!$O$2:$O$740))*(SVB!$O$2:$O$740))</f>
        <v>0</v>
      </c>
      <c r="U33" s="443" cm="1">
        <f t="array" ref="U33">SUMPRODUCT((SVB!$S$2:$S$740&gt;=U311)*(SVB!$S$2:$S$740&lt;=U312)*(SVB!$B$2:$B$740="CFZ")*(SVB!$K$2:$K$740="Infra")*(ISNUMBER(SVB!$O$2:$O$740))*(SVB!$O$2:$O$740))</f>
        <v>0</v>
      </c>
      <c r="V33" s="529">
        <f t="shared" si="16"/>
        <v>4</v>
      </c>
    </row>
    <row r="34" spans="1:22" s="547" customFormat="1" ht="19.5" customHeight="1">
      <c r="A34" s="550" t="s">
        <v>322</v>
      </c>
      <c r="B34" s="551">
        <f>MAX(B30-B24,0)</f>
        <v>26</v>
      </c>
      <c r="C34" s="551">
        <f t="shared" ref="C34" si="17">MAX(C30-C24,0)</f>
        <v>0</v>
      </c>
      <c r="D34" s="551">
        <f t="shared" ref="D34" si="18">MAX(D30-D24,0)</f>
        <v>0</v>
      </c>
      <c r="E34" s="551">
        <f t="shared" ref="E34" si="19">MAX(E30-E24,0)</f>
        <v>0</v>
      </c>
      <c r="F34" s="551">
        <f t="shared" ref="F34" si="20">MAX(F30-F24,0)</f>
        <v>1</v>
      </c>
      <c r="G34" s="551">
        <f t="shared" ref="G34" si="21">MAX(G30-G24,0)</f>
        <v>0</v>
      </c>
      <c r="H34" s="551">
        <f t="shared" ref="H34" si="22">MAX(H30-H24,0)</f>
        <v>0</v>
      </c>
      <c r="I34" s="551">
        <f t="shared" ref="I34" si="23">MAX(I30-I24,0)</f>
        <v>0</v>
      </c>
      <c r="J34" s="551">
        <f t="shared" ref="J34" si="24">MAX(J30-J24,0)</f>
        <v>0</v>
      </c>
      <c r="K34" s="551">
        <f t="shared" ref="K34" si="25">MAX(K30-K24,0)</f>
        <v>0</v>
      </c>
      <c r="L34" s="551">
        <f t="shared" ref="L34" si="26">MAX(L30-L24,0)</f>
        <v>0</v>
      </c>
      <c r="M34" s="551">
        <f t="shared" ref="M34" si="27">MAX(M30-M24,0)</f>
        <v>0</v>
      </c>
      <c r="N34" s="551">
        <f t="shared" ref="N34" si="28">MAX(N30-N24,0)</f>
        <v>0</v>
      </c>
      <c r="O34" s="551">
        <f t="shared" ref="O34" si="29">MAX(O30-O24,0)</f>
        <v>0</v>
      </c>
      <c r="P34" s="551">
        <f t="shared" ref="P34" si="30">MAX(P30-P24,0)</f>
        <v>0</v>
      </c>
      <c r="Q34" s="551">
        <f t="shared" ref="Q34:U34" si="31">MAX(Q30-Q24,0)</f>
        <v>0</v>
      </c>
      <c r="R34" s="551">
        <f t="shared" si="31"/>
        <v>0</v>
      </c>
      <c r="S34" s="551">
        <f t="shared" si="31"/>
        <v>0</v>
      </c>
      <c r="T34" s="551">
        <f t="shared" si="31"/>
        <v>0</v>
      </c>
      <c r="U34" s="551">
        <f t="shared" si="31"/>
        <v>0</v>
      </c>
      <c r="V34" s="552">
        <f>MAX(V30-V24,0)</f>
        <v>0</v>
      </c>
    </row>
    <row r="35" spans="1:22" s="547" customFormat="1" ht="19.5" customHeight="1">
      <c r="A35" s="550" t="s">
        <v>323</v>
      </c>
      <c r="B35" s="551">
        <f>MAX(B24-B30,0)</f>
        <v>0</v>
      </c>
      <c r="C35" s="551">
        <f t="shared" ref="C35:Q35" si="32">MAX(C24-C30,0)</f>
        <v>24</v>
      </c>
      <c r="D35" s="551">
        <f t="shared" si="32"/>
        <v>2</v>
      </c>
      <c r="E35" s="551">
        <f t="shared" si="32"/>
        <v>0</v>
      </c>
      <c r="F35" s="551">
        <f t="shared" si="32"/>
        <v>0</v>
      </c>
      <c r="G35" s="551">
        <f t="shared" si="32"/>
        <v>17</v>
      </c>
      <c r="H35" s="551">
        <f t="shared" si="32"/>
        <v>0</v>
      </c>
      <c r="I35" s="551">
        <f t="shared" si="32"/>
        <v>0</v>
      </c>
      <c r="J35" s="551">
        <f t="shared" si="32"/>
        <v>0</v>
      </c>
      <c r="K35" s="551">
        <f t="shared" si="32"/>
        <v>0</v>
      </c>
      <c r="L35" s="551">
        <f t="shared" si="32"/>
        <v>0</v>
      </c>
      <c r="M35" s="551">
        <f t="shared" si="32"/>
        <v>0</v>
      </c>
      <c r="N35" s="551">
        <f t="shared" si="32"/>
        <v>0</v>
      </c>
      <c r="O35" s="551">
        <f t="shared" si="32"/>
        <v>0</v>
      </c>
      <c r="P35" s="551">
        <f t="shared" si="32"/>
        <v>0</v>
      </c>
      <c r="Q35" s="551">
        <f t="shared" si="32"/>
        <v>2</v>
      </c>
      <c r="R35" s="551">
        <f t="shared" ref="R35:U35" si="33">MAX(R24-R30,0)</f>
        <v>0</v>
      </c>
      <c r="S35" s="551">
        <f t="shared" si="33"/>
        <v>0</v>
      </c>
      <c r="T35" s="551">
        <f t="shared" si="33"/>
        <v>0</v>
      </c>
      <c r="U35" s="551">
        <f t="shared" si="33"/>
        <v>0</v>
      </c>
      <c r="V35" s="552">
        <f>MAX(V24-V30,0)</f>
        <v>18</v>
      </c>
    </row>
    <row r="36" spans="1:22" s="547" customFormat="1" ht="19.5" customHeight="1">
      <c r="A36" s="550" t="s">
        <v>892</v>
      </c>
      <c r="B36" s="551">
        <f>MAX(B31-B25,0)</f>
        <v>0</v>
      </c>
      <c r="C36" s="551">
        <f t="shared" ref="C36:Q36" si="34">MAX(C31-C25,0)</f>
        <v>0</v>
      </c>
      <c r="D36" s="551">
        <f t="shared" si="34"/>
        <v>0</v>
      </c>
      <c r="E36" s="551">
        <f t="shared" si="34"/>
        <v>0</v>
      </c>
      <c r="F36" s="551">
        <f t="shared" si="34"/>
        <v>1</v>
      </c>
      <c r="G36" s="551">
        <f t="shared" si="34"/>
        <v>0</v>
      </c>
      <c r="H36" s="551">
        <f t="shared" si="34"/>
        <v>0</v>
      </c>
      <c r="I36" s="551">
        <f t="shared" si="34"/>
        <v>0</v>
      </c>
      <c r="J36" s="551">
        <f t="shared" si="34"/>
        <v>0</v>
      </c>
      <c r="K36" s="551">
        <f t="shared" si="34"/>
        <v>0</v>
      </c>
      <c r="L36" s="551">
        <f t="shared" si="34"/>
        <v>0</v>
      </c>
      <c r="M36" s="551">
        <f t="shared" si="34"/>
        <v>0</v>
      </c>
      <c r="N36" s="551">
        <f t="shared" si="34"/>
        <v>0</v>
      </c>
      <c r="O36" s="551">
        <f t="shared" si="34"/>
        <v>0</v>
      </c>
      <c r="P36" s="551">
        <f t="shared" si="34"/>
        <v>0</v>
      </c>
      <c r="Q36" s="551">
        <f t="shared" si="34"/>
        <v>0</v>
      </c>
      <c r="R36" s="551">
        <f t="shared" ref="R36:U36" si="35">MAX(R31-R25,0)</f>
        <v>0</v>
      </c>
      <c r="S36" s="551">
        <f t="shared" si="35"/>
        <v>0</v>
      </c>
      <c r="T36" s="551">
        <f t="shared" si="35"/>
        <v>0</v>
      </c>
      <c r="U36" s="551">
        <f t="shared" si="35"/>
        <v>0</v>
      </c>
      <c r="V36" s="552">
        <f>MAX(V31-V25,0)</f>
        <v>0</v>
      </c>
    </row>
    <row r="37" spans="1:22" s="547" customFormat="1" ht="19.5" customHeight="1">
      <c r="A37" s="550" t="s">
        <v>893</v>
      </c>
      <c r="B37" s="551">
        <f>MAX(B25-B31,0)</f>
        <v>0</v>
      </c>
      <c r="C37" s="551">
        <f t="shared" ref="C37:Q37" si="36">MAX(C25-C31,0)</f>
        <v>0</v>
      </c>
      <c r="D37" s="551">
        <f t="shared" si="36"/>
        <v>0</v>
      </c>
      <c r="E37" s="551">
        <f t="shared" si="36"/>
        <v>0</v>
      </c>
      <c r="F37" s="551">
        <f t="shared" si="36"/>
        <v>0</v>
      </c>
      <c r="G37" s="551">
        <f t="shared" si="36"/>
        <v>14</v>
      </c>
      <c r="H37" s="551">
        <f t="shared" si="36"/>
        <v>0</v>
      </c>
      <c r="I37" s="551">
        <f t="shared" si="36"/>
        <v>0</v>
      </c>
      <c r="J37" s="551">
        <f t="shared" si="36"/>
        <v>0</v>
      </c>
      <c r="K37" s="551">
        <f t="shared" si="36"/>
        <v>0</v>
      </c>
      <c r="L37" s="551">
        <f t="shared" si="36"/>
        <v>0</v>
      </c>
      <c r="M37" s="551">
        <f t="shared" si="36"/>
        <v>0</v>
      </c>
      <c r="N37" s="551">
        <f t="shared" si="36"/>
        <v>0</v>
      </c>
      <c r="O37" s="551">
        <f t="shared" si="36"/>
        <v>0</v>
      </c>
      <c r="P37" s="551">
        <f t="shared" si="36"/>
        <v>0</v>
      </c>
      <c r="Q37" s="551">
        <f t="shared" si="36"/>
        <v>2</v>
      </c>
      <c r="R37" s="551">
        <f t="shared" ref="R37:U37" si="37">MAX(R25-R31,0)</f>
        <v>0</v>
      </c>
      <c r="S37" s="551">
        <f t="shared" si="37"/>
        <v>0</v>
      </c>
      <c r="T37" s="551">
        <f t="shared" si="37"/>
        <v>0</v>
      </c>
      <c r="U37" s="551">
        <f t="shared" si="37"/>
        <v>0</v>
      </c>
      <c r="V37" s="552">
        <f>MAX(V25-V31,0)</f>
        <v>15</v>
      </c>
    </row>
    <row r="38" spans="1:22" s="547" customFormat="1" ht="19.5" customHeight="1">
      <c r="A38" s="550" t="s">
        <v>898</v>
      </c>
      <c r="B38" s="551">
        <f>MAX(B32-B26,0)</f>
        <v>24</v>
      </c>
      <c r="C38" s="551">
        <f t="shared" ref="C38:Q38" si="38">MAX(C32-C26,0)</f>
        <v>0</v>
      </c>
      <c r="D38" s="551">
        <f t="shared" si="38"/>
        <v>0</v>
      </c>
      <c r="E38" s="551">
        <f t="shared" si="38"/>
        <v>0</v>
      </c>
      <c r="F38" s="551">
        <f t="shared" si="38"/>
        <v>0</v>
      </c>
      <c r="G38" s="551">
        <f t="shared" si="38"/>
        <v>0</v>
      </c>
      <c r="H38" s="551">
        <f t="shared" si="38"/>
        <v>0</v>
      </c>
      <c r="I38" s="551">
        <f t="shared" si="38"/>
        <v>0</v>
      </c>
      <c r="J38" s="551">
        <f t="shared" si="38"/>
        <v>0</v>
      </c>
      <c r="K38" s="551">
        <f t="shared" si="38"/>
        <v>0</v>
      </c>
      <c r="L38" s="551">
        <f t="shared" si="38"/>
        <v>0</v>
      </c>
      <c r="M38" s="551">
        <f t="shared" si="38"/>
        <v>0</v>
      </c>
      <c r="N38" s="551">
        <f t="shared" si="38"/>
        <v>0</v>
      </c>
      <c r="O38" s="551">
        <f t="shared" si="38"/>
        <v>0</v>
      </c>
      <c r="P38" s="551">
        <f t="shared" si="38"/>
        <v>0</v>
      </c>
      <c r="Q38" s="551">
        <f t="shared" si="38"/>
        <v>0</v>
      </c>
      <c r="R38" s="551">
        <f t="shared" ref="R38:U38" si="39">MAX(R32-R26,0)</f>
        <v>0</v>
      </c>
      <c r="S38" s="551">
        <f t="shared" si="39"/>
        <v>0</v>
      </c>
      <c r="T38" s="551">
        <f t="shared" si="39"/>
        <v>0</v>
      </c>
      <c r="U38" s="551">
        <f t="shared" si="39"/>
        <v>0</v>
      </c>
      <c r="V38" s="552">
        <f t="shared" ref="V38" si="40">MAX(V32-V26,0)</f>
        <v>0</v>
      </c>
    </row>
    <row r="39" spans="1:22" s="547" customFormat="1" ht="19.5" customHeight="1">
      <c r="A39" s="550" t="s">
        <v>899</v>
      </c>
      <c r="B39" s="551">
        <f>MAX(B26-B32,0)</f>
        <v>0</v>
      </c>
      <c r="C39" s="551">
        <f t="shared" ref="C39:Q39" si="41">MAX(C26-C32,0)</f>
        <v>24</v>
      </c>
      <c r="D39" s="551">
        <f t="shared" si="41"/>
        <v>0</v>
      </c>
      <c r="E39" s="551">
        <f t="shared" si="41"/>
        <v>0</v>
      </c>
      <c r="F39" s="551">
        <f t="shared" si="41"/>
        <v>0</v>
      </c>
      <c r="G39" s="551">
        <f t="shared" si="41"/>
        <v>1</v>
      </c>
      <c r="H39" s="551">
        <f t="shared" si="41"/>
        <v>0</v>
      </c>
      <c r="I39" s="551">
        <f t="shared" si="41"/>
        <v>0</v>
      </c>
      <c r="J39" s="551">
        <f t="shared" si="41"/>
        <v>0</v>
      </c>
      <c r="K39" s="551">
        <f t="shared" si="41"/>
        <v>0</v>
      </c>
      <c r="L39" s="551">
        <f t="shared" si="41"/>
        <v>0</v>
      </c>
      <c r="M39" s="551">
        <f t="shared" si="41"/>
        <v>0</v>
      </c>
      <c r="N39" s="551">
        <f t="shared" si="41"/>
        <v>0</v>
      </c>
      <c r="O39" s="551">
        <f t="shared" si="41"/>
        <v>0</v>
      </c>
      <c r="P39" s="551">
        <f t="shared" si="41"/>
        <v>0</v>
      </c>
      <c r="Q39" s="551">
        <f t="shared" si="41"/>
        <v>0</v>
      </c>
      <c r="R39" s="551">
        <f t="shared" ref="R39:U39" si="42">MAX(R26-R32,0)</f>
        <v>0</v>
      </c>
      <c r="S39" s="551">
        <f t="shared" si="42"/>
        <v>0</v>
      </c>
      <c r="T39" s="551">
        <f t="shared" si="42"/>
        <v>0</v>
      </c>
      <c r="U39" s="551">
        <f t="shared" si="42"/>
        <v>0</v>
      </c>
      <c r="V39" s="552">
        <f t="shared" ref="V39" si="43">MAX(V26-V32,0)</f>
        <v>1</v>
      </c>
    </row>
    <row r="40" spans="1:22" ht="18" customHeight="1">
      <c r="A40" s="541" t="s">
        <v>326</v>
      </c>
      <c r="B40" s="542">
        <f t="shared" ref="B40:Q40" si="44">IF(B24=0,"-",(B28+B29+B30)/(B24*3))</f>
        <v>7.5</v>
      </c>
      <c r="C40" s="542">
        <f t="shared" si="44"/>
        <v>0.65217391304347827</v>
      </c>
      <c r="D40" s="542">
        <f t="shared" si="44"/>
        <v>0.96296296296296291</v>
      </c>
      <c r="E40" s="542" t="str">
        <f t="shared" si="44"/>
        <v>-</v>
      </c>
      <c r="F40" s="542">
        <f t="shared" si="44"/>
        <v>1.024390243902439</v>
      </c>
      <c r="G40" s="542">
        <f t="shared" si="44"/>
        <v>0</v>
      </c>
      <c r="H40" s="542" t="str">
        <f t="shared" si="44"/>
        <v>-</v>
      </c>
      <c r="I40" s="542" t="str">
        <f t="shared" si="44"/>
        <v>-</v>
      </c>
      <c r="J40" s="542" t="str">
        <f t="shared" si="44"/>
        <v>-</v>
      </c>
      <c r="K40" s="542" t="str">
        <f t="shared" si="44"/>
        <v>-</v>
      </c>
      <c r="L40" s="542" t="str">
        <f t="shared" si="44"/>
        <v>-</v>
      </c>
      <c r="M40" s="542" t="str">
        <f t="shared" si="44"/>
        <v>-</v>
      </c>
      <c r="N40" s="542" t="str">
        <f t="shared" si="44"/>
        <v>-</v>
      </c>
      <c r="O40" s="542" t="str">
        <f t="shared" si="44"/>
        <v>-</v>
      </c>
      <c r="P40" s="542" t="str">
        <f t="shared" si="44"/>
        <v>-</v>
      </c>
      <c r="Q40" s="542">
        <f t="shared" si="44"/>
        <v>0</v>
      </c>
      <c r="R40" s="542" t="str">
        <f t="shared" ref="R40:U40" si="45">IF(R24=0,"-",(R28+R29+R30)/(R24*3))</f>
        <v>-</v>
      </c>
      <c r="S40" s="542" t="str">
        <f t="shared" si="45"/>
        <v>-</v>
      </c>
      <c r="T40" s="542" t="str">
        <f t="shared" si="45"/>
        <v>-</v>
      </c>
      <c r="U40" s="542" t="str">
        <f t="shared" si="45"/>
        <v>-</v>
      </c>
      <c r="V40" s="530">
        <f>IF(V24=0,"-",(V28+V29+V30)/(V24*3))</f>
        <v>0.90374331550802134</v>
      </c>
    </row>
    <row r="41" spans="1:22" ht="18" customHeight="1">
      <c r="A41" s="597" t="s">
        <v>920</v>
      </c>
      <c r="B41" s="598">
        <f>SUM($B30:B30)</f>
        <v>30</v>
      </c>
      <c r="C41" s="598">
        <f>SUM($B30:C30)</f>
        <v>75</v>
      </c>
      <c r="D41" s="598">
        <f>SUM($B30:D30)</f>
        <v>127</v>
      </c>
      <c r="E41" s="598">
        <f>SUM($B30:E30)</f>
        <v>127</v>
      </c>
      <c r="F41" s="598">
        <f>SUM($B30:F30)</f>
        <v>169</v>
      </c>
      <c r="G41" s="598">
        <f>SUM($B30:G30)</f>
        <v>169</v>
      </c>
      <c r="H41" s="598">
        <f>SUM($B30:H30)</f>
        <v>169</v>
      </c>
      <c r="I41" s="598">
        <f>SUM($B30:I30)</f>
        <v>169</v>
      </c>
      <c r="J41" s="598">
        <f>SUM($B30:J30)</f>
        <v>169</v>
      </c>
      <c r="K41" s="598">
        <f>SUM($B30:K30)</f>
        <v>169</v>
      </c>
      <c r="L41" s="598">
        <f>SUM($B30:L30)</f>
        <v>169</v>
      </c>
      <c r="M41" s="598">
        <f>SUM($B30:M30)</f>
        <v>169</v>
      </c>
      <c r="N41" s="598">
        <f>SUM($B30:N30)</f>
        <v>169</v>
      </c>
      <c r="O41" s="598">
        <f>SUM($B30:O30)</f>
        <v>169</v>
      </c>
      <c r="P41" s="598">
        <f>SUM($B30:P30)</f>
        <v>169</v>
      </c>
      <c r="Q41" s="598">
        <f>SUM($B30:Q30)</f>
        <v>169</v>
      </c>
      <c r="R41" s="598">
        <f>SUM($B30:R30)</f>
        <v>169</v>
      </c>
      <c r="S41" s="598">
        <f>SUM($B30:S30)</f>
        <v>169</v>
      </c>
      <c r="T41" s="598">
        <f>SUM($B30:T30)</f>
        <v>169</v>
      </c>
      <c r="U41" s="598">
        <f>SUM($B30:U30)</f>
        <v>169</v>
      </c>
      <c r="V41" s="529">
        <f>V30</f>
        <v>169</v>
      </c>
    </row>
    <row r="42" spans="1:22" ht="18" customHeight="1">
      <c r="A42" s="597" t="s">
        <v>926</v>
      </c>
      <c r="B42" s="598">
        <f>SUM($B31:B31)</f>
        <v>2</v>
      </c>
      <c r="C42" s="598">
        <f>SUM($B31:C31)</f>
        <v>47</v>
      </c>
      <c r="D42" s="598">
        <f>SUM($B31:D31)</f>
        <v>99</v>
      </c>
      <c r="E42" s="598">
        <f>SUM($B31:E31)</f>
        <v>99</v>
      </c>
      <c r="F42" s="598">
        <f>SUM($B31:F31)</f>
        <v>141</v>
      </c>
      <c r="G42" s="598">
        <f>SUM($B31:G31)</f>
        <v>141</v>
      </c>
      <c r="H42" s="598">
        <f>SUM($B31:H31)</f>
        <v>141</v>
      </c>
      <c r="I42" s="598">
        <f>SUM($B31:I31)</f>
        <v>141</v>
      </c>
      <c r="J42" s="598">
        <f>SUM($B31:J31)</f>
        <v>141</v>
      </c>
      <c r="K42" s="598">
        <f>SUM($B31:K31)</f>
        <v>141</v>
      </c>
      <c r="L42" s="598">
        <f>SUM($B31:L31)</f>
        <v>141</v>
      </c>
      <c r="M42" s="598">
        <f>SUM($B31:M31)</f>
        <v>141</v>
      </c>
      <c r="N42" s="598">
        <f>SUM($B31:N31)</f>
        <v>141</v>
      </c>
      <c r="O42" s="598">
        <f>SUM($B31:O31)</f>
        <v>141</v>
      </c>
      <c r="P42" s="598">
        <f>SUM($B31:P31)</f>
        <v>141</v>
      </c>
      <c r="Q42" s="598">
        <f>SUM($B31:Q31)</f>
        <v>141</v>
      </c>
      <c r="R42" s="598">
        <f>SUM($B31:R31)</f>
        <v>141</v>
      </c>
      <c r="S42" s="598">
        <f>SUM($B31:S31)</f>
        <v>141</v>
      </c>
      <c r="T42" s="598">
        <f>SUM($B31:T31)</f>
        <v>141</v>
      </c>
      <c r="U42" s="598">
        <f>SUM($B31:U31)</f>
        <v>141</v>
      </c>
      <c r="V42" s="529">
        <f t="shared" ref="V42:V44" si="46">V31</f>
        <v>141</v>
      </c>
    </row>
    <row r="43" spans="1:22" ht="18" customHeight="1">
      <c r="A43" s="597" t="s">
        <v>927</v>
      </c>
      <c r="B43" s="598">
        <f>SUM($B32:B32)</f>
        <v>24</v>
      </c>
      <c r="C43" s="598">
        <f>SUM($B32:C32)</f>
        <v>24</v>
      </c>
      <c r="D43" s="598">
        <f>SUM($B32:D32)</f>
        <v>24</v>
      </c>
      <c r="E43" s="598">
        <f>SUM($B32:E32)</f>
        <v>24</v>
      </c>
      <c r="F43" s="598">
        <f>SUM($B32:F32)</f>
        <v>24</v>
      </c>
      <c r="G43" s="598">
        <f>SUM($B32:G32)</f>
        <v>24</v>
      </c>
      <c r="H43" s="598">
        <f>SUM($B32:H32)</f>
        <v>24</v>
      </c>
      <c r="I43" s="598">
        <f>SUM($B32:I32)</f>
        <v>24</v>
      </c>
      <c r="J43" s="598">
        <f>SUM($B32:J32)</f>
        <v>24</v>
      </c>
      <c r="K43" s="598">
        <f>SUM($B32:K32)</f>
        <v>24</v>
      </c>
      <c r="L43" s="598">
        <f>SUM($B32:L32)</f>
        <v>24</v>
      </c>
      <c r="M43" s="598">
        <f>SUM($B32:M32)</f>
        <v>24</v>
      </c>
      <c r="N43" s="598">
        <f>SUM($B32:N32)</f>
        <v>24</v>
      </c>
      <c r="O43" s="598">
        <f>SUM($B32:O32)</f>
        <v>24</v>
      </c>
      <c r="P43" s="598">
        <f>SUM($B32:P32)</f>
        <v>24</v>
      </c>
      <c r="Q43" s="598">
        <f>SUM($B32:Q32)</f>
        <v>24</v>
      </c>
      <c r="R43" s="598">
        <f>SUM($B32:R32)</f>
        <v>24</v>
      </c>
      <c r="S43" s="598">
        <f>SUM($B32:S32)</f>
        <v>24</v>
      </c>
      <c r="T43" s="598">
        <f>SUM($B32:T32)</f>
        <v>24</v>
      </c>
      <c r="U43" s="598">
        <f>SUM($B32:U32)</f>
        <v>24</v>
      </c>
      <c r="V43" s="529">
        <f t="shared" si="46"/>
        <v>24</v>
      </c>
    </row>
    <row r="44" spans="1:22" ht="18" customHeight="1">
      <c r="A44" s="597" t="s">
        <v>928</v>
      </c>
      <c r="B44" s="598">
        <f>SUM($B33:B33)</f>
        <v>4</v>
      </c>
      <c r="C44" s="598">
        <f>SUM($B33:C33)</f>
        <v>4</v>
      </c>
      <c r="D44" s="598">
        <f>SUM($B33:D33)</f>
        <v>4</v>
      </c>
      <c r="E44" s="598">
        <f>SUM($B33:E33)</f>
        <v>4</v>
      </c>
      <c r="F44" s="598">
        <f>SUM($B33:F33)</f>
        <v>4</v>
      </c>
      <c r="G44" s="598">
        <f>SUM($B33:G33)</f>
        <v>4</v>
      </c>
      <c r="H44" s="598">
        <f>SUM($B33:H33)</f>
        <v>4</v>
      </c>
      <c r="I44" s="598">
        <f>SUM($B33:I33)</f>
        <v>4</v>
      </c>
      <c r="J44" s="598">
        <f>SUM($B33:J33)</f>
        <v>4</v>
      </c>
      <c r="K44" s="598">
        <f>SUM($B33:K33)</f>
        <v>4</v>
      </c>
      <c r="L44" s="598">
        <f>SUM($B33:L33)</f>
        <v>4</v>
      </c>
      <c r="M44" s="598">
        <f>SUM($B33:M33)</f>
        <v>4</v>
      </c>
      <c r="N44" s="598">
        <f>SUM($B33:N33)</f>
        <v>4</v>
      </c>
      <c r="O44" s="598">
        <f>SUM($B33:O33)</f>
        <v>4</v>
      </c>
      <c r="P44" s="598">
        <f>SUM($B33:P33)</f>
        <v>4</v>
      </c>
      <c r="Q44" s="598">
        <f>SUM($B33:Q33)</f>
        <v>4</v>
      </c>
      <c r="R44" s="598">
        <f>SUM($B33:R33)</f>
        <v>4</v>
      </c>
      <c r="S44" s="598">
        <f>SUM($B33:S33)</f>
        <v>4</v>
      </c>
      <c r="T44" s="598">
        <f>SUM($B33:T33)</f>
        <v>4</v>
      </c>
      <c r="U44" s="598">
        <f>SUM($B33:U33)</f>
        <v>4</v>
      </c>
      <c r="V44" s="529">
        <f t="shared" si="46"/>
        <v>4</v>
      </c>
    </row>
    <row r="45" spans="1:22" ht="18" customHeight="1">
      <c r="A45" s="599" t="s">
        <v>318</v>
      </c>
      <c r="B45" s="600">
        <f t="shared" ref="B45:Q45" si="47">IF(B24=0,IF(B28=0,"-","100%"),B28/B24)</f>
        <v>7.5</v>
      </c>
      <c r="C45" s="600">
        <f t="shared" si="47"/>
        <v>0.65217391304347827</v>
      </c>
      <c r="D45" s="600">
        <f t="shared" si="47"/>
        <v>0.96296296296296291</v>
      </c>
      <c r="E45" s="600" t="str">
        <f t="shared" si="47"/>
        <v>-</v>
      </c>
      <c r="F45" s="600">
        <f t="shared" si="47"/>
        <v>1.024390243902439</v>
      </c>
      <c r="G45" s="600">
        <f t="shared" si="47"/>
        <v>0</v>
      </c>
      <c r="H45" s="600" t="str">
        <f t="shared" si="47"/>
        <v>-</v>
      </c>
      <c r="I45" s="600" t="str">
        <f t="shared" si="47"/>
        <v>-</v>
      </c>
      <c r="J45" s="600" t="str">
        <f t="shared" si="47"/>
        <v>-</v>
      </c>
      <c r="K45" s="600" t="str">
        <f t="shared" si="47"/>
        <v>-</v>
      </c>
      <c r="L45" s="600" t="str">
        <f t="shared" si="47"/>
        <v>-</v>
      </c>
      <c r="M45" s="600" t="str">
        <f t="shared" si="47"/>
        <v>-</v>
      </c>
      <c r="N45" s="600" t="str">
        <f t="shared" si="47"/>
        <v>-</v>
      </c>
      <c r="O45" s="600" t="str">
        <f t="shared" si="47"/>
        <v>-</v>
      </c>
      <c r="P45" s="600" t="str">
        <f t="shared" si="47"/>
        <v>-</v>
      </c>
      <c r="Q45" s="600">
        <f t="shared" si="47"/>
        <v>0</v>
      </c>
      <c r="R45" s="600" t="str">
        <f t="shared" ref="R45:U45" si="48">IF(R24=0,IF(R28=0,"-","100%"),R28/R24)</f>
        <v>-</v>
      </c>
      <c r="S45" s="600" t="str">
        <f t="shared" si="48"/>
        <v>-</v>
      </c>
      <c r="T45" s="600" t="str">
        <f t="shared" si="48"/>
        <v>-</v>
      </c>
      <c r="U45" s="600" t="str">
        <f t="shared" si="48"/>
        <v>-</v>
      </c>
      <c r="V45" s="601">
        <f>IF(V24=0,"-",V28/V24)</f>
        <v>0.90374331550802134</v>
      </c>
    </row>
    <row r="46" spans="1:22" ht="18" customHeight="1">
      <c r="A46" s="599" t="s">
        <v>320</v>
      </c>
      <c r="B46" s="600">
        <f t="shared" ref="B46:Q46" si="49">IF(B24=0,IF(B29=0,"-","100%"),B29/B24)</f>
        <v>7.5</v>
      </c>
      <c r="C46" s="600">
        <f t="shared" si="49"/>
        <v>0.65217391304347827</v>
      </c>
      <c r="D46" s="600">
        <f t="shared" si="49"/>
        <v>0.96296296296296291</v>
      </c>
      <c r="E46" s="600" t="str">
        <f t="shared" si="49"/>
        <v>-</v>
      </c>
      <c r="F46" s="600">
        <f t="shared" si="49"/>
        <v>1.024390243902439</v>
      </c>
      <c r="G46" s="600">
        <f t="shared" si="49"/>
        <v>0</v>
      </c>
      <c r="H46" s="600" t="str">
        <f t="shared" si="49"/>
        <v>-</v>
      </c>
      <c r="I46" s="600" t="str">
        <f t="shared" si="49"/>
        <v>-</v>
      </c>
      <c r="J46" s="600" t="str">
        <f t="shared" si="49"/>
        <v>-</v>
      </c>
      <c r="K46" s="600" t="str">
        <f t="shared" si="49"/>
        <v>-</v>
      </c>
      <c r="L46" s="600" t="str">
        <f t="shared" si="49"/>
        <v>-</v>
      </c>
      <c r="M46" s="600" t="str">
        <f t="shared" si="49"/>
        <v>-</v>
      </c>
      <c r="N46" s="600" t="str">
        <f t="shared" si="49"/>
        <v>-</v>
      </c>
      <c r="O46" s="600" t="str">
        <f t="shared" si="49"/>
        <v>-</v>
      </c>
      <c r="P46" s="600" t="str">
        <f t="shared" si="49"/>
        <v>-</v>
      </c>
      <c r="Q46" s="600">
        <f t="shared" si="49"/>
        <v>0</v>
      </c>
      <c r="R46" s="600" t="str">
        <f t="shared" ref="R46:U46" si="50">IF(R24=0,IF(R29=0,"-","100%"),R29/R24)</f>
        <v>-</v>
      </c>
      <c r="S46" s="600" t="str">
        <f t="shared" si="50"/>
        <v>-</v>
      </c>
      <c r="T46" s="600" t="str">
        <f t="shared" si="50"/>
        <v>-</v>
      </c>
      <c r="U46" s="600" t="str">
        <f t="shared" si="50"/>
        <v>-</v>
      </c>
      <c r="V46" s="601">
        <f>IF(V24=0,"-",V29/V24)</f>
        <v>0.90374331550802134</v>
      </c>
    </row>
    <row r="47" spans="1:22" ht="18" customHeight="1">
      <c r="A47" s="599" t="s">
        <v>324</v>
      </c>
      <c r="B47" s="600">
        <f>IF(B24=0,IF(B30=0,"-","100%"),B30/B24)</f>
        <v>7.5</v>
      </c>
      <c r="C47" s="600">
        <f t="shared" ref="C47:Q47" si="51">IF(C24=0,IF(C30=0,"-","100%"),C30/C24)</f>
        <v>0.65217391304347827</v>
      </c>
      <c r="D47" s="600">
        <f t="shared" si="51"/>
        <v>0.96296296296296291</v>
      </c>
      <c r="E47" s="600" t="str">
        <f t="shared" si="51"/>
        <v>-</v>
      </c>
      <c r="F47" s="600">
        <f t="shared" si="51"/>
        <v>1.024390243902439</v>
      </c>
      <c r="G47" s="600">
        <f t="shared" si="51"/>
        <v>0</v>
      </c>
      <c r="H47" s="600" t="str">
        <f t="shared" si="51"/>
        <v>-</v>
      </c>
      <c r="I47" s="600" t="str">
        <f t="shared" si="51"/>
        <v>-</v>
      </c>
      <c r="J47" s="600" t="str">
        <f t="shared" si="51"/>
        <v>-</v>
      </c>
      <c r="K47" s="600" t="str">
        <f t="shared" si="51"/>
        <v>-</v>
      </c>
      <c r="L47" s="600" t="str">
        <f t="shared" si="51"/>
        <v>-</v>
      </c>
      <c r="M47" s="600" t="str">
        <f t="shared" si="51"/>
        <v>-</v>
      </c>
      <c r="N47" s="600" t="str">
        <f t="shared" si="51"/>
        <v>-</v>
      </c>
      <c r="O47" s="600" t="str">
        <f t="shared" si="51"/>
        <v>-</v>
      </c>
      <c r="P47" s="600" t="str">
        <f t="shared" si="51"/>
        <v>-</v>
      </c>
      <c r="Q47" s="600">
        <f t="shared" si="51"/>
        <v>0</v>
      </c>
      <c r="R47" s="600" t="str">
        <f t="shared" ref="R47:U47" si="52">IF(R24=0,IF(R30=0,"-","100%"),R30/R24)</f>
        <v>-</v>
      </c>
      <c r="S47" s="600" t="str">
        <f t="shared" si="52"/>
        <v>-</v>
      </c>
      <c r="T47" s="600" t="str">
        <f t="shared" si="52"/>
        <v>-</v>
      </c>
      <c r="U47" s="600" t="str">
        <f t="shared" si="52"/>
        <v>-</v>
      </c>
      <c r="V47" s="601">
        <f>IF(V24=0,"-",V30/V24)</f>
        <v>0.90374331550802134</v>
      </c>
    </row>
    <row r="48" spans="1:22" ht="18" customHeight="1">
      <c r="A48" s="599" t="s">
        <v>929</v>
      </c>
      <c r="B48" s="600">
        <f>IF(B25=0,IF(B31=0,"-","100%"),B31/B25)</f>
        <v>1</v>
      </c>
      <c r="C48" s="600">
        <f t="shared" ref="C48:Q48" si="53">IF(C25=0,IF(C31=0,"-","100%"),C31/C25)</f>
        <v>1</v>
      </c>
      <c r="D48" s="600">
        <f t="shared" si="53"/>
        <v>1</v>
      </c>
      <c r="E48" s="600" t="str">
        <f t="shared" si="53"/>
        <v>-</v>
      </c>
      <c r="F48" s="600">
        <f t="shared" si="53"/>
        <v>1.024390243902439</v>
      </c>
      <c r="G48" s="600">
        <f t="shared" si="53"/>
        <v>0</v>
      </c>
      <c r="H48" s="600" t="str">
        <f t="shared" si="53"/>
        <v>-</v>
      </c>
      <c r="I48" s="600" t="str">
        <f t="shared" si="53"/>
        <v>-</v>
      </c>
      <c r="J48" s="600" t="str">
        <f t="shared" si="53"/>
        <v>-</v>
      </c>
      <c r="K48" s="600" t="str">
        <f t="shared" si="53"/>
        <v>-</v>
      </c>
      <c r="L48" s="600" t="str">
        <f t="shared" si="53"/>
        <v>-</v>
      </c>
      <c r="M48" s="600" t="str">
        <f t="shared" si="53"/>
        <v>-</v>
      </c>
      <c r="N48" s="600" t="str">
        <f t="shared" si="53"/>
        <v>-</v>
      </c>
      <c r="O48" s="600" t="str">
        <f t="shared" si="53"/>
        <v>-</v>
      </c>
      <c r="P48" s="600" t="str">
        <f t="shared" si="53"/>
        <v>-</v>
      </c>
      <c r="Q48" s="600">
        <f t="shared" si="53"/>
        <v>0</v>
      </c>
      <c r="R48" s="600" t="str">
        <f t="shared" ref="R48:U48" si="54">IF(R25=0,IF(R31=0,"-","100%"),R31/R25)</f>
        <v>-</v>
      </c>
      <c r="S48" s="600" t="str">
        <f t="shared" si="54"/>
        <v>-</v>
      </c>
      <c r="T48" s="600" t="str">
        <f t="shared" si="54"/>
        <v>-</v>
      </c>
      <c r="U48" s="600" t="str">
        <f t="shared" si="54"/>
        <v>-</v>
      </c>
      <c r="V48" s="601">
        <f>IF(V25=0,"-",V31/V25)</f>
        <v>0.90384615384615385</v>
      </c>
    </row>
    <row r="49" spans="1:22" ht="18" customHeight="1">
      <c r="A49" s="599" t="s">
        <v>930</v>
      </c>
      <c r="B49" s="643" t="str">
        <f>IF(B26=0,IF(B32=0,"-","100%"),B32/B26)</f>
        <v>100%</v>
      </c>
      <c r="C49" s="643">
        <f>IF(C26=0,IF(C32=0,"-","100%"),C32/C26)</f>
        <v>0</v>
      </c>
      <c r="D49" s="643" t="str">
        <f>IF(D26=0,IF(D32=0,"-","100%"),D32/D26)</f>
        <v>-</v>
      </c>
      <c r="E49" s="643" t="str">
        <f t="shared" ref="E49:Q49" si="55">IF(E26=0,IF(E32=0,"-","100%"),E32/E26)</f>
        <v>-</v>
      </c>
      <c r="F49" s="643" t="str">
        <f t="shared" si="55"/>
        <v>-</v>
      </c>
      <c r="G49" s="643">
        <f t="shared" si="55"/>
        <v>0</v>
      </c>
      <c r="H49" s="643" t="str">
        <f t="shared" si="55"/>
        <v>-</v>
      </c>
      <c r="I49" s="643" t="str">
        <f t="shared" si="55"/>
        <v>-</v>
      </c>
      <c r="J49" s="643" t="str">
        <f t="shared" si="55"/>
        <v>-</v>
      </c>
      <c r="K49" s="643" t="str">
        <f t="shared" si="55"/>
        <v>-</v>
      </c>
      <c r="L49" s="643" t="str">
        <f t="shared" si="55"/>
        <v>-</v>
      </c>
      <c r="M49" s="643" t="str">
        <f t="shared" si="55"/>
        <v>-</v>
      </c>
      <c r="N49" s="643" t="str">
        <f t="shared" si="55"/>
        <v>-</v>
      </c>
      <c r="O49" s="643" t="str">
        <f t="shared" si="55"/>
        <v>-</v>
      </c>
      <c r="P49" s="643" t="str">
        <f t="shared" si="55"/>
        <v>-</v>
      </c>
      <c r="Q49" s="643" t="str">
        <f t="shared" si="55"/>
        <v>-</v>
      </c>
      <c r="R49" s="643" t="str">
        <f t="shared" ref="R49:U49" si="56">IF(R26=0,IF(R32=0,"-","100%"),R32/R26)</f>
        <v>-</v>
      </c>
      <c r="S49" s="643" t="str">
        <f t="shared" si="56"/>
        <v>-</v>
      </c>
      <c r="T49" s="643" t="str">
        <f t="shared" si="56"/>
        <v>-</v>
      </c>
      <c r="U49" s="643" t="str">
        <f t="shared" si="56"/>
        <v>-</v>
      </c>
      <c r="V49" s="601">
        <f>IF(V26=0,"-",V32/V26)</f>
        <v>0.96</v>
      </c>
    </row>
    <row r="50" spans="1:22" s="547" customFormat="1" ht="19.5" customHeight="1">
      <c r="A50" s="550" t="s">
        <v>327</v>
      </c>
      <c r="B50" s="551">
        <f>SUM($B24:B24)</f>
        <v>4</v>
      </c>
      <c r="C50" s="551">
        <f>SUM($B24:C24)</f>
        <v>73</v>
      </c>
      <c r="D50" s="551">
        <f>SUM($B24:D24)</f>
        <v>127</v>
      </c>
      <c r="E50" s="551">
        <f>SUM($B24:E24)</f>
        <v>127</v>
      </c>
      <c r="F50" s="551">
        <f>SUM($B24:F24)</f>
        <v>168</v>
      </c>
      <c r="G50" s="551">
        <f>SUM($B24:G24)</f>
        <v>185</v>
      </c>
      <c r="H50" s="551">
        <f>SUM($B24:H24)</f>
        <v>185</v>
      </c>
      <c r="I50" s="551">
        <f>SUM($B24:I24)</f>
        <v>185</v>
      </c>
      <c r="J50" s="551">
        <f>SUM($B24:J24)</f>
        <v>185</v>
      </c>
      <c r="K50" s="551">
        <f>SUM($B24:K24)</f>
        <v>185</v>
      </c>
      <c r="L50" s="551">
        <f>SUM($B24:L24)</f>
        <v>185</v>
      </c>
      <c r="M50" s="551">
        <f>SUM($B24:M24)</f>
        <v>185</v>
      </c>
      <c r="N50" s="551">
        <f>SUM($B24:N24)</f>
        <v>185</v>
      </c>
      <c r="O50" s="551">
        <f>SUM($B24:O24)</f>
        <v>185</v>
      </c>
      <c r="P50" s="551">
        <f>SUM($B24:P24)</f>
        <v>185</v>
      </c>
      <c r="Q50" s="551">
        <f>SUM($B24:Q24)</f>
        <v>187</v>
      </c>
      <c r="R50" s="551">
        <f>SUM($B24:R24)</f>
        <v>187</v>
      </c>
      <c r="S50" s="551">
        <f>SUM($B24:S24)</f>
        <v>187</v>
      </c>
      <c r="T50" s="551">
        <f>SUM($B24:T24)</f>
        <v>187</v>
      </c>
      <c r="U50" s="551">
        <f>SUM($B24:U24)</f>
        <v>187</v>
      </c>
      <c r="V50" s="552">
        <f>V24</f>
        <v>187</v>
      </c>
    </row>
    <row r="51" spans="1:22" s="547" customFormat="1" ht="19.5" customHeight="1">
      <c r="A51" s="550" t="s">
        <v>903</v>
      </c>
      <c r="B51" s="551">
        <f>SUM($B25:B25)</f>
        <v>2</v>
      </c>
      <c r="C51" s="551">
        <f>SUM($B25:C25)</f>
        <v>47</v>
      </c>
      <c r="D51" s="551">
        <f>SUM($B25:D25)</f>
        <v>99</v>
      </c>
      <c r="E51" s="551">
        <f>SUM($B25:E25)</f>
        <v>99</v>
      </c>
      <c r="F51" s="551">
        <f>SUM($B25:F25)</f>
        <v>140</v>
      </c>
      <c r="G51" s="551">
        <f>SUM($B25:G25)</f>
        <v>154</v>
      </c>
      <c r="H51" s="551">
        <f>SUM($B25:H25)</f>
        <v>154</v>
      </c>
      <c r="I51" s="551">
        <f>SUM($B25:I25)</f>
        <v>154</v>
      </c>
      <c r="J51" s="551">
        <f>SUM($B25:J25)</f>
        <v>154</v>
      </c>
      <c r="K51" s="551">
        <f>SUM($B25:K25)</f>
        <v>154</v>
      </c>
      <c r="L51" s="551">
        <f>SUM($B25:L25)</f>
        <v>154</v>
      </c>
      <c r="M51" s="551">
        <f>SUM($B25:M25)</f>
        <v>154</v>
      </c>
      <c r="N51" s="551">
        <f>SUM($B25:N25)</f>
        <v>154</v>
      </c>
      <c r="O51" s="551">
        <f>SUM($B25:O25)</f>
        <v>154</v>
      </c>
      <c r="P51" s="551">
        <f>SUM($B25:P25)</f>
        <v>154</v>
      </c>
      <c r="Q51" s="551">
        <f>SUM($B25:Q25)</f>
        <v>156</v>
      </c>
      <c r="R51" s="551">
        <f>SUM($B25:R25)</f>
        <v>156</v>
      </c>
      <c r="S51" s="551">
        <f>SUM($B25:S25)</f>
        <v>156</v>
      </c>
      <c r="T51" s="551">
        <f>SUM($B25:T25)</f>
        <v>156</v>
      </c>
      <c r="U51" s="551">
        <f>SUM($B25:U25)</f>
        <v>156</v>
      </c>
      <c r="V51" s="552">
        <f>V25</f>
        <v>156</v>
      </c>
    </row>
    <row r="52" spans="1:22" s="547" customFormat="1" ht="19.5" customHeight="1">
      <c r="A52" s="550" t="s">
        <v>909</v>
      </c>
      <c r="B52" s="551">
        <f>SUM($B26:B26)</f>
        <v>0</v>
      </c>
      <c r="C52" s="551">
        <f>SUM($B26:C26)</f>
        <v>24</v>
      </c>
      <c r="D52" s="551">
        <f>SUM($B26:D26)</f>
        <v>24</v>
      </c>
      <c r="E52" s="551">
        <f>SUM($B26:E26)</f>
        <v>24</v>
      </c>
      <c r="F52" s="551">
        <f>SUM($B26:F26)</f>
        <v>24</v>
      </c>
      <c r="G52" s="551">
        <f>SUM($B26:G26)</f>
        <v>25</v>
      </c>
      <c r="H52" s="551">
        <f>SUM($B26:H26)</f>
        <v>25</v>
      </c>
      <c r="I52" s="551">
        <f>SUM($B26:I26)</f>
        <v>25</v>
      </c>
      <c r="J52" s="551">
        <f>SUM($B26:J26)</f>
        <v>25</v>
      </c>
      <c r="K52" s="551">
        <f>SUM($B26:K26)</f>
        <v>25</v>
      </c>
      <c r="L52" s="551">
        <f>SUM($B26:L26)</f>
        <v>25</v>
      </c>
      <c r="M52" s="551">
        <f>SUM($B26:M26)</f>
        <v>25</v>
      </c>
      <c r="N52" s="551">
        <f>SUM($B26:N26)</f>
        <v>25</v>
      </c>
      <c r="O52" s="551">
        <f>SUM($B26:O26)</f>
        <v>25</v>
      </c>
      <c r="P52" s="551">
        <f>SUM($B26:P26)</f>
        <v>25</v>
      </c>
      <c r="Q52" s="551">
        <f>SUM($B26:Q26)</f>
        <v>25</v>
      </c>
      <c r="R52" s="551">
        <f>SUM($B26:R26)</f>
        <v>25</v>
      </c>
      <c r="S52" s="551">
        <f>SUM($B26:S26)</f>
        <v>25</v>
      </c>
      <c r="T52" s="551">
        <f>SUM($B26:T26)</f>
        <v>25</v>
      </c>
      <c r="U52" s="551">
        <f>SUM($B26:U26)</f>
        <v>25</v>
      </c>
      <c r="V52" s="552">
        <f>V26</f>
        <v>25</v>
      </c>
    </row>
    <row r="53" spans="1:22" s="547" customFormat="1" ht="19.5" customHeight="1">
      <c r="A53" s="550" t="s">
        <v>328</v>
      </c>
      <c r="B53" s="551">
        <f>SUM($B30:B30)</f>
        <v>30</v>
      </c>
      <c r="C53" s="551">
        <f>SUM($B30:C30)</f>
        <v>75</v>
      </c>
      <c r="D53" s="551">
        <f>SUM($B30:D30)</f>
        <v>127</v>
      </c>
      <c r="E53" s="551">
        <f>SUM($B30:E30)</f>
        <v>127</v>
      </c>
      <c r="F53" s="551">
        <f>SUM($B30:F30)</f>
        <v>169</v>
      </c>
      <c r="G53" s="551">
        <f>SUM($B30:G30)</f>
        <v>169</v>
      </c>
      <c r="H53" s="551">
        <f>SUM($B30:H30)</f>
        <v>169</v>
      </c>
      <c r="I53" s="551">
        <f>SUM($B30:I30)</f>
        <v>169</v>
      </c>
      <c r="J53" s="551">
        <f>SUM($B30:J30)</f>
        <v>169</v>
      </c>
      <c r="K53" s="551">
        <f>SUM($B30:K30)</f>
        <v>169</v>
      </c>
      <c r="L53" s="551">
        <f>SUM($B30:L30)</f>
        <v>169</v>
      </c>
      <c r="M53" s="551">
        <f>SUM($B30:M30)</f>
        <v>169</v>
      </c>
      <c r="N53" s="551">
        <f>SUM($B30:N30)</f>
        <v>169</v>
      </c>
      <c r="O53" s="551">
        <f>SUM($B30:O30)</f>
        <v>169</v>
      </c>
      <c r="P53" s="551">
        <f>SUM($B30:P30)</f>
        <v>169</v>
      </c>
      <c r="Q53" s="551">
        <f>SUM($B30:Q30)</f>
        <v>169</v>
      </c>
      <c r="R53" s="551">
        <f>SUM($B30:R30)</f>
        <v>169</v>
      </c>
      <c r="S53" s="551">
        <f>SUM($B30:S30)</f>
        <v>169</v>
      </c>
      <c r="T53" s="551">
        <f>SUM($B30:T30)</f>
        <v>169</v>
      </c>
      <c r="U53" s="551">
        <f>SUM($B30:U30)</f>
        <v>169</v>
      </c>
      <c r="V53" s="552">
        <f>V30</f>
        <v>169</v>
      </c>
    </row>
    <row r="54" spans="1:22" s="547" customFormat="1" ht="19.2" customHeight="1">
      <c r="A54" s="550" t="s">
        <v>904</v>
      </c>
      <c r="B54" s="551">
        <f>SUM($B31:B31)</f>
        <v>2</v>
      </c>
      <c r="C54" s="551">
        <f>SUM($B31:C31)</f>
        <v>47</v>
      </c>
      <c r="D54" s="551">
        <f>SUM($B31:D31)</f>
        <v>99</v>
      </c>
      <c r="E54" s="551">
        <f>SUM($B31:E31)</f>
        <v>99</v>
      </c>
      <c r="F54" s="551">
        <f>SUM($B31:F31)</f>
        <v>141</v>
      </c>
      <c r="G54" s="551">
        <f>SUM($B31:G31)</f>
        <v>141</v>
      </c>
      <c r="H54" s="551">
        <f>SUM($B31:H31)</f>
        <v>141</v>
      </c>
      <c r="I54" s="551">
        <f>SUM($B31:I31)</f>
        <v>141</v>
      </c>
      <c r="J54" s="551">
        <f>SUM($B31:J31)</f>
        <v>141</v>
      </c>
      <c r="K54" s="551">
        <f>SUM($B31:K31)</f>
        <v>141</v>
      </c>
      <c r="L54" s="551">
        <f>SUM($B31:L31)</f>
        <v>141</v>
      </c>
      <c r="M54" s="551">
        <f>SUM($B31:M31)</f>
        <v>141</v>
      </c>
      <c r="N54" s="551">
        <f>SUM($B31:N31)</f>
        <v>141</v>
      </c>
      <c r="O54" s="551">
        <f>SUM($B31:O31)</f>
        <v>141</v>
      </c>
      <c r="P54" s="551">
        <f>SUM($B31:P31)</f>
        <v>141</v>
      </c>
      <c r="Q54" s="551">
        <f>SUM($B31:Q31)</f>
        <v>141</v>
      </c>
      <c r="R54" s="551">
        <f>SUM($B31:R31)</f>
        <v>141</v>
      </c>
      <c r="S54" s="551">
        <f>SUM($B31:S31)</f>
        <v>141</v>
      </c>
      <c r="T54" s="551">
        <f>SUM($B31:T31)</f>
        <v>141</v>
      </c>
      <c r="U54" s="551">
        <f>SUM($B31:U31)</f>
        <v>141</v>
      </c>
      <c r="V54" s="552">
        <f>V31</f>
        <v>141</v>
      </c>
    </row>
    <row r="55" spans="1:22" s="547" customFormat="1" ht="19.2" customHeight="1">
      <c r="A55" s="550" t="s">
        <v>910</v>
      </c>
      <c r="B55" s="551">
        <f>SUM($B32:B32)</f>
        <v>24</v>
      </c>
      <c r="C55" s="551">
        <f>SUM($B32:C32)</f>
        <v>24</v>
      </c>
      <c r="D55" s="551">
        <f>SUM($B32:D32)</f>
        <v>24</v>
      </c>
      <c r="E55" s="551">
        <f>SUM($B32:E32)</f>
        <v>24</v>
      </c>
      <c r="F55" s="551">
        <f>SUM($B32:F32)</f>
        <v>24</v>
      </c>
      <c r="G55" s="551">
        <f>SUM($B32:G32)</f>
        <v>24</v>
      </c>
      <c r="H55" s="551">
        <f>SUM($B32:H32)</f>
        <v>24</v>
      </c>
      <c r="I55" s="551">
        <f>SUM($B32:I32)</f>
        <v>24</v>
      </c>
      <c r="J55" s="551">
        <f>SUM($B32:J32)</f>
        <v>24</v>
      </c>
      <c r="K55" s="551">
        <f>SUM($B32:K32)</f>
        <v>24</v>
      </c>
      <c r="L55" s="551">
        <f>SUM($B32:L32)</f>
        <v>24</v>
      </c>
      <c r="M55" s="551">
        <f>SUM($B32:M32)</f>
        <v>24</v>
      </c>
      <c r="N55" s="551">
        <f>SUM($B32:N32)</f>
        <v>24</v>
      </c>
      <c r="O55" s="551">
        <f>SUM($B32:O32)</f>
        <v>24</v>
      </c>
      <c r="P55" s="551">
        <f>SUM($B32:P32)</f>
        <v>24</v>
      </c>
      <c r="Q55" s="551">
        <f>SUM($B32:Q32)</f>
        <v>24</v>
      </c>
      <c r="R55" s="551">
        <f>SUM($B32:R32)</f>
        <v>24</v>
      </c>
      <c r="S55" s="551">
        <f>SUM($B32:S32)</f>
        <v>24</v>
      </c>
      <c r="T55" s="551">
        <f>SUM($B32:T32)</f>
        <v>24</v>
      </c>
      <c r="U55" s="551">
        <f>SUM($B32:U32)</f>
        <v>24</v>
      </c>
      <c r="V55" s="552">
        <f>V32</f>
        <v>24</v>
      </c>
    </row>
    <row r="56" spans="1:22" s="547" customFormat="1" ht="19.5" customHeight="1">
      <c r="A56" s="544" t="s">
        <v>329</v>
      </c>
      <c r="B56" s="545">
        <f t="shared" ref="B56:C56" si="57">IF($V$24=0,"-",B53/$V$24)</f>
        <v>0.16042780748663102</v>
      </c>
      <c r="C56" s="545">
        <f t="shared" si="57"/>
        <v>0.40106951871657753</v>
      </c>
      <c r="D56" s="545">
        <f>IF($V$24=0,"-",D53/$V$24)</f>
        <v>0.67914438502673802</v>
      </c>
      <c r="E56" s="545">
        <f t="shared" ref="E56:U56" si="58">IF($V$24=0,"-",E53/$V$24)</f>
        <v>0.67914438502673802</v>
      </c>
      <c r="F56" s="545">
        <f t="shared" si="58"/>
        <v>0.90374331550802134</v>
      </c>
      <c r="G56" s="545">
        <f t="shared" si="58"/>
        <v>0.90374331550802134</v>
      </c>
      <c r="H56" s="545">
        <f t="shared" si="58"/>
        <v>0.90374331550802134</v>
      </c>
      <c r="I56" s="545">
        <f t="shared" si="58"/>
        <v>0.90374331550802134</v>
      </c>
      <c r="J56" s="545">
        <f t="shared" si="58"/>
        <v>0.90374331550802134</v>
      </c>
      <c r="K56" s="545">
        <f t="shared" si="58"/>
        <v>0.90374331550802134</v>
      </c>
      <c r="L56" s="545">
        <f t="shared" si="58"/>
        <v>0.90374331550802134</v>
      </c>
      <c r="M56" s="545">
        <f t="shared" si="58"/>
        <v>0.90374331550802134</v>
      </c>
      <c r="N56" s="545">
        <f t="shared" si="58"/>
        <v>0.90374331550802134</v>
      </c>
      <c r="O56" s="545">
        <f t="shared" si="58"/>
        <v>0.90374331550802134</v>
      </c>
      <c r="P56" s="545">
        <f t="shared" si="58"/>
        <v>0.90374331550802134</v>
      </c>
      <c r="Q56" s="545">
        <f t="shared" si="58"/>
        <v>0.90374331550802134</v>
      </c>
      <c r="R56" s="545">
        <f t="shared" si="58"/>
        <v>0.90374331550802134</v>
      </c>
      <c r="S56" s="545">
        <f t="shared" si="58"/>
        <v>0.90374331550802134</v>
      </c>
      <c r="T56" s="545">
        <f t="shared" si="58"/>
        <v>0.90374331550802134</v>
      </c>
      <c r="U56" s="545">
        <f t="shared" si="58"/>
        <v>0.90374331550802134</v>
      </c>
      <c r="V56" s="546">
        <f>IF($V$24=0,"-",V53/$V$24)</f>
        <v>0.90374331550802134</v>
      </c>
    </row>
    <row r="57" spans="1:22" s="547" customFormat="1" ht="19.5" customHeight="1">
      <c r="A57" s="544" t="s">
        <v>931</v>
      </c>
      <c r="B57" s="545">
        <f t="shared" ref="B57:C57" si="59">IF($V$25=0,"-",B54/$V$25)</f>
        <v>1.282051282051282E-2</v>
      </c>
      <c r="C57" s="545">
        <f t="shared" si="59"/>
        <v>0.30128205128205127</v>
      </c>
      <c r="D57" s="545">
        <f>IF($V$25=0,"-",D54/$V$25)</f>
        <v>0.63461538461538458</v>
      </c>
      <c r="E57" s="545">
        <f t="shared" ref="E57:T57" si="60">IF($V$25=0,"-",E54/$V$25)</f>
        <v>0.63461538461538458</v>
      </c>
      <c r="F57" s="545">
        <f t="shared" si="60"/>
        <v>0.90384615384615385</v>
      </c>
      <c r="G57" s="545">
        <f t="shared" si="60"/>
        <v>0.90384615384615385</v>
      </c>
      <c r="H57" s="545">
        <f t="shared" si="60"/>
        <v>0.90384615384615385</v>
      </c>
      <c r="I57" s="545">
        <f t="shared" si="60"/>
        <v>0.90384615384615385</v>
      </c>
      <c r="J57" s="545">
        <f t="shared" si="60"/>
        <v>0.90384615384615385</v>
      </c>
      <c r="K57" s="545">
        <f t="shared" si="60"/>
        <v>0.90384615384615385</v>
      </c>
      <c r="L57" s="545">
        <f t="shared" si="60"/>
        <v>0.90384615384615385</v>
      </c>
      <c r="M57" s="545">
        <f t="shared" si="60"/>
        <v>0.90384615384615385</v>
      </c>
      <c r="N57" s="545">
        <f t="shared" si="60"/>
        <v>0.90384615384615385</v>
      </c>
      <c r="O57" s="545">
        <f t="shared" si="60"/>
        <v>0.90384615384615385</v>
      </c>
      <c r="P57" s="545">
        <f t="shared" si="60"/>
        <v>0.90384615384615385</v>
      </c>
      <c r="Q57" s="545">
        <f t="shared" si="60"/>
        <v>0.90384615384615385</v>
      </c>
      <c r="R57" s="545">
        <f t="shared" si="60"/>
        <v>0.90384615384615385</v>
      </c>
      <c r="S57" s="545">
        <f t="shared" si="60"/>
        <v>0.90384615384615385</v>
      </c>
      <c r="T57" s="545">
        <f t="shared" si="60"/>
        <v>0.90384615384615385</v>
      </c>
      <c r="U57" s="545">
        <f>IF($V$25=0,"-",U54/$V$25)</f>
        <v>0.90384615384615385</v>
      </c>
      <c r="V57" s="601">
        <f>IF($V$25=0,"-",V54/$V$25)</f>
        <v>0.90384615384615385</v>
      </c>
    </row>
    <row r="58" spans="1:22" s="547" customFormat="1" ht="19.5" customHeight="1">
      <c r="A58" s="544" t="s">
        <v>932</v>
      </c>
      <c r="B58" s="545">
        <f t="shared" ref="B58:C58" si="61">IF($V$26=0,"-",B55/$V$26)</f>
        <v>0.96</v>
      </c>
      <c r="C58" s="545">
        <f t="shared" si="61"/>
        <v>0.96</v>
      </c>
      <c r="D58" s="545">
        <f>IF($V$26=0,"-",D55/$V$26)</f>
        <v>0.96</v>
      </c>
      <c r="E58" s="545">
        <f t="shared" ref="E58:U58" si="62">IF($V$26=0,"-",E55/$V$26)</f>
        <v>0.96</v>
      </c>
      <c r="F58" s="545">
        <f t="shared" si="62"/>
        <v>0.96</v>
      </c>
      <c r="G58" s="545">
        <f t="shared" si="62"/>
        <v>0.96</v>
      </c>
      <c r="H58" s="545">
        <f t="shared" si="62"/>
        <v>0.96</v>
      </c>
      <c r="I58" s="545">
        <f t="shared" si="62"/>
        <v>0.96</v>
      </c>
      <c r="J58" s="545">
        <f t="shared" si="62"/>
        <v>0.96</v>
      </c>
      <c r="K58" s="545">
        <f t="shared" si="62"/>
        <v>0.96</v>
      </c>
      <c r="L58" s="545">
        <f t="shared" si="62"/>
        <v>0.96</v>
      </c>
      <c r="M58" s="545">
        <f t="shared" si="62"/>
        <v>0.96</v>
      </c>
      <c r="N58" s="545">
        <f t="shared" si="62"/>
        <v>0.96</v>
      </c>
      <c r="O58" s="545">
        <f t="shared" si="62"/>
        <v>0.96</v>
      </c>
      <c r="P58" s="545">
        <f t="shared" si="62"/>
        <v>0.96</v>
      </c>
      <c r="Q58" s="545">
        <f t="shared" si="62"/>
        <v>0.96</v>
      </c>
      <c r="R58" s="545">
        <f t="shared" si="62"/>
        <v>0.96</v>
      </c>
      <c r="S58" s="545">
        <f t="shared" si="62"/>
        <v>0.96</v>
      </c>
      <c r="T58" s="545">
        <f t="shared" si="62"/>
        <v>0.96</v>
      </c>
      <c r="U58" s="545">
        <f t="shared" si="62"/>
        <v>0.96</v>
      </c>
      <c r="V58" s="601">
        <f>IF($V$26=0,"-",V55/$V$26)</f>
        <v>0.96</v>
      </c>
    </row>
    <row r="59" spans="1:22" s="547" customFormat="1" ht="19.5" customHeight="1">
      <c r="A59" s="548" t="s">
        <v>330</v>
      </c>
      <c r="B59" s="549">
        <f t="shared" ref="B59:C59" si="63">IF($V$24=0,"-",B50/$V$24)</f>
        <v>2.1390374331550801E-2</v>
      </c>
      <c r="C59" s="549">
        <f t="shared" si="63"/>
        <v>0.39037433155080214</v>
      </c>
      <c r="D59" s="549">
        <f>IF($V$24=0,"-",D50/$V$24)</f>
        <v>0.67914438502673802</v>
      </c>
      <c r="E59" s="549">
        <f t="shared" ref="E59:U59" si="64">IF($V$24=0,"-",E50/$V$24)</f>
        <v>0.67914438502673802</v>
      </c>
      <c r="F59" s="549">
        <f t="shared" si="64"/>
        <v>0.89839572192513373</v>
      </c>
      <c r="G59" s="549">
        <f t="shared" si="64"/>
        <v>0.98930481283422456</v>
      </c>
      <c r="H59" s="549">
        <f t="shared" si="64"/>
        <v>0.98930481283422456</v>
      </c>
      <c r="I59" s="549">
        <f t="shared" si="64"/>
        <v>0.98930481283422456</v>
      </c>
      <c r="J59" s="549">
        <f t="shared" si="64"/>
        <v>0.98930481283422456</v>
      </c>
      <c r="K59" s="549">
        <f t="shared" si="64"/>
        <v>0.98930481283422456</v>
      </c>
      <c r="L59" s="549">
        <f t="shared" si="64"/>
        <v>0.98930481283422456</v>
      </c>
      <c r="M59" s="549">
        <f t="shared" si="64"/>
        <v>0.98930481283422456</v>
      </c>
      <c r="N59" s="549">
        <f t="shared" si="64"/>
        <v>0.98930481283422456</v>
      </c>
      <c r="O59" s="549">
        <f t="shared" si="64"/>
        <v>0.98930481283422456</v>
      </c>
      <c r="P59" s="549">
        <f t="shared" si="64"/>
        <v>0.98930481283422456</v>
      </c>
      <c r="Q59" s="549">
        <f t="shared" si="64"/>
        <v>1</v>
      </c>
      <c r="R59" s="549">
        <f t="shared" si="64"/>
        <v>1</v>
      </c>
      <c r="S59" s="549">
        <f t="shared" si="64"/>
        <v>1</v>
      </c>
      <c r="T59" s="549">
        <f t="shared" si="64"/>
        <v>1</v>
      </c>
      <c r="U59" s="549">
        <f t="shared" si="64"/>
        <v>1</v>
      </c>
      <c r="V59" s="546">
        <f>IF($V$24=0,"-",V50/$V$24)</f>
        <v>1</v>
      </c>
    </row>
    <row r="60" spans="1:22" s="547" customFormat="1" ht="19.5" customHeight="1">
      <c r="A60" s="548" t="s">
        <v>906</v>
      </c>
      <c r="B60" s="549">
        <f t="shared" ref="B60:C60" si="65">IF($V$25=0,"-",B51/$V$25)</f>
        <v>1.282051282051282E-2</v>
      </c>
      <c r="C60" s="549">
        <f t="shared" si="65"/>
        <v>0.30128205128205127</v>
      </c>
      <c r="D60" s="549">
        <f>IF($V$25=0,"-",D51/$V$25)</f>
        <v>0.63461538461538458</v>
      </c>
      <c r="E60" s="549">
        <f t="shared" ref="E60:U60" si="66">IF($V$25=0,"-",E51/$V$25)</f>
        <v>0.63461538461538458</v>
      </c>
      <c r="F60" s="549">
        <f t="shared" si="66"/>
        <v>0.89743589743589747</v>
      </c>
      <c r="G60" s="549">
        <f t="shared" si="66"/>
        <v>0.98717948717948723</v>
      </c>
      <c r="H60" s="549">
        <f t="shared" si="66"/>
        <v>0.98717948717948723</v>
      </c>
      <c r="I60" s="549">
        <f t="shared" si="66"/>
        <v>0.98717948717948723</v>
      </c>
      <c r="J60" s="549">
        <f t="shared" si="66"/>
        <v>0.98717948717948723</v>
      </c>
      <c r="K60" s="549">
        <f t="shared" si="66"/>
        <v>0.98717948717948723</v>
      </c>
      <c r="L60" s="549">
        <f t="shared" si="66"/>
        <v>0.98717948717948723</v>
      </c>
      <c r="M60" s="549">
        <f t="shared" si="66"/>
        <v>0.98717948717948723</v>
      </c>
      <c r="N60" s="549">
        <f t="shared" si="66"/>
        <v>0.98717948717948723</v>
      </c>
      <c r="O60" s="549">
        <f t="shared" si="66"/>
        <v>0.98717948717948723</v>
      </c>
      <c r="P60" s="549">
        <f t="shared" si="66"/>
        <v>0.98717948717948723</v>
      </c>
      <c r="Q60" s="549">
        <f t="shared" si="66"/>
        <v>1</v>
      </c>
      <c r="R60" s="549">
        <f t="shared" si="66"/>
        <v>1</v>
      </c>
      <c r="S60" s="549">
        <f t="shared" si="66"/>
        <v>1</v>
      </c>
      <c r="T60" s="549">
        <f t="shared" si="66"/>
        <v>1</v>
      </c>
      <c r="U60" s="549">
        <f t="shared" si="66"/>
        <v>1</v>
      </c>
      <c r="V60" s="546">
        <f>IF($V$25=0,"-",V51/$V$25)</f>
        <v>1</v>
      </c>
    </row>
    <row r="61" spans="1:22" s="547" customFormat="1" ht="19.5" customHeight="1">
      <c r="A61" s="548" t="s">
        <v>912</v>
      </c>
      <c r="B61" s="549">
        <f t="shared" ref="B61:C61" si="67">IF($V$26=0,"-",B52/$V$26)</f>
        <v>0</v>
      </c>
      <c r="C61" s="549">
        <f t="shared" si="67"/>
        <v>0.96</v>
      </c>
      <c r="D61" s="549">
        <f>IF($V$26=0,"-",D52/$V$26)</f>
        <v>0.96</v>
      </c>
      <c r="E61" s="549">
        <f t="shared" ref="E61:U61" si="68">IF($V$26=0,"-",E52/$V$26)</f>
        <v>0.96</v>
      </c>
      <c r="F61" s="549">
        <f t="shared" si="68"/>
        <v>0.96</v>
      </c>
      <c r="G61" s="549">
        <f t="shared" si="68"/>
        <v>1</v>
      </c>
      <c r="H61" s="549">
        <f t="shared" si="68"/>
        <v>1</v>
      </c>
      <c r="I61" s="549">
        <f t="shared" si="68"/>
        <v>1</v>
      </c>
      <c r="J61" s="549">
        <f t="shared" si="68"/>
        <v>1</v>
      </c>
      <c r="K61" s="549">
        <f t="shared" si="68"/>
        <v>1</v>
      </c>
      <c r="L61" s="549">
        <f t="shared" si="68"/>
        <v>1</v>
      </c>
      <c r="M61" s="549">
        <f t="shared" si="68"/>
        <v>1</v>
      </c>
      <c r="N61" s="549">
        <f t="shared" si="68"/>
        <v>1</v>
      </c>
      <c r="O61" s="549">
        <f t="shared" si="68"/>
        <v>1</v>
      </c>
      <c r="P61" s="549">
        <f t="shared" si="68"/>
        <v>1</v>
      </c>
      <c r="Q61" s="549">
        <f t="shared" si="68"/>
        <v>1</v>
      </c>
      <c r="R61" s="549">
        <f t="shared" si="68"/>
        <v>1</v>
      </c>
      <c r="S61" s="549">
        <f t="shared" si="68"/>
        <v>1</v>
      </c>
      <c r="T61" s="549">
        <f t="shared" si="68"/>
        <v>1</v>
      </c>
      <c r="U61" s="549">
        <f t="shared" si="68"/>
        <v>1</v>
      </c>
      <c r="V61" s="546">
        <f>IF($V$26=0,"-",V52/$V$26)</f>
        <v>1</v>
      </c>
    </row>
    <row r="62" spans="1:22" ht="4.5" customHeight="1"/>
    <row r="63" spans="1:22" ht="24" customHeight="1">
      <c r="A63" s="1168" t="s">
        <v>933</v>
      </c>
      <c r="B63" s="1169"/>
      <c r="C63" s="1169"/>
      <c r="D63" s="1169"/>
      <c r="E63" s="1169"/>
      <c r="F63" s="1169"/>
      <c r="G63" s="1169"/>
      <c r="H63" s="1169"/>
      <c r="I63" s="1169"/>
      <c r="J63" s="1169"/>
      <c r="K63" s="1169"/>
      <c r="L63" s="1169"/>
      <c r="M63" s="1169"/>
      <c r="N63" s="1169"/>
      <c r="O63" s="1169"/>
      <c r="P63" s="1169"/>
      <c r="Q63" s="1169"/>
      <c r="R63" s="1169"/>
      <c r="S63" s="1169"/>
      <c r="T63" s="1169"/>
      <c r="U63" s="1169"/>
      <c r="V63" s="1169"/>
    </row>
    <row r="64" spans="1:22" ht="18" customHeight="1">
      <c r="A64" s="527" t="s">
        <v>313</v>
      </c>
      <c r="B64" s="528" cm="1">
        <f t="array" ref="B64">SUMPRODUCT((SVB!$R$2:$R$740&gt;=B311)*(SVB!$R$2:$R$740&lt;=B312)*(SVB!$B$2:$B$740="D1-041")*(ISNUMBER(SVB!$F$2:$F$740))*(SVB!$F$2:$F$740))</f>
        <v>139</v>
      </c>
      <c r="C64" s="528" cm="1">
        <f t="array" ref="C64">SUMPRODUCT((SVB!$R$2:$R$740&gt;=C311)*(SVB!$R$2:$R$740&lt;=C312)*(SVB!$B$2:$B$740="D1-041")*(ISNUMBER(SVB!$F$2:$F$740))*(SVB!$F$2:$F$740))</f>
        <v>0</v>
      </c>
      <c r="D64" s="528" cm="1">
        <f t="array" ref="D64">SUMPRODUCT((SVB!$R$2:$R$740&gt;=D311)*(SVB!$R$2:$R$740&lt;=D312)*(SVB!$B$2:$B$740="D1-041")*(ISNUMBER(SVB!$F$2:$F$740))*(SVB!$F$2:$F$740))</f>
        <v>12</v>
      </c>
      <c r="E64" s="528" cm="1">
        <f t="array" ref="E64">SUMPRODUCT((SVB!$R$2:$R$740&gt;=E311)*(SVB!$R$2:$R$740&lt;=E312)*(SVB!$B$2:$B$740="D1-041")*(ISNUMBER(SVB!$F$2:$F$740))*(SVB!$F$2:$F$740))</f>
        <v>53</v>
      </c>
      <c r="F64" s="528" cm="1">
        <f t="array" ref="F64">SUMPRODUCT((SVB!$R$2:$R$740&gt;=F311)*(SVB!$R$2:$R$740&lt;=F312)*(SVB!$B$2:$B$740="D1-041")*(ISNUMBER(SVB!$F$2:$F$740))*(SVB!$F$2:$F$740))</f>
        <v>60</v>
      </c>
      <c r="G64" s="528" cm="1">
        <f t="array" ref="G64">SUMPRODUCT((SVB!$R$2:$R$740&gt;=G311)*(SVB!$R$2:$R$740&lt;=G312)*(SVB!$B$2:$B$740="D1-041")*(ISNUMBER(SVB!$F$2:$F$740))*(SVB!$F$2:$F$740))</f>
        <v>224</v>
      </c>
      <c r="H64" s="528" cm="1">
        <f t="array" ref="H64">SUMPRODUCT((SVB!$R$2:$R$740&gt;=H311)*(SVB!$R$2:$R$740&lt;=H312)*(SVB!$B$2:$B$740="D1-041")*(ISNUMBER(SVB!$F$2:$F$740))*(SVB!$F$2:$F$740))</f>
        <v>49</v>
      </c>
      <c r="I64" s="528" cm="1">
        <f t="array" ref="I64">SUMPRODUCT((SVB!$R$2:$R$740&gt;=I311)*(SVB!$R$2:$R$740&lt;=I312)*(SVB!$B$2:$B$740="D1-041")*(ISNUMBER(SVB!$F$2:$F$740))*(SVB!$F$2:$F$740))</f>
        <v>50</v>
      </c>
      <c r="J64" s="528" cm="1">
        <f t="array" ref="J64">SUMPRODUCT((SVB!$R$2:$R$740&gt;=J311)*(SVB!$R$2:$R$740&lt;=J312)*(SVB!$B$2:$B$740="D1-041")*(ISNUMBER(SVB!$F$2:$F$740))*(SVB!$F$2:$F$740))</f>
        <v>31</v>
      </c>
      <c r="K64" s="528" cm="1">
        <f t="array" ref="K64">SUMPRODUCT((SVB!$R$2:$R$740&gt;=K311)*(SVB!$R$2:$R$740&lt;=K312)*(SVB!$B$2:$B$740="D1-041")*(ISNUMBER(SVB!$F$2:$F$740))*(SVB!$F$2:$F$740))</f>
        <v>86</v>
      </c>
      <c r="L64" s="528" cm="1">
        <f t="array" ref="L64">SUMPRODUCT((SVB!$R$2:$R$740&gt;=L311)*(SVB!$R$2:$R$740&lt;=L312)*(SVB!$B$2:$B$740="D1-041")*(ISNUMBER(SVB!$F$2:$F$740))*(SVB!$F$2:$F$740))</f>
        <v>0</v>
      </c>
      <c r="M64" s="528" cm="1">
        <f t="array" ref="M64">SUMPRODUCT((SVB!$R$2:$R$740&gt;=M311)*(SVB!$R$2:$R$740&lt;=M312)*(SVB!$B$2:$B$740="D1-041")*(ISNUMBER(SVB!$F$2:$F$740))*(SVB!$F$2:$F$740))</f>
        <v>0</v>
      </c>
      <c r="N64" s="528" cm="1">
        <f t="array" ref="N64">SUMPRODUCT((SVB!$R$2:$R$740&gt;=N311)*(SVB!$R$2:$R$740&lt;=N312)*(SVB!$B$2:$B$740="D1-041")*(ISNUMBER(SVB!$F$2:$F$740))*(SVB!$F$2:$F$740))</f>
        <v>0</v>
      </c>
      <c r="O64" s="528" cm="1">
        <f t="array" ref="O64">SUMPRODUCT((SVB!$R$2:$R$740&gt;=O311)*(SVB!$R$2:$R$740&lt;=O312)*(SVB!$B$2:$B$740="D1-041")*(ISNUMBER(SVB!$F$2:$F$740))*(SVB!$F$2:$F$740))</f>
        <v>0</v>
      </c>
      <c r="P64" s="528" cm="1">
        <f t="array" ref="P64">SUMPRODUCT((SVB!$R$2:$R$740&gt;=P311)*(SVB!$R$2:$R$740&lt;=P312)*(SVB!$B$2:$B$740="D1-041")*(ISNUMBER(SVB!$F$2:$F$740))*(SVB!$F$2:$F$740))</f>
        <v>0</v>
      </c>
      <c r="Q64" s="528" cm="1">
        <f t="array" ref="Q64">SUMPRODUCT((SVB!$R$2:$R$740&gt;=Q311)*(SVB!$R$2:$R$740&lt;=Q312)*(SVB!$B$2:$B$740="D1-041")*(ISNUMBER(SVB!$F$2:$F$740))*(SVB!$F$2:$F$740))</f>
        <v>6</v>
      </c>
      <c r="R64" s="528" cm="1">
        <f t="array" ref="R64">SUMPRODUCT((SVB!$R$2:$R$740&gt;=R311)*(SVB!$R$2:$R$740&lt;=R312)*(SVB!$B$2:$B$740="D1-041")*(ISNUMBER(SVB!$F$2:$F$740))*(SVB!$F$2:$F$740))</f>
        <v>0</v>
      </c>
      <c r="S64" s="528" cm="1">
        <f t="array" ref="S64">SUMPRODUCT((SVB!$R$2:$R$740&gt;=S311)*(SVB!$R$2:$R$740&lt;=S312)*(SVB!$B$2:$B$740="D1-041")*(ISNUMBER(SVB!$F$2:$F$740))*(SVB!$F$2:$F$740))</f>
        <v>0</v>
      </c>
      <c r="T64" s="528" cm="1">
        <f t="array" ref="T64">SUMPRODUCT((SVB!$R$2:$R$740&gt;=T311)*(SVB!$R$2:$R$740&lt;=T312)*(SVB!$B$2:$B$740="D1-041")*(ISNUMBER(SVB!$F$2:$F$740))*(SVB!$F$2:$F$740))</f>
        <v>0</v>
      </c>
      <c r="U64" s="528" cm="1">
        <f t="array" ref="U64">SUMPRODUCT((SVB!$R$2:$R$740&gt;=U311)*(SVB!$R$2:$R$740&lt;=U312)*(SVB!$B$2:$B$740="D1-041")*(ISNUMBER(SVB!$F$2:$F$740))*(SVB!$F$2:$F$740))</f>
        <v>0</v>
      </c>
      <c r="V64" s="529" cm="1">
        <f t="array" ref="V64">SUMPRODUCT((SVB!$B$2:$B$740="D1-041")*(ISNUMBER(SVB!$F$2:$F$740))*(SVB!$F$2:$F$740))</f>
        <v>710</v>
      </c>
    </row>
    <row r="65" spans="1:22" ht="18" customHeight="1">
      <c r="A65" s="527" t="s">
        <v>884</v>
      </c>
      <c r="B65" s="528" cm="1">
        <f t="array" ref="B65">SUMPRODUCT((SVB!$R$2:$R$740&gt;=B311)*(SVB!$R$2:$R$740&lt;=B312)*(SVB!$B$2:$B$740="D1-041")*(SVB!$K$2:$K$740="Switch")*(ISNUMBER(SVB!$F$2:$F$740))*(SVB!$F$2:$F$740))</f>
        <v>86</v>
      </c>
      <c r="C65" s="528" cm="1">
        <f t="array" ref="C65">SUMPRODUCT((SVB!$R$2:$R$740&gt;=C311)*(SVB!$R$2:$R$740&lt;=C312)*(SVB!$B$2:$B$740="D1-041")*(SVB!$K$2:$K$740="Switch")*(ISNUMBER(SVB!$F$2:$F$740))*(SVB!$F$2:$F$740))</f>
        <v>0</v>
      </c>
      <c r="D65" s="528" cm="1">
        <f t="array" ref="D65">SUMPRODUCT((SVB!$R$2:$R$740&gt;=D311)*(SVB!$R$2:$R$740&lt;=D312)*(SVB!$B$2:$B$740="D1-041")*(SVB!$K$2:$K$740="Switch")*(ISNUMBER(SVB!$F$2:$F$740))*(SVB!$F$2:$F$740))</f>
        <v>12</v>
      </c>
      <c r="E65" s="528" cm="1">
        <f t="array" ref="E65">SUMPRODUCT((SVB!$R$2:$R$740&gt;=E311)*(SVB!$R$2:$R$740&lt;=E312)*(SVB!$B$2:$B$740="D1-041")*(SVB!$K$2:$K$740="Switch")*(ISNUMBER(SVB!$F$2:$F$740))*(SVB!$F$2:$F$740))</f>
        <v>53</v>
      </c>
      <c r="F65" s="528" cm="1">
        <f t="array" ref="F65">SUMPRODUCT((SVB!$R$2:$R$740&gt;=F311)*(SVB!$R$2:$R$740&lt;=F312)*(SVB!$B$2:$B$740="D1-041")*(SVB!$K$2:$K$740="Switch")*(ISNUMBER(SVB!$F$2:$F$740))*(SVB!$F$2:$F$740))</f>
        <v>60</v>
      </c>
      <c r="G65" s="528" cm="1">
        <f t="array" ref="G65">SUMPRODUCT((SVB!$R$2:$R$740&gt;=G311)*(SVB!$R$2:$R$740&lt;=G312)*(SVB!$B$2:$B$740="D1-041")*(SVB!$K$2:$K$740="Switch")*(ISNUMBER(SVB!$F$2:$F$740))*(SVB!$F$2:$F$740))</f>
        <v>48</v>
      </c>
      <c r="H65" s="528" cm="1">
        <f t="array" ref="H65">SUMPRODUCT((SVB!$R$2:$R$740&gt;=H311)*(SVB!$R$2:$R$740&lt;=H312)*(SVB!$B$2:$B$740="D1-041")*(SVB!$K$2:$K$740="Switch")*(ISNUMBER(SVB!$F$2:$F$740))*(SVB!$F$2:$F$740))</f>
        <v>30</v>
      </c>
      <c r="I65" s="528" cm="1">
        <f t="array" ref="I65">SUMPRODUCT((SVB!$R$2:$R$740&gt;=I311)*(SVB!$R$2:$R$740&lt;=I312)*(SVB!$B$2:$B$740="D1-041")*(SVB!$K$2:$K$740="Switch")*(ISNUMBER(SVB!$F$2:$F$740))*(SVB!$F$2:$F$740))</f>
        <v>35</v>
      </c>
      <c r="J65" s="528" cm="1">
        <f t="array" ref="J65">SUMPRODUCT((SVB!$R$2:$R$740&gt;=J311)*(SVB!$R$2:$R$740&lt;=J312)*(SVB!$B$2:$B$740="D1-041")*(SVB!$K$2:$K$740="Switch")*(ISNUMBER(SVB!$F$2:$F$740))*(SVB!$F$2:$F$740))</f>
        <v>31</v>
      </c>
      <c r="K65" s="528" cm="1">
        <f t="array" ref="K65">SUMPRODUCT((SVB!$R$2:$R$740&gt;=K311)*(SVB!$R$2:$R$740&lt;=K312)*(SVB!$B$2:$B$740="D1-041")*(SVB!$K$2:$K$740="Switch")*(ISNUMBER(SVB!$F$2:$F$740))*(SVB!$F$2:$F$740))</f>
        <v>49</v>
      </c>
      <c r="L65" s="528" cm="1">
        <f t="array" ref="L65">SUMPRODUCT((SVB!$R$2:$R$740&gt;=L311)*(SVB!$R$2:$R$740&lt;=L312)*(SVB!$B$2:$B$740="D1-041")*(SVB!$K$2:$K$740="Switch")*(ISNUMBER(SVB!$F$2:$F$740))*(SVB!$F$2:$F$740))</f>
        <v>0</v>
      </c>
      <c r="M65" s="528" cm="1">
        <f t="array" ref="M65">SUMPRODUCT((SVB!$R$2:$R$740&gt;=M311)*(SVB!$R$2:$R$740&lt;=M312)*(SVB!$B$2:$B$740="D1-041")*(SVB!$K$2:$K$740="Switch")*(ISNUMBER(SVB!$F$2:$F$740))*(SVB!$F$2:$F$740))</f>
        <v>0</v>
      </c>
      <c r="N65" s="528" cm="1">
        <f t="array" ref="N65">SUMPRODUCT((SVB!$R$2:$R$740&gt;=N311)*(SVB!$R$2:$R$740&lt;=N312)*(SVB!$B$2:$B$740="D1-041")*(SVB!$K$2:$K$740="Switch")*(ISNUMBER(SVB!$F$2:$F$740))*(SVB!$F$2:$F$740))</f>
        <v>0</v>
      </c>
      <c r="O65" s="528" cm="1">
        <f t="array" ref="O65">SUMPRODUCT((SVB!$R$2:$R$740&gt;=O311)*(SVB!$R$2:$R$740&lt;=O312)*(SVB!$B$2:$B$740="D1-041")*(SVB!$K$2:$K$740="Switch")*(ISNUMBER(SVB!$F$2:$F$740))*(SVB!$F$2:$F$740))</f>
        <v>0</v>
      </c>
      <c r="P65" s="528" cm="1">
        <f t="array" ref="P65">SUMPRODUCT((SVB!$R$2:$R$740&gt;=P311)*(SVB!$R$2:$R$740&lt;=P312)*(SVB!$B$2:$B$740="D1-041")*(SVB!$K$2:$K$740="Switch")*(ISNUMBER(SVB!$F$2:$F$740))*(SVB!$F$2:$F$740))</f>
        <v>0</v>
      </c>
      <c r="Q65" s="528" cm="1">
        <f t="array" ref="Q65">SUMPRODUCT((SVB!$R$2:$R$740&gt;=Q311)*(SVB!$R$2:$R$740&lt;=Q312)*(SVB!$B$2:$B$740="D1-041")*(SVB!$K$2:$K$740="Switch")*(ISNUMBER(SVB!$F$2:$F$740))*(SVB!$F$2:$F$740))</f>
        <v>6</v>
      </c>
      <c r="R65" s="528" cm="1">
        <f t="array" ref="R65">SUMPRODUCT((SVB!$R$2:$R$740&gt;=R311)*(SVB!$R$2:$R$740&lt;=R312)*(SVB!$B$2:$B$740="D1-041")*(SVB!$K$2:$K$740="Switch")*(ISNUMBER(SVB!$F$2:$F$740))*(SVB!$F$2:$F$740))</f>
        <v>0</v>
      </c>
      <c r="S65" s="528" cm="1">
        <f t="array" ref="S65">SUMPRODUCT((SVB!$R$2:$R$740&gt;=S311)*(SVB!$R$2:$R$740&lt;=S312)*(SVB!$B$2:$B$740="D1-041")*(SVB!$K$2:$K$740="Switch")*(ISNUMBER(SVB!$F$2:$F$740))*(SVB!$F$2:$F$740))</f>
        <v>0</v>
      </c>
      <c r="T65" s="528" cm="1">
        <f t="array" ref="T65">SUMPRODUCT((SVB!$R$2:$R$740&gt;=T311)*(SVB!$R$2:$R$740&lt;=T312)*(SVB!$B$2:$B$740="D1-041")*(SVB!$K$2:$K$740="Switch")*(ISNUMBER(SVB!$F$2:$F$740))*(SVB!$F$2:$F$740))</f>
        <v>0</v>
      </c>
      <c r="U65" s="528" cm="1">
        <f t="array" ref="U65">SUMPRODUCT((SVB!$R$2:$R$740&gt;=U311)*(SVB!$R$2:$R$740&lt;=U312)*(SVB!$B$2:$B$740="D1-041")*(SVB!$K$2:$K$740="Switch")*(ISNUMBER(SVB!$F$2:$F$740))*(SVB!$F$2:$F$740))</f>
        <v>0</v>
      </c>
      <c r="V65" s="529" cm="1">
        <f t="array" ref="V65">SUMPRODUCT((SVB!$B$2:$B$740="D1-041")*(SVB!$K$2:$K$740="Switch")*(ISNUMBER(SVB!$F$2:$F$740))*(SVB!$F$2:$F$740))</f>
        <v>410</v>
      </c>
    </row>
    <row r="66" spans="1:22" ht="18" customHeight="1">
      <c r="A66" s="527" t="s">
        <v>887</v>
      </c>
      <c r="B66" s="528" cm="1">
        <f t="array" ref="B66">SUMPRODUCT((SVB!$R$2:$R$740&gt;=B311)*(SVB!$R$2:$R$740&lt;=B312)*(SVB!$B$2:$B$740="D1-041")*(SVB!$K$2:$K$740="AP")*(ISNUMBER(SVB!$F$2:$F$740))*(SVB!$F$2:$F$740))</f>
        <v>43</v>
      </c>
      <c r="C66" s="528" cm="1">
        <f t="array" ref="C66">SUMPRODUCT((SVB!$R$2:$R$740&gt;=C311)*(SVB!$R$2:$R$740&lt;=C312)*(SVB!$B$2:$B$740="D1-041")*(SVB!$K$2:$K$740="AP")*(ISNUMBER(SVB!$F$2:$F$740))*(SVB!$F$2:$F$740))</f>
        <v>0</v>
      </c>
      <c r="D66" s="528" cm="1">
        <f t="array" ref="D66">SUMPRODUCT((SVB!$R$2:$R$740&gt;=D311)*(SVB!$R$2:$R$740&lt;=D312)*(SVB!$B$2:$B$740="D1-041")*(SVB!$K$2:$K$740="AP")*(ISNUMBER(SVB!$F$2:$F$740))*(SVB!$F$2:$F$740))</f>
        <v>0</v>
      </c>
      <c r="E66" s="528" cm="1">
        <f t="array" ref="E66">SUMPRODUCT((SVB!$R$2:$R$740&gt;=E311)*(SVB!$R$2:$R$740&lt;=E312)*(SVB!$B$2:$B$740="D1-041")*(SVB!$K$2:$K$740="AP")*(ISNUMBER(SVB!$F$2:$F$740))*(SVB!$F$2:$F$740))</f>
        <v>0</v>
      </c>
      <c r="F66" s="528" cm="1">
        <f t="array" ref="F66">SUMPRODUCT((SVB!$R$2:$R$740&gt;=F311)*(SVB!$R$2:$R$740&lt;=F312)*(SVB!$B$2:$B$740="D1-041")*(SVB!$K$2:$K$740="AP")*(ISNUMBER(SVB!$F$2:$F$740))*(SVB!$F$2:$F$740))</f>
        <v>0</v>
      </c>
      <c r="G66" s="528" cm="1">
        <f t="array" ref="G66">SUMPRODUCT((SVB!$R$2:$R$740&gt;=G311)*(SVB!$R$2:$R$740&lt;=G312)*(SVB!$B$2:$B$740="D1-041")*(SVB!$K$2:$K$740="AP")*(ISNUMBER(SVB!$F$2:$F$740))*(SVB!$F$2:$F$740))</f>
        <v>176</v>
      </c>
      <c r="H66" s="528" cm="1">
        <f t="array" ref="H66">SUMPRODUCT((SVB!$R$2:$R$740&gt;=H311)*(SVB!$R$2:$R$740&lt;=H312)*(SVB!$B$2:$B$740="D1-041")*(SVB!$K$2:$K$740="AP")*(ISNUMBER(SVB!$F$2:$F$740))*(SVB!$F$2:$F$740))</f>
        <v>19</v>
      </c>
      <c r="I66" s="528" cm="1">
        <f t="array" ref="I66">SUMPRODUCT((SVB!$R$2:$R$740&gt;=I311)*(SVB!$R$2:$R$740&lt;=I312)*(SVB!$B$2:$B$740="D1-041")*(SVB!$K$2:$K$740="AP")*(ISNUMBER(SVB!$F$2:$F$740))*(SVB!$F$2:$F$740))</f>
        <v>15</v>
      </c>
      <c r="J66" s="528" cm="1">
        <f t="array" ref="J66">SUMPRODUCT((SVB!$R$2:$R$740&gt;=J311)*(SVB!$R$2:$R$740&lt;=J312)*(SVB!$B$2:$B$740="D1-041")*(SVB!$K$2:$K$740="AP")*(ISNUMBER(SVB!$F$2:$F$740))*(SVB!$F$2:$F$740))</f>
        <v>0</v>
      </c>
      <c r="K66" s="528" cm="1">
        <f t="array" ref="K66">SUMPRODUCT((SVB!$R$2:$R$740&gt;=K311)*(SVB!$R$2:$R$740&lt;=K312)*(SVB!$B$2:$B$740="D1-041")*(SVB!$K$2:$K$740="AP")*(ISNUMBER(SVB!$F$2:$F$740))*(SVB!$F$2:$F$740))</f>
        <v>37</v>
      </c>
      <c r="L66" s="528" cm="1">
        <f t="array" ref="L66">SUMPRODUCT((SVB!$R$2:$R$740&gt;=L311)*(SVB!$R$2:$R$740&lt;=L312)*(SVB!$B$2:$B$740="D1-041")*(SVB!$K$2:$K$740="AP")*(ISNUMBER(SVB!$F$2:$F$740))*(SVB!$F$2:$F$740))</f>
        <v>0</v>
      </c>
      <c r="M66" s="528" cm="1">
        <f t="array" ref="M66">SUMPRODUCT((SVB!$R$2:$R$740&gt;=M311)*(SVB!$R$2:$R$740&lt;=M312)*(SVB!$B$2:$B$740="D1-041")*(SVB!$K$2:$K$740="AP")*(ISNUMBER(SVB!$F$2:$F$740))*(SVB!$F$2:$F$740))</f>
        <v>0</v>
      </c>
      <c r="N66" s="528" cm="1">
        <f t="array" ref="N66">SUMPRODUCT((SVB!$R$2:$R$740&gt;=N311)*(SVB!$R$2:$R$740&lt;=N312)*(SVB!$B$2:$B$740="D1-041")*(SVB!$K$2:$K$740="AP")*(ISNUMBER(SVB!$F$2:$F$740))*(SVB!$F$2:$F$740))</f>
        <v>0</v>
      </c>
      <c r="O66" s="528" cm="1">
        <f t="array" ref="O66">SUMPRODUCT((SVB!$R$2:$R$740&gt;=O311)*(SVB!$R$2:$R$740&lt;=O312)*(SVB!$B$2:$B$740="D1-041")*(SVB!$K$2:$K$740="AP")*(ISNUMBER(SVB!$F$2:$F$740))*(SVB!$F$2:$F$740))</f>
        <v>0</v>
      </c>
      <c r="P66" s="528" cm="1">
        <f t="array" ref="P66">SUMPRODUCT((SVB!$R$2:$R$740&gt;=P311)*(SVB!$R$2:$R$740&lt;=P312)*(SVB!$B$2:$B$740="D1-041")*(SVB!$K$2:$K$740="AP")*(ISNUMBER(SVB!$F$2:$F$740))*(SVB!$F$2:$F$740))</f>
        <v>0</v>
      </c>
      <c r="Q66" s="528" cm="1">
        <f t="array" ref="Q66">SUMPRODUCT((SVB!$R$2:$R$740&gt;=Q311)*(SVB!$R$2:$R$740&lt;=Q312)*(SVB!$B$2:$B$740="D1-041")*(SVB!$K$2:$K$740="AP")*(ISNUMBER(SVB!$F$2:$F$740))*(SVB!$F$2:$F$740))</f>
        <v>0</v>
      </c>
      <c r="R66" s="528" cm="1">
        <f t="array" ref="R66">SUMPRODUCT((SVB!$R$2:$R$740&gt;=R311)*(SVB!$R$2:$R$740&lt;=R312)*(SVB!$B$2:$B$740="D1-041")*(SVB!$K$2:$K$740="AP")*(ISNUMBER(SVB!$F$2:$F$740))*(SVB!$F$2:$F$740))</f>
        <v>0</v>
      </c>
      <c r="S66" s="528" cm="1">
        <f t="array" ref="S66">SUMPRODUCT((SVB!$R$2:$R$740&gt;=S311)*(SVB!$R$2:$R$740&lt;=S312)*(SVB!$B$2:$B$740="D1-041")*(SVB!$K$2:$K$740="AP")*(ISNUMBER(SVB!$F$2:$F$740))*(SVB!$F$2:$F$740))</f>
        <v>0</v>
      </c>
      <c r="T66" s="528" cm="1">
        <f t="array" ref="T66">SUMPRODUCT((SVB!$R$2:$R$740&gt;=T311)*(SVB!$R$2:$R$740&lt;=T312)*(SVB!$B$2:$B$740="D1-041")*(SVB!$K$2:$K$740="AP")*(ISNUMBER(SVB!$F$2:$F$740))*(SVB!$F$2:$F$740))</f>
        <v>0</v>
      </c>
      <c r="U66" s="528" cm="1">
        <f t="array" ref="U66">SUMPRODUCT((SVB!$R$2:$R$740&gt;=U311)*(SVB!$R$2:$R$740&lt;=U312)*(SVB!$B$2:$B$740="D1-041")*(SVB!$K$2:$K$740="AP")*(ISNUMBER(SVB!$F$2:$F$740))*(SVB!$F$2:$F$740))</f>
        <v>0</v>
      </c>
      <c r="V66" s="529" cm="1">
        <f t="array" ref="V66">SUMPRODUCT((SVB!$B$2:$B$740="D1-041")*(SVB!$K$2:$K$740="AP")*(ISNUMBER(SVB!$F$2:$F$740))*(SVB!$F$2:$F$740))</f>
        <v>290</v>
      </c>
    </row>
    <row r="67" spans="1:22" ht="18" customHeight="1">
      <c r="A67" s="527" t="s">
        <v>922</v>
      </c>
      <c r="B67" s="528" cm="1">
        <f t="array" ref="B67">SUMPRODUCT((SVB!$R$2:$R$740&gt;=B311)*(SVB!$R$2:$R$740&lt;=B312)*(SVB!$B$2:$B$740="D1-041")*(SVB!$K$2:$K$740="Infra")*(ISNUMBER(SVB!$F$2:$F$740))*(SVB!$F$2:$F$740))</f>
        <v>10</v>
      </c>
      <c r="C67" s="528" cm="1">
        <f t="array" ref="C67">SUMPRODUCT((SVB!$R$2:$R$740&gt;=C311)*(SVB!$R$2:$R$740&lt;=C312)*(SVB!$B$2:$B$740="D1-041")*(SVB!$K$2:$K$740="Infra")*(ISNUMBER(SVB!$F$2:$F$740))*(SVB!$F$2:$F$740))</f>
        <v>0</v>
      </c>
      <c r="D67" s="528" cm="1">
        <f t="array" ref="D67">SUMPRODUCT((SVB!$R$2:$R$740&gt;=D311)*(SVB!$R$2:$R$740&lt;=D312)*(SVB!$B$2:$B$740="D1-041")*(SVB!$K$2:$K$740="Infra")*(ISNUMBER(SVB!$F$2:$F$740))*(SVB!$F$2:$F$740))</f>
        <v>0</v>
      </c>
      <c r="E67" s="528" cm="1">
        <f t="array" ref="E67">SUMPRODUCT((SVB!$R$2:$R$740&gt;=E311)*(SVB!$R$2:$R$740&lt;=E312)*(SVB!$B$2:$B$740="D1-041")*(SVB!$K$2:$K$740="Infra")*(ISNUMBER(SVB!$F$2:$F$740))*(SVB!$F$2:$F$740))</f>
        <v>0</v>
      </c>
      <c r="F67" s="528" cm="1">
        <f t="array" ref="F67">SUMPRODUCT((SVB!$R$2:$R$740&gt;=F311)*(SVB!$R$2:$R$740&lt;=F312)*(SVB!$B$2:$B$740="D1-041")*(SVB!$K$2:$K$740="Infra")*(ISNUMBER(SVB!$F$2:$F$740))*(SVB!$F$2:$F$740))</f>
        <v>0</v>
      </c>
      <c r="G67" s="528" cm="1">
        <f t="array" ref="G67">SUMPRODUCT((SVB!$R$2:$R$740&gt;=G311)*(SVB!$R$2:$R$740&lt;=G312)*(SVB!$B$2:$B$740="D1-041")*(SVB!$K$2:$K$740="Infra")*(ISNUMBER(SVB!$F$2:$F$740))*(SVB!$F$2:$F$740))</f>
        <v>0</v>
      </c>
      <c r="H67" s="528" cm="1">
        <f t="array" ref="H67">SUMPRODUCT((SVB!$R$2:$R$740&gt;=H311)*(SVB!$R$2:$R$740&lt;=H312)*(SVB!$B$2:$B$740="D1-041")*(SVB!$K$2:$K$740="Infra")*(ISNUMBER(SVB!$F$2:$F$740))*(SVB!$F$2:$F$740))</f>
        <v>0</v>
      </c>
      <c r="I67" s="528" cm="1">
        <f t="array" ref="I67">SUMPRODUCT((SVB!$R$2:$R$740&gt;=I311)*(SVB!$R$2:$R$740&lt;=I312)*(SVB!$B$2:$B$740="D1-041")*(SVB!$K$2:$K$740="Infra")*(ISNUMBER(SVB!$F$2:$F$740))*(SVB!$F$2:$F$740))</f>
        <v>0</v>
      </c>
      <c r="J67" s="528" cm="1">
        <f t="array" ref="J67">SUMPRODUCT((SVB!$R$2:$R$740&gt;=J311)*(SVB!$R$2:$R$740&lt;=J312)*(SVB!$B$2:$B$740="D1-041")*(SVB!$K$2:$K$740="Infra")*(ISNUMBER(SVB!$F$2:$F$740))*(SVB!$F$2:$F$740))</f>
        <v>0</v>
      </c>
      <c r="K67" s="528" cm="1">
        <f t="array" ref="K67">SUMPRODUCT((SVB!$R$2:$R$740&gt;=K311)*(SVB!$R$2:$R$740&lt;=K312)*(SVB!$B$2:$B$740="D1-041")*(SVB!$K$2:$K$740="Infra")*(ISNUMBER(SVB!$F$2:$F$740))*(SVB!$F$2:$F$740))</f>
        <v>0</v>
      </c>
      <c r="L67" s="528" cm="1">
        <f t="array" ref="L67">SUMPRODUCT((SVB!$R$2:$R$740&gt;=L311)*(SVB!$R$2:$R$740&lt;=L312)*(SVB!$B$2:$B$740="D1-041")*(SVB!$K$2:$K$740="Infra")*(ISNUMBER(SVB!$F$2:$F$740))*(SVB!$F$2:$F$740))</f>
        <v>0</v>
      </c>
      <c r="M67" s="528" cm="1">
        <f t="array" ref="M67">SUMPRODUCT((SVB!$R$2:$R$740&gt;=M311)*(SVB!$R$2:$R$740&lt;=M312)*(SVB!$B$2:$B$740="D1-041")*(SVB!$K$2:$K$740="Infra")*(ISNUMBER(SVB!$F$2:$F$740))*(SVB!$F$2:$F$740))</f>
        <v>0</v>
      </c>
      <c r="N67" s="528" cm="1">
        <f t="array" ref="N67">SUMPRODUCT((SVB!$R$2:$R$740&gt;=N311)*(SVB!$R$2:$R$740&lt;=N312)*(SVB!$B$2:$B$740="D1-041")*(SVB!$K$2:$K$740="Infra")*(ISNUMBER(SVB!$F$2:$F$740))*(SVB!$F$2:$F$740))</f>
        <v>0</v>
      </c>
      <c r="O67" s="528" cm="1">
        <f t="array" ref="O67">SUMPRODUCT((SVB!$R$2:$R$740&gt;=O311)*(SVB!$R$2:$R$740&lt;=O312)*(SVB!$B$2:$B$740="D1-041")*(SVB!$K$2:$K$740="Infra")*(ISNUMBER(SVB!$F$2:$F$740))*(SVB!$F$2:$F$740))</f>
        <v>0</v>
      </c>
      <c r="P67" s="528" cm="1">
        <f t="array" ref="P67">SUMPRODUCT((SVB!$R$2:$R$740&gt;=P311)*(SVB!$R$2:$R$740&lt;=P312)*(SVB!$B$2:$B$740="D1-041")*(SVB!$K$2:$K$740="Infra")*(ISNUMBER(SVB!$F$2:$F$740))*(SVB!$F$2:$F$740))</f>
        <v>0</v>
      </c>
      <c r="Q67" s="528" cm="1">
        <f t="array" ref="Q67">SUMPRODUCT((SVB!$R$2:$R$740&gt;=Q311)*(SVB!$R$2:$R$740&lt;=Q312)*(SVB!$B$2:$B$740="D1-041")*(SVB!$K$2:$K$740="Infra")*(ISNUMBER(SVB!$F$2:$F$740))*(SVB!$F$2:$F$740))</f>
        <v>0</v>
      </c>
      <c r="R67" s="528" cm="1">
        <f t="array" ref="R67">SUMPRODUCT((SVB!$R$2:$R$740&gt;=R311)*(SVB!$R$2:$R$740&lt;=R312)*(SVB!$B$2:$B$740="D1-041")*(SVB!$K$2:$K$740="Infra")*(ISNUMBER(SVB!$F$2:$F$740))*(SVB!$F$2:$F$740))</f>
        <v>0</v>
      </c>
      <c r="S67" s="528" cm="1">
        <f t="array" ref="S67">SUMPRODUCT((SVB!$R$2:$R$740&gt;=S311)*(SVB!$R$2:$R$740&lt;=S312)*(SVB!$B$2:$B$740="D1-041")*(SVB!$K$2:$K$740="Infra")*(ISNUMBER(SVB!$F$2:$F$740))*(SVB!$F$2:$F$740))</f>
        <v>0</v>
      </c>
      <c r="T67" s="528" cm="1">
        <f t="array" ref="T67">SUMPRODUCT((SVB!$R$2:$R$740&gt;=T311)*(SVB!$R$2:$R$740&lt;=T312)*(SVB!$B$2:$B$740="D1-041")*(SVB!$K$2:$K$740="Infra")*(ISNUMBER(SVB!$F$2:$F$740))*(SVB!$F$2:$F$740))</f>
        <v>0</v>
      </c>
      <c r="U67" s="528" cm="1">
        <f t="array" ref="U67">SUMPRODUCT((SVB!$R$2:$R$740&gt;=U311)*(SVB!$R$2:$R$740&lt;=U312)*(SVB!$B$2:$B$740="D1-041")*(SVB!$K$2:$K$740="Infra")*(ISNUMBER(SVB!$F$2:$F$740))*(SVB!$F$2:$F$740))</f>
        <v>0</v>
      </c>
      <c r="V67" s="529" cm="1">
        <f t="array" ref="V67">SUMPRODUCT((SVB!$B$2:$B$740="D1-041")*(SVB!$K$2:$K$740="Infra")*(ISNUMBER(SVB!$F$2:$F$740))*(SVB!$F$2:$F$740))</f>
        <v>10</v>
      </c>
    </row>
    <row r="68" spans="1:22" ht="18" customHeight="1">
      <c r="A68" s="442" t="s">
        <v>917</v>
      </c>
      <c r="B68" s="443" cm="1">
        <f t="array" ref="B68">SUMPRODUCT((SVB!$S$2:$S$740&gt;=B311)*(SVB!$S$2:$S$740&lt;=B312)*(SVB!$B$2:$B$740="D1-041")*(ISNUMBER(SVB!$M$2:$M$740))*(SVB!$M$2:$M$740))</f>
        <v>139</v>
      </c>
      <c r="C68" s="443" cm="1">
        <f t="array" ref="C68">SUMPRODUCT((SVB!$S$2:$S$740&gt;=C311)*(SVB!$S$2:$S$740&lt;=C312)*(SVB!$B$2:$B$740="D1-041")*(ISNUMBER(SVB!$M$2:$M$740))*(SVB!$M$2:$M$740))</f>
        <v>0</v>
      </c>
      <c r="D68" s="443" cm="1">
        <f t="array" ref="D68">SUMPRODUCT((SVB!$S$2:$S$740&gt;=D311)*(SVB!$S$2:$S$740&lt;=D312)*(SVB!$B$2:$B$740="D1-041")*(ISNUMBER(SVB!$M$2:$M$740))*(SVB!$M$2:$M$740))</f>
        <v>12</v>
      </c>
      <c r="E68" s="443" cm="1">
        <f t="array" ref="E68">SUMPRODUCT((SVB!$S$2:$S$740&gt;=E311)*(SVB!$S$2:$S$740&lt;=E312)*(SVB!$B$2:$B$740="D1-041")*(ISNUMBER(SVB!$M$2:$M$740))*(SVB!$M$2:$M$740))</f>
        <v>51</v>
      </c>
      <c r="F68" s="443" cm="1">
        <f t="array" ref="F68">SUMPRODUCT((SVB!$S$2:$S$740&gt;=F311)*(SVB!$S$2:$S$740&lt;=F312)*(SVB!$B$2:$B$740="D1-041")*(ISNUMBER(SVB!$M$2:$M$740))*(SVB!$M$2:$M$740))</f>
        <v>78</v>
      </c>
      <c r="G68" s="443" cm="1">
        <f t="array" ref="G68">SUMPRODUCT((SVB!$S$2:$S$740&gt;=G311)*(SVB!$S$2:$S$740&lt;=G312)*(SVB!$B$2:$B$740="D1-041")*(ISNUMBER(SVB!$M$2:$M$740))*(SVB!$M$2:$M$740))</f>
        <v>0</v>
      </c>
      <c r="H68" s="443" cm="1">
        <f t="array" ref="H68">SUMPRODUCT((SVB!$S$2:$S$740&gt;=H311)*(SVB!$S$2:$S$740&lt;=H312)*(SVB!$B$2:$B$740="D1-041")*(ISNUMBER(SVB!$M$2:$M$740))*(SVB!$M$2:$M$740))</f>
        <v>0</v>
      </c>
      <c r="I68" s="443" cm="1">
        <f t="array" ref="I68">SUMPRODUCT((SVB!$S$2:$S$740&gt;=I311)*(SVB!$S$2:$S$740&lt;=I312)*(SVB!$B$2:$B$740="D1-041")*(ISNUMBER(SVB!$M$2:$M$740))*(SVB!$M$2:$M$740))</f>
        <v>0</v>
      </c>
      <c r="J68" s="443" cm="1">
        <f t="array" ref="J68">SUMPRODUCT((SVB!$S$2:$S$740&gt;=J311)*(SVB!$S$2:$S$740&lt;=J312)*(SVB!$B$2:$B$740="D1-041")*(ISNUMBER(SVB!$M$2:$M$740))*(SVB!$M$2:$M$740))</f>
        <v>0</v>
      </c>
      <c r="K68" s="443" cm="1">
        <f t="array" ref="K68">SUMPRODUCT((SVB!$S$2:$S$740&gt;=K311)*(SVB!$S$2:$S$740&lt;=K312)*(SVB!$B$2:$B$740="D1-041")*(ISNUMBER(SVB!$M$2:$M$740))*(SVB!$M$2:$M$740))</f>
        <v>0</v>
      </c>
      <c r="L68" s="443" cm="1">
        <f t="array" ref="L68">SUMPRODUCT((SVB!$S$2:$S$740&gt;=L311)*(SVB!$S$2:$S$740&lt;=L312)*(SVB!$B$2:$B$740="D1-041")*(ISNUMBER(SVB!$M$2:$M$740))*(SVB!$M$2:$M$740))</f>
        <v>0</v>
      </c>
      <c r="M68" s="443" cm="1">
        <f t="array" ref="M68">SUMPRODUCT((SVB!$S$2:$S$740&gt;=M311)*(SVB!$S$2:$S$740&lt;=M312)*(SVB!$B$2:$B$740="D1-041")*(ISNUMBER(SVB!$M$2:$M$740))*(SVB!$M$2:$M$740))</f>
        <v>0</v>
      </c>
      <c r="N68" s="443" cm="1">
        <f t="array" ref="N68">SUMPRODUCT((SVB!$S$2:$S$740&gt;=N311)*(SVB!$S$2:$S$740&lt;=N312)*(SVB!$B$2:$B$740="D1-041")*(ISNUMBER(SVB!$M$2:$M$740))*(SVB!$M$2:$M$740))</f>
        <v>0</v>
      </c>
      <c r="O68" s="443" cm="1">
        <f t="array" ref="O68">SUMPRODUCT((SVB!$S$2:$S$740&gt;=O311)*(SVB!$S$2:$S$740&lt;=O312)*(SVB!$B$2:$B$740="D1-041")*(ISNUMBER(SVB!$M$2:$M$740))*(SVB!$M$2:$M$740))</f>
        <v>0</v>
      </c>
      <c r="P68" s="443" cm="1">
        <f t="array" ref="P68">SUMPRODUCT((SVB!$S$2:$S$740&gt;=P311)*(SVB!$S$2:$S$740&lt;=P312)*(SVB!$B$2:$B$740="D1-041")*(ISNUMBER(SVB!$M$2:$M$740))*(SVB!$M$2:$M$740))</f>
        <v>0</v>
      </c>
      <c r="Q68" s="443" cm="1">
        <f t="array" ref="Q68">SUMPRODUCT((SVB!$S$2:$S$740&gt;=Q311)*(SVB!$S$2:$S$740&lt;=Q312)*(SVB!$B$2:$B$740="D1-041")*(ISNUMBER(SVB!$M$2:$M$740))*(SVB!$M$2:$M$740))</f>
        <v>0</v>
      </c>
      <c r="R68" s="443" cm="1">
        <f t="array" ref="R68">SUMPRODUCT((SVB!$S$2:$S$740&gt;=R311)*(SVB!$S$2:$S$740&lt;=R312)*(SVB!$B$2:$B$740="D1-041")*(ISNUMBER(SVB!$M$2:$M$740))*(SVB!$M$2:$M$740))</f>
        <v>0</v>
      </c>
      <c r="S68" s="443" cm="1">
        <f t="array" ref="S68">SUMPRODUCT((SVB!$S$2:$S$740&gt;=S311)*(SVB!$S$2:$S$740&lt;=S312)*(SVB!$B$2:$B$740="D1-041")*(ISNUMBER(SVB!$M$2:$M$740))*(SVB!$M$2:$M$740))</f>
        <v>0</v>
      </c>
      <c r="T68" s="443" cm="1">
        <f t="array" ref="T68">SUMPRODUCT((SVB!$S$2:$S$740&gt;=T311)*(SVB!$S$2:$S$740&lt;=T312)*(SVB!$B$2:$B$740="D1-041")*(ISNUMBER(SVB!$M$2:$M$740))*(SVB!$M$2:$M$740))</f>
        <v>0</v>
      </c>
      <c r="U68" s="443" cm="1">
        <f t="array" ref="U68">SUMPRODUCT((SVB!$S$2:$S$740&gt;=U311)*(SVB!$S$2:$S$740&lt;=U312)*(SVB!$B$2:$B$740="D1-041")*(ISNUMBER(SVB!$M$2:$M$740))*(SVB!$M$2:$M$740))</f>
        <v>0</v>
      </c>
      <c r="V68" s="529">
        <f t="shared" ref="V68:V73" si="69">SUM(F68:U68)</f>
        <v>78</v>
      </c>
    </row>
    <row r="69" spans="1:22" ht="18" customHeight="1">
      <c r="A69" s="442" t="s">
        <v>918</v>
      </c>
      <c r="B69" s="443" cm="1">
        <f t="array" ref="B69">SUMPRODUCT((SVB!$S$2:$S$740&gt;=B311)*(SVB!$S$2:$S$740&lt;=B312)*(SVB!$B$2:$B$740="D1-041")*(ISNUMBER(SVB!$N$2:$N$740))*(SVB!$N$2:$N$740))</f>
        <v>139</v>
      </c>
      <c r="C69" s="443" cm="1">
        <f t="array" ref="C69">SUMPRODUCT((SVB!$S$2:$S$740&gt;=C311)*(SVB!$S$2:$S$740&lt;=C312)*(SVB!$B$2:$B$740="D1-041")*(ISNUMBER(SVB!$N$2:$N$740))*(SVB!$N$2:$N$740))</f>
        <v>0</v>
      </c>
      <c r="D69" s="443" cm="1">
        <f t="array" ref="D69">SUMPRODUCT((SVB!$S$2:$S$740&gt;=D311)*(SVB!$S$2:$S$740&lt;=D312)*(SVB!$B$2:$B$740="D1-041")*(ISNUMBER(SVB!$N$2:$N$740))*(SVB!$N$2:$N$740))</f>
        <v>12</v>
      </c>
      <c r="E69" s="443" cm="1">
        <f t="array" ref="E69">SUMPRODUCT((SVB!$S$2:$S$740&gt;=E311)*(SVB!$S$2:$S$740&lt;=E312)*(SVB!$B$2:$B$740="D1-041")*(ISNUMBER(SVB!$N$2:$N$740))*(SVB!$N$2:$N$740))</f>
        <v>51</v>
      </c>
      <c r="F69" s="443" cm="1">
        <f t="array" ref="F69">SUMPRODUCT((SVB!$S$2:$S$740&gt;=F311)*(SVB!$S$2:$S$740&lt;=F312)*(SVB!$B$2:$B$740="D1-041")*(ISNUMBER(SVB!$N$2:$N$740))*(SVB!$N$2:$N$740))</f>
        <v>78</v>
      </c>
      <c r="G69" s="443" cm="1">
        <f t="array" ref="G69">SUMPRODUCT((SVB!$S$2:$S$740&gt;=G311)*(SVB!$S$2:$S$740&lt;=G312)*(SVB!$B$2:$B$740="D1-041")*(ISNUMBER(SVB!$N$2:$N$740))*(SVB!$N$2:$N$740))</f>
        <v>0</v>
      </c>
      <c r="H69" s="443" cm="1">
        <f t="array" ref="H69">SUMPRODUCT((SVB!$S$2:$S$740&gt;=H311)*(SVB!$S$2:$S$740&lt;=H312)*(SVB!$B$2:$B$740="D1-041")*(ISNUMBER(SVB!$N$2:$N$740))*(SVB!$N$2:$N$740))</f>
        <v>0</v>
      </c>
      <c r="I69" s="443" cm="1">
        <f t="array" ref="I69">SUMPRODUCT((SVB!$S$2:$S$740&gt;=I311)*(SVB!$S$2:$S$740&lt;=I312)*(SVB!$B$2:$B$740="D1-041")*(ISNUMBER(SVB!$N$2:$N$740))*(SVB!$N$2:$N$740))</f>
        <v>0</v>
      </c>
      <c r="J69" s="443" cm="1">
        <f t="array" ref="J69">SUMPRODUCT((SVB!$S$2:$S$740&gt;=J311)*(SVB!$S$2:$S$740&lt;=J312)*(SVB!$B$2:$B$740="D1-041")*(ISNUMBER(SVB!$N$2:$N$740))*(SVB!$N$2:$N$740))</f>
        <v>0</v>
      </c>
      <c r="K69" s="443" cm="1">
        <f t="array" ref="K69">SUMPRODUCT((SVB!$S$2:$S$740&gt;=K311)*(SVB!$S$2:$S$740&lt;=K312)*(SVB!$B$2:$B$740="D1-041")*(ISNUMBER(SVB!$N$2:$N$740))*(SVB!$N$2:$N$740))</f>
        <v>0</v>
      </c>
      <c r="L69" s="443" cm="1">
        <f t="array" ref="L69">SUMPRODUCT((SVB!$S$2:$S$740&gt;=L311)*(SVB!$S$2:$S$740&lt;=L312)*(SVB!$B$2:$B$740="D1-041")*(ISNUMBER(SVB!$N$2:$N$740))*(SVB!$N$2:$N$740))</f>
        <v>0</v>
      </c>
      <c r="M69" s="443" cm="1">
        <f t="array" ref="M69">SUMPRODUCT((SVB!$S$2:$S$740&gt;=M311)*(SVB!$S$2:$S$740&lt;=M312)*(SVB!$B$2:$B$740="D1-041")*(ISNUMBER(SVB!$N$2:$N$740))*(SVB!$N$2:$N$740))</f>
        <v>0</v>
      </c>
      <c r="N69" s="443" cm="1">
        <f t="array" ref="N69">SUMPRODUCT((SVB!$S$2:$S$740&gt;=N311)*(SVB!$S$2:$S$740&lt;=N312)*(SVB!$B$2:$B$740="D1-041")*(ISNUMBER(SVB!$N$2:$N$740))*(SVB!$N$2:$N$740))</f>
        <v>0</v>
      </c>
      <c r="O69" s="443" cm="1">
        <f t="array" ref="O69">SUMPRODUCT((SVB!$S$2:$S$740&gt;=O311)*(SVB!$S$2:$S$740&lt;=O312)*(SVB!$B$2:$B$740="D1-041")*(ISNUMBER(SVB!$N$2:$N$740))*(SVB!$N$2:$N$740))</f>
        <v>0</v>
      </c>
      <c r="P69" s="443" cm="1">
        <f t="array" ref="P69">SUMPRODUCT((SVB!$S$2:$S$740&gt;=P311)*(SVB!$S$2:$S$740&lt;=P312)*(SVB!$B$2:$B$740="D1-041")*(ISNUMBER(SVB!$N$2:$N$740))*(SVB!$N$2:$N$740))</f>
        <v>0</v>
      </c>
      <c r="Q69" s="443" cm="1">
        <f t="array" ref="Q69">SUMPRODUCT((SVB!$S$2:$S$740&gt;=Q311)*(SVB!$S$2:$S$740&lt;=Q312)*(SVB!$B$2:$B$740="D1-041")*(ISNUMBER(SVB!$N$2:$N$740))*(SVB!$N$2:$N$740))</f>
        <v>0</v>
      </c>
      <c r="R69" s="443" cm="1">
        <f t="array" ref="R69">SUMPRODUCT((SVB!$S$2:$S$740&gt;=R311)*(SVB!$S$2:$S$740&lt;=R312)*(SVB!$B$2:$B$740="D1-041")*(ISNUMBER(SVB!$N$2:$N$740))*(SVB!$N$2:$N$740))</f>
        <v>0</v>
      </c>
      <c r="S69" s="443" cm="1">
        <f t="array" ref="S69">SUMPRODUCT((SVB!$S$2:$S$740&gt;=S311)*(SVB!$S$2:$S$740&lt;=S312)*(SVB!$B$2:$B$740="D1-041")*(ISNUMBER(SVB!$N$2:$N$740))*(SVB!$N$2:$N$740))</f>
        <v>0</v>
      </c>
      <c r="T69" s="443" cm="1">
        <f t="array" ref="T69">SUMPRODUCT((SVB!$S$2:$S$740&gt;=T311)*(SVB!$S$2:$S$740&lt;=T312)*(SVB!$B$2:$B$740="D1-041")*(ISNUMBER(SVB!$N$2:$N$740))*(SVB!$N$2:$N$740))</f>
        <v>0</v>
      </c>
      <c r="U69" s="443" cm="1">
        <f t="array" ref="U69">SUMPRODUCT((SVB!$S$2:$S$740&gt;=U311)*(SVB!$S$2:$S$740&lt;=U312)*(SVB!$B$2:$B$740="D1-041")*(ISNUMBER(SVB!$N$2:$N$740))*(SVB!$N$2:$N$740))</f>
        <v>0</v>
      </c>
      <c r="V69" s="529">
        <f t="shared" si="69"/>
        <v>78</v>
      </c>
    </row>
    <row r="70" spans="1:22" ht="18" customHeight="1">
      <c r="A70" s="442" t="s">
        <v>919</v>
      </c>
      <c r="B70" s="443" cm="1">
        <f t="array" ref="B70">SUMPRODUCT((SVB!$S$2:$S$740&gt;=B311)*(SVB!$S$2:$S$740&lt;=B312)*(SVB!$B$2:$B$740="D1-041")*(ISNUMBER(SVB!$O$2:$O$740))*(SVB!$O$2:$O$740))</f>
        <v>139</v>
      </c>
      <c r="C70" s="443" cm="1">
        <f t="array" ref="C70">SUMPRODUCT((SVB!$S$2:$S$740&gt;=C311)*(SVB!$S$2:$S$740&lt;=C312)*(SVB!$B$2:$B$740="D1-041")*(ISNUMBER(SVB!$O$2:$O$740))*(SVB!$O$2:$O$740))</f>
        <v>0</v>
      </c>
      <c r="D70" s="443" cm="1">
        <f t="array" ref="D70">SUMPRODUCT((SVB!$S$2:$S$740&gt;=D311)*(SVB!$S$2:$S$740&lt;=D312)*(SVB!$B$2:$B$740="D1-041")*(ISNUMBER(SVB!$O$2:$O$740))*(SVB!$O$2:$O$740))</f>
        <v>12</v>
      </c>
      <c r="E70" s="443" cm="1">
        <f t="array" ref="E70">SUMPRODUCT((SVB!$S$2:$S$740&gt;=E311)*(SVB!$S$2:$S$740&lt;=E312)*(SVB!$B$2:$B$740="D1-041")*(ISNUMBER(SVB!$O$2:$O$740))*(SVB!$O$2:$O$740))</f>
        <v>51</v>
      </c>
      <c r="F70" s="443" cm="1">
        <f t="array" ref="F70">SUMPRODUCT((SVB!$S$2:$S$740&gt;=F311)*(SVB!$S$2:$S$740&lt;=F312)*(SVB!$B$2:$B$740="D1-041")*(ISNUMBER(SVB!$O$2:$O$740))*(SVB!$O$2:$O$740))</f>
        <v>78</v>
      </c>
      <c r="G70" s="443" cm="1">
        <f t="array" ref="G70">SUMPRODUCT((SVB!$S$2:$S$740&gt;=G311)*(SVB!$S$2:$S$740&lt;=G312)*(SVB!$B$2:$B$740="D1-041")*(ISNUMBER(SVB!$O$2:$O$740))*(SVB!$O$2:$O$740))</f>
        <v>0</v>
      </c>
      <c r="H70" s="443" cm="1">
        <f t="array" ref="H70">SUMPRODUCT((SVB!$S$2:$S$740&gt;=H311)*(SVB!$S$2:$S$740&lt;=H312)*(SVB!$B$2:$B$740="D1-041")*(ISNUMBER(SVB!$O$2:$O$740))*(SVB!$O$2:$O$740))</f>
        <v>0</v>
      </c>
      <c r="I70" s="443" cm="1">
        <f t="array" ref="I70">SUMPRODUCT((SVB!$S$2:$S$740&gt;=I311)*(SVB!$S$2:$S$740&lt;=I312)*(SVB!$B$2:$B$740="D1-041")*(ISNUMBER(SVB!$O$2:$O$740))*(SVB!$O$2:$O$740))</f>
        <v>0</v>
      </c>
      <c r="J70" s="443" cm="1">
        <f t="array" ref="J70">SUMPRODUCT((SVB!$S$2:$S$740&gt;=J311)*(SVB!$S$2:$S$740&lt;=J312)*(SVB!$B$2:$B$740="D1-041")*(ISNUMBER(SVB!$O$2:$O$740))*(SVB!$O$2:$O$740))</f>
        <v>0</v>
      </c>
      <c r="K70" s="443" cm="1">
        <f t="array" ref="K70">SUMPRODUCT((SVB!$S$2:$S$740&gt;=K311)*(SVB!$S$2:$S$740&lt;=K312)*(SVB!$B$2:$B$740="D1-041")*(ISNUMBER(SVB!$O$2:$O$740))*(SVB!$O$2:$O$740))</f>
        <v>0</v>
      </c>
      <c r="L70" s="443" cm="1">
        <f t="array" ref="L70">SUMPRODUCT((SVB!$S$2:$S$740&gt;=L311)*(SVB!$S$2:$S$740&lt;=L312)*(SVB!$B$2:$B$740="D1-041")*(ISNUMBER(SVB!$O$2:$O$740))*(SVB!$O$2:$O$740))</f>
        <v>0</v>
      </c>
      <c r="M70" s="443" cm="1">
        <f t="array" ref="M70">SUMPRODUCT((SVB!$S$2:$S$740&gt;=M311)*(SVB!$S$2:$S$740&lt;=M312)*(SVB!$B$2:$B$740="D1-041")*(ISNUMBER(SVB!$O$2:$O$740))*(SVB!$O$2:$O$740))</f>
        <v>0</v>
      </c>
      <c r="N70" s="443" cm="1">
        <f t="array" ref="N70">SUMPRODUCT((SVB!$S$2:$S$740&gt;=N311)*(SVB!$S$2:$S$740&lt;=N312)*(SVB!$B$2:$B$740="D1-041")*(ISNUMBER(SVB!$O$2:$O$740))*(SVB!$O$2:$O$740))</f>
        <v>0</v>
      </c>
      <c r="O70" s="443" cm="1">
        <f t="array" ref="O70">SUMPRODUCT((SVB!$S$2:$S$740&gt;=O311)*(SVB!$S$2:$S$740&lt;=O312)*(SVB!$B$2:$B$740="D1-041")*(ISNUMBER(SVB!$O$2:$O$740))*(SVB!$O$2:$O$740))</f>
        <v>0</v>
      </c>
      <c r="P70" s="443" cm="1">
        <f t="array" ref="P70">SUMPRODUCT((SVB!$S$2:$S$740&gt;=P311)*(SVB!$S$2:$S$740&lt;=P312)*(SVB!$B$2:$B$740="D1-041")*(ISNUMBER(SVB!$O$2:$O$740))*(SVB!$O$2:$O$740))</f>
        <v>0</v>
      </c>
      <c r="Q70" s="443" cm="1">
        <f t="array" ref="Q70">SUMPRODUCT((SVB!$S$2:$S$740&gt;=Q311)*(SVB!$S$2:$S$740&lt;=Q312)*(SVB!$B$2:$B$740="D1-041")*(ISNUMBER(SVB!$O$2:$O$740))*(SVB!$O$2:$O$740))</f>
        <v>0</v>
      </c>
      <c r="R70" s="443" cm="1">
        <f t="array" ref="R70">SUMPRODUCT((SVB!$S$2:$S$740&gt;=R311)*(SVB!$S$2:$S$740&lt;=R312)*(SVB!$B$2:$B$740="D1-041")*(ISNUMBER(SVB!$O$2:$O$740))*(SVB!$O$2:$O$740))</f>
        <v>0</v>
      </c>
      <c r="S70" s="443" cm="1">
        <f t="array" ref="S70">SUMPRODUCT((SVB!$S$2:$S$740&gt;=S311)*(SVB!$S$2:$S$740&lt;=S312)*(SVB!$B$2:$B$740="D1-041")*(ISNUMBER(SVB!$O$2:$O$740))*(SVB!$O$2:$O$740))</f>
        <v>0</v>
      </c>
      <c r="T70" s="443" cm="1">
        <f t="array" ref="T70">SUMPRODUCT((SVB!$S$2:$S$740&gt;=T311)*(SVB!$S$2:$S$740&lt;=T312)*(SVB!$B$2:$B$740="D1-041")*(ISNUMBER(SVB!$O$2:$O$740))*(SVB!$O$2:$O$740))</f>
        <v>0</v>
      </c>
      <c r="U70" s="443" cm="1">
        <f t="array" ref="U70">SUMPRODUCT((SVB!$S$2:$S$740&gt;=U311)*(SVB!$S$2:$S$740&lt;=U312)*(SVB!$B$2:$B$740="D1-041")*(ISNUMBER(SVB!$O$2:$O$740))*(SVB!$O$2:$O$740))</f>
        <v>0</v>
      </c>
      <c r="V70" s="529">
        <f t="shared" si="69"/>
        <v>78</v>
      </c>
    </row>
    <row r="71" spans="1:22" ht="18" customHeight="1">
      <c r="A71" s="442" t="s">
        <v>923</v>
      </c>
      <c r="B71" s="443" cm="1">
        <f t="array" ref="B71">SUMPRODUCT((SVB!$S$2:$S$740&gt;=B311)*(SVB!$S$2:$S$740&lt;=B312)*(SVB!$B$2:$B$740="D1-041")*(SVB!$K$2:$K$740="Switch")*(ISNUMBER(SVB!$O$2:$O$740))*(SVB!$O$2:$O$740))</f>
        <v>86</v>
      </c>
      <c r="C71" s="443" cm="1">
        <f t="array" ref="C71">SUMPRODUCT((SVB!$S$2:$S$740&gt;=C311)*(SVB!$S$2:$S$740&lt;=C312)*(SVB!$B$2:$B$740="D1-041")*(SVB!$K$2:$K$740="Switch")*(ISNUMBER(SVB!$O$2:$O$740))*(SVB!$O$2:$O$740))</f>
        <v>0</v>
      </c>
      <c r="D71" s="443" cm="1">
        <f t="array" ref="D71">SUMPRODUCT((SVB!$S$2:$S$740&gt;=D311)*(SVB!$S$2:$S$740&lt;=D312)*(SVB!$B$2:$B$740="D1-041")*(SVB!$K$2:$K$740="Switch")*(ISNUMBER(SVB!$O$2:$O$740))*(SVB!$O$2:$O$740))</f>
        <v>12</v>
      </c>
      <c r="E71" s="443" cm="1">
        <f t="array" ref="E71">SUMPRODUCT((SVB!$S$2:$S$740&gt;=E311)*(SVB!$S$2:$S$740&lt;=E312)*(SVB!$B$2:$B$740="D1-041")*(SVB!$K$2:$K$740="Switch")*(ISNUMBER(SVB!$O$2:$O$740))*(SVB!$O$2:$O$740))</f>
        <v>51</v>
      </c>
      <c r="F71" s="443" cm="1">
        <f t="array" ref="F71">SUMPRODUCT((SVB!$S$2:$S$740&gt;=F311)*(SVB!$S$2:$S$740&lt;=F312)*(SVB!$B$2:$B$740="D1-041")*(SVB!$K$2:$K$740="Switch")*(ISNUMBER(SVB!$O$2:$O$740))*(SVB!$O$2:$O$740))</f>
        <v>78</v>
      </c>
      <c r="G71" s="443" cm="1">
        <f t="array" ref="G71">SUMPRODUCT((SVB!$S$2:$S$740&gt;=G311)*(SVB!$S$2:$S$740&lt;=G312)*(SVB!$B$2:$B$740="D1-041")*(SVB!$K$2:$K$740="Switch")*(ISNUMBER(SVB!$O$2:$O$740))*(SVB!$O$2:$O$740))</f>
        <v>0</v>
      </c>
      <c r="H71" s="443" cm="1">
        <f t="array" ref="H71">SUMPRODUCT((SVB!$S$2:$S$740&gt;=H311)*(SVB!$S$2:$S$740&lt;=H312)*(SVB!$B$2:$B$740="D1-041")*(SVB!$K$2:$K$740="Switch")*(ISNUMBER(SVB!$O$2:$O$740))*(SVB!$O$2:$O$740))</f>
        <v>0</v>
      </c>
      <c r="I71" s="443" cm="1">
        <f t="array" ref="I71">SUMPRODUCT((SVB!$S$2:$S$740&gt;=I311)*(SVB!$S$2:$S$740&lt;=I312)*(SVB!$B$2:$B$740="D1-041")*(SVB!$K$2:$K$740="Switch")*(ISNUMBER(SVB!$O$2:$O$740))*(SVB!$O$2:$O$740))</f>
        <v>0</v>
      </c>
      <c r="J71" s="443" cm="1">
        <f t="array" ref="J71">SUMPRODUCT((SVB!$S$2:$S$740&gt;=J311)*(SVB!$S$2:$S$740&lt;=J312)*(SVB!$B$2:$B$740="D1-041")*(SVB!$K$2:$K$740="Switch")*(ISNUMBER(SVB!$O$2:$O$740))*(SVB!$O$2:$O$740))</f>
        <v>0</v>
      </c>
      <c r="K71" s="443" cm="1">
        <f t="array" ref="K71">SUMPRODUCT((SVB!$S$2:$S$740&gt;=K311)*(SVB!$S$2:$S$740&lt;=K312)*(SVB!$B$2:$B$740="D1-041")*(SVB!$K$2:$K$740="Switch")*(ISNUMBER(SVB!$O$2:$O$740))*(SVB!$O$2:$O$740))</f>
        <v>0</v>
      </c>
      <c r="L71" s="443" cm="1">
        <f t="array" ref="L71">SUMPRODUCT((SVB!$S$2:$S$740&gt;=L311)*(SVB!$S$2:$S$740&lt;=L312)*(SVB!$B$2:$B$740="D1-041")*(SVB!$K$2:$K$740="Switch")*(ISNUMBER(SVB!$O$2:$O$740))*(SVB!$O$2:$O$740))</f>
        <v>0</v>
      </c>
      <c r="M71" s="443" cm="1">
        <f t="array" ref="M71">SUMPRODUCT((SVB!$S$2:$S$740&gt;=M311)*(SVB!$S$2:$S$740&lt;=M312)*(SVB!$B$2:$B$740="D1-041")*(SVB!$K$2:$K$740="Switch")*(ISNUMBER(SVB!$O$2:$O$740))*(SVB!$O$2:$O$740))</f>
        <v>0</v>
      </c>
      <c r="N71" s="443" cm="1">
        <f t="array" ref="N71">SUMPRODUCT((SVB!$S$2:$S$740&gt;=N311)*(SVB!$S$2:$S$740&lt;=N312)*(SVB!$B$2:$B$740="D1-041")*(SVB!$K$2:$K$740="Switch")*(ISNUMBER(SVB!$O$2:$O$740))*(SVB!$O$2:$O$740))</f>
        <v>0</v>
      </c>
      <c r="O71" s="443" cm="1">
        <f t="array" ref="O71">SUMPRODUCT((SVB!$S$2:$S$740&gt;=O311)*(SVB!$S$2:$S$740&lt;=O312)*(SVB!$B$2:$B$740="D1-041")*(SVB!$K$2:$K$740="Switch")*(ISNUMBER(SVB!$O$2:$O$740))*(SVB!$O$2:$O$740))</f>
        <v>0</v>
      </c>
      <c r="P71" s="443" cm="1">
        <f t="array" ref="P71">SUMPRODUCT((SVB!$S$2:$S$740&gt;=P311)*(SVB!$S$2:$S$740&lt;=P312)*(SVB!$B$2:$B$740="D1-041")*(SVB!$K$2:$K$740="Switch")*(ISNUMBER(SVB!$O$2:$O$740))*(SVB!$O$2:$O$740))</f>
        <v>0</v>
      </c>
      <c r="Q71" s="443" cm="1">
        <f t="array" ref="Q71">SUMPRODUCT((SVB!$S$2:$S$740&gt;=Q311)*(SVB!$S$2:$S$740&lt;=Q312)*(SVB!$B$2:$B$740="D1-041")*(SVB!$K$2:$K$740="Switch")*(ISNUMBER(SVB!$O$2:$O$740))*(SVB!$O$2:$O$740))</f>
        <v>0</v>
      </c>
      <c r="R71" s="443" cm="1">
        <f t="array" ref="R71">SUMPRODUCT((SVB!$S$2:$S$740&gt;=R311)*(SVB!$S$2:$S$740&lt;=R312)*(SVB!$B$2:$B$740="D1-041")*(SVB!$K$2:$K$740="Switch")*(ISNUMBER(SVB!$O$2:$O$740))*(SVB!$O$2:$O$740))</f>
        <v>0</v>
      </c>
      <c r="S71" s="443" cm="1">
        <f t="array" ref="S71">SUMPRODUCT((SVB!$S$2:$S$740&gt;=S311)*(SVB!$S$2:$S$740&lt;=S312)*(SVB!$B$2:$B$740="D1-041")*(SVB!$K$2:$K$740="Switch")*(ISNUMBER(SVB!$O$2:$O$740))*(SVB!$O$2:$O$740))</f>
        <v>0</v>
      </c>
      <c r="T71" s="443" cm="1">
        <f t="array" ref="T71">SUMPRODUCT((SVB!$S$2:$S$740&gt;=T311)*(SVB!$S$2:$S$740&lt;=T312)*(SVB!$B$2:$B$740="D1-041")*(SVB!$K$2:$K$740="Switch")*(ISNUMBER(SVB!$O$2:$O$740))*(SVB!$O$2:$O$740))</f>
        <v>0</v>
      </c>
      <c r="U71" s="443" cm="1">
        <f t="array" ref="U71">SUMPRODUCT((SVB!$S$2:$S$740&gt;=U311)*(SVB!$S$2:$S$740&lt;=U312)*(SVB!$B$2:$B$740="D1-041")*(SVB!$K$2:$K$740="Switch")*(ISNUMBER(SVB!$O$2:$O$740))*(SVB!$O$2:$O$740))</f>
        <v>0</v>
      </c>
      <c r="V71" s="529">
        <f t="shared" si="69"/>
        <v>78</v>
      </c>
    </row>
    <row r="72" spans="1:22" ht="18" customHeight="1">
      <c r="A72" s="442" t="s">
        <v>924</v>
      </c>
      <c r="B72" s="443" cm="1">
        <f t="array" ref="B72">SUMPRODUCT((SVB!$S$2:$S$740&gt;=B311)*(SVB!$S$2:$S$740&lt;=B312)*(SVB!$B$2:$B$740="D1-041")*(SVB!$K$2:$K$740="AP")*(ISNUMBER(SVB!$O$2:$O$740))*(SVB!$O$2:$O$740))</f>
        <v>43</v>
      </c>
      <c r="C72" s="443" cm="1">
        <f t="array" ref="C72">SUMPRODUCT((SVB!$S$2:$S$740&gt;=C311)*(SVB!$S$2:$S$740&lt;=C312)*(SVB!$B$2:$B$740="D1-041")*(SVB!$K$2:$K$740="AP")*(ISNUMBER(SVB!$O$2:$O$740))*(SVB!$O$2:$O$740))</f>
        <v>0</v>
      </c>
      <c r="D72" s="443" cm="1">
        <f t="array" ref="D72">SUMPRODUCT((SVB!$S$2:$S$740&gt;=D311)*(SVB!$S$2:$S$740&lt;=D312)*(SVB!$B$2:$B$740="D1-041")*(SVB!$K$2:$K$740="AP")*(ISNUMBER(SVB!$O$2:$O$740))*(SVB!$O$2:$O$740))</f>
        <v>0</v>
      </c>
      <c r="E72" s="443" cm="1">
        <f t="array" ref="E72">SUMPRODUCT((SVB!$S$2:$S$740&gt;=E311)*(SVB!$S$2:$S$740&lt;=E312)*(SVB!$B$2:$B$740="D1-041")*(SVB!$K$2:$K$740="AP")*(ISNUMBER(SVB!$O$2:$O$740))*(SVB!$O$2:$O$740))</f>
        <v>0</v>
      </c>
      <c r="F72" s="443" cm="1">
        <f t="array" ref="F72">SUMPRODUCT((SVB!$S$2:$S$740&gt;=F311)*(SVB!$S$2:$S$740&lt;=F312)*(SVB!$B$2:$B$740="D1-041")*(SVB!$K$2:$K$740="AP")*(ISNUMBER(SVB!$O$2:$O$740))*(SVB!$O$2:$O$740))</f>
        <v>0</v>
      </c>
      <c r="G72" s="443" cm="1">
        <f t="array" ref="G72">SUMPRODUCT((SVB!$S$2:$S$740&gt;=G311)*(SVB!$S$2:$S$740&lt;=G312)*(SVB!$B$2:$B$740="D1-041")*(SVB!$K$2:$K$740="AP")*(ISNUMBER(SVB!$O$2:$O$740))*(SVB!$O$2:$O$740))</f>
        <v>0</v>
      </c>
      <c r="H72" s="443" cm="1">
        <f t="array" ref="H72">SUMPRODUCT((SVB!$S$2:$S$740&gt;=H311)*(SVB!$S$2:$S$740&lt;=H312)*(SVB!$B$2:$B$740="D1-041")*(SVB!$K$2:$K$740="AP")*(ISNUMBER(SVB!$O$2:$O$740))*(SVB!$O$2:$O$740))</f>
        <v>0</v>
      </c>
      <c r="I72" s="443" cm="1">
        <f t="array" ref="I72">SUMPRODUCT((SVB!$S$2:$S$740&gt;=I311)*(SVB!$S$2:$S$740&lt;=I312)*(SVB!$B$2:$B$740="D1-041")*(SVB!$K$2:$K$740="AP")*(ISNUMBER(SVB!$O$2:$O$740))*(SVB!$O$2:$O$740))</f>
        <v>0</v>
      </c>
      <c r="J72" s="443" cm="1">
        <f t="array" ref="J72">SUMPRODUCT((SVB!$S$2:$S$740&gt;=J311)*(SVB!$S$2:$S$740&lt;=J312)*(SVB!$B$2:$B$740="D1-041")*(SVB!$K$2:$K$740="AP")*(ISNUMBER(SVB!$O$2:$O$740))*(SVB!$O$2:$O$740))</f>
        <v>0</v>
      </c>
      <c r="K72" s="443" cm="1">
        <f t="array" ref="K72">SUMPRODUCT((SVB!$S$2:$S$740&gt;=K311)*(SVB!$S$2:$S$740&lt;=K312)*(SVB!$B$2:$B$740="D1-041")*(SVB!$K$2:$K$740="AP")*(ISNUMBER(SVB!$O$2:$O$740))*(SVB!$O$2:$O$740))</f>
        <v>0</v>
      </c>
      <c r="L72" s="443" cm="1">
        <f t="array" ref="L72">SUMPRODUCT((SVB!$S$2:$S$740&gt;=L311)*(SVB!$S$2:$S$740&lt;=L312)*(SVB!$B$2:$B$740="D1-041")*(SVB!$K$2:$K$740="AP")*(ISNUMBER(SVB!$O$2:$O$740))*(SVB!$O$2:$O$740))</f>
        <v>0</v>
      </c>
      <c r="M72" s="443" cm="1">
        <f t="array" ref="M72">SUMPRODUCT((SVB!$S$2:$S$740&gt;=M311)*(SVB!$S$2:$S$740&lt;=M312)*(SVB!$B$2:$B$740="D1-041")*(SVB!$K$2:$K$740="AP")*(ISNUMBER(SVB!$O$2:$O$740))*(SVB!$O$2:$O$740))</f>
        <v>0</v>
      </c>
      <c r="N72" s="443" cm="1">
        <f t="array" ref="N72">SUMPRODUCT((SVB!$S$2:$S$740&gt;=N311)*(SVB!$S$2:$S$740&lt;=N312)*(SVB!$B$2:$B$740="D1-041")*(SVB!$K$2:$K$740="AP")*(ISNUMBER(SVB!$O$2:$O$740))*(SVB!$O$2:$O$740))</f>
        <v>0</v>
      </c>
      <c r="O72" s="443" cm="1">
        <f t="array" ref="O72">SUMPRODUCT((SVB!$S$2:$S$740&gt;=O311)*(SVB!$S$2:$S$740&lt;=O312)*(SVB!$B$2:$B$740="D1-041")*(SVB!$K$2:$K$740="AP")*(ISNUMBER(SVB!$O$2:$O$740))*(SVB!$O$2:$O$740))</f>
        <v>0</v>
      </c>
      <c r="P72" s="443" cm="1">
        <f t="array" ref="P72">SUMPRODUCT((SVB!$S$2:$S$740&gt;=P311)*(SVB!$S$2:$S$740&lt;=P312)*(SVB!$B$2:$B$740="D1-041")*(SVB!$K$2:$K$740="AP")*(ISNUMBER(SVB!$O$2:$O$740))*(SVB!$O$2:$O$740))</f>
        <v>0</v>
      </c>
      <c r="Q72" s="443" cm="1">
        <f t="array" ref="Q72">SUMPRODUCT((SVB!$S$2:$S$740&gt;=Q311)*(SVB!$S$2:$S$740&lt;=Q312)*(SVB!$B$2:$B$740="D1-041")*(SVB!$K$2:$K$740="AP")*(ISNUMBER(SVB!$O$2:$O$740))*(SVB!$O$2:$O$740))</f>
        <v>0</v>
      </c>
      <c r="R72" s="443" cm="1">
        <f t="array" ref="R72">SUMPRODUCT((SVB!$S$2:$S$740&gt;=R311)*(SVB!$S$2:$S$740&lt;=R312)*(SVB!$B$2:$B$740="D1-041")*(SVB!$K$2:$K$740="AP")*(ISNUMBER(SVB!$O$2:$O$740))*(SVB!$O$2:$O$740))</f>
        <v>0</v>
      </c>
      <c r="S72" s="443" cm="1">
        <f t="array" ref="S72">SUMPRODUCT((SVB!$S$2:$S$740&gt;=S311)*(SVB!$S$2:$S$740&lt;=S312)*(SVB!$B$2:$B$740="D1-041")*(SVB!$K$2:$K$740="AP")*(ISNUMBER(SVB!$O$2:$O$740))*(SVB!$O$2:$O$740))</f>
        <v>0</v>
      </c>
      <c r="T72" s="443" cm="1">
        <f t="array" ref="T72">SUMPRODUCT((SVB!$S$2:$S$740&gt;=T311)*(SVB!$S$2:$S$740&lt;=T312)*(SVB!$B$2:$B$740="D1-041")*(SVB!$K$2:$K$740="AP")*(ISNUMBER(SVB!$O$2:$O$740))*(SVB!$O$2:$O$740))</f>
        <v>0</v>
      </c>
      <c r="U72" s="443" cm="1">
        <f t="array" ref="U72">SUMPRODUCT((SVB!$S$2:$S$740&gt;=U311)*(SVB!$S$2:$S$740&lt;=U312)*(SVB!$B$2:$B$740="D1-041")*(SVB!$K$2:$K$740="AP")*(ISNUMBER(SVB!$O$2:$O$740))*(SVB!$O$2:$O$740))</f>
        <v>0</v>
      </c>
      <c r="V72" s="529">
        <f t="shared" si="69"/>
        <v>0</v>
      </c>
    </row>
    <row r="73" spans="1:22" ht="18" customHeight="1">
      <c r="A73" s="442" t="s">
        <v>925</v>
      </c>
      <c r="B73" s="443" cm="1">
        <f t="array" ref="B73">SUMPRODUCT((SVB!$S$2:$S$740&gt;=B311)*(SVB!$S$2:$S$740&lt;=B312)*(SVB!$B$2:$B$740="D1-041")*(SVB!$K$2:$K$740="Infra")*(ISNUMBER(SVB!$O$2:$O$740))*(SVB!$O$2:$O$740))</f>
        <v>10</v>
      </c>
      <c r="C73" s="443" cm="1">
        <f t="array" ref="C73">SUMPRODUCT((SVB!$S$2:$S$740&gt;=C311)*(SVB!$S$2:$S$740&lt;=C312)*(SVB!$B$2:$B$740="D1-041")*(SVB!$K$2:$K$740="Infra")*(ISNUMBER(SVB!$O$2:$O$740))*(SVB!$O$2:$O$740))</f>
        <v>0</v>
      </c>
      <c r="D73" s="443" cm="1">
        <f t="array" ref="D73">SUMPRODUCT((SVB!$S$2:$S$740&gt;=D311)*(SVB!$S$2:$S$740&lt;=D312)*(SVB!$B$2:$B$740="D1-041")*(SVB!$K$2:$K$740="Infra")*(ISNUMBER(SVB!$O$2:$O$740))*(SVB!$O$2:$O$740))</f>
        <v>0</v>
      </c>
      <c r="E73" s="443" cm="1">
        <f t="array" ref="E73">SUMPRODUCT((SVB!$S$2:$S$740&gt;=E311)*(SVB!$S$2:$S$740&lt;=E312)*(SVB!$B$2:$B$740="D1-041")*(SVB!$K$2:$K$740="Infra")*(ISNUMBER(SVB!$O$2:$O$740))*(SVB!$O$2:$O$740))</f>
        <v>0</v>
      </c>
      <c r="F73" s="443" cm="1">
        <f t="array" ref="F73">SUMPRODUCT((SVB!$S$2:$S$740&gt;=F311)*(SVB!$S$2:$S$740&lt;=F312)*(SVB!$B$2:$B$740="D1-041")*(SVB!$K$2:$K$740="Infra")*(ISNUMBER(SVB!$O$2:$O$740))*(SVB!$O$2:$O$740))</f>
        <v>0</v>
      </c>
      <c r="G73" s="443" cm="1">
        <f t="array" ref="G73">SUMPRODUCT((SVB!$S$2:$S$740&gt;=G311)*(SVB!$S$2:$S$740&lt;=G312)*(SVB!$B$2:$B$740="D1-041")*(SVB!$K$2:$K$740="Infra")*(ISNUMBER(SVB!$O$2:$O$740))*(SVB!$O$2:$O$740))</f>
        <v>0</v>
      </c>
      <c r="H73" s="443" cm="1">
        <f t="array" ref="H73">SUMPRODUCT((SVB!$S$2:$S$740&gt;=H311)*(SVB!$S$2:$S$740&lt;=H312)*(SVB!$B$2:$B$740="D1-041")*(SVB!$K$2:$K$740="Infra")*(ISNUMBER(SVB!$O$2:$O$740))*(SVB!$O$2:$O$740))</f>
        <v>0</v>
      </c>
      <c r="I73" s="443" cm="1">
        <f t="array" ref="I73">SUMPRODUCT((SVB!$S$2:$S$740&gt;=I311)*(SVB!$S$2:$S$740&lt;=I312)*(SVB!$B$2:$B$740="D1-041")*(SVB!$K$2:$K$740="Infra")*(ISNUMBER(SVB!$O$2:$O$740))*(SVB!$O$2:$O$740))</f>
        <v>0</v>
      </c>
      <c r="J73" s="443" cm="1">
        <f t="array" ref="J73">SUMPRODUCT((SVB!$S$2:$S$740&gt;=J311)*(SVB!$S$2:$S$740&lt;=J312)*(SVB!$B$2:$B$740="D1-041")*(SVB!$K$2:$K$740="Infra")*(ISNUMBER(SVB!$O$2:$O$740))*(SVB!$O$2:$O$740))</f>
        <v>0</v>
      </c>
      <c r="K73" s="443" cm="1">
        <f t="array" ref="K73">SUMPRODUCT((SVB!$S$2:$S$740&gt;=K311)*(SVB!$S$2:$S$740&lt;=K312)*(SVB!$B$2:$B$740="D1-041")*(SVB!$K$2:$K$740="Infra")*(ISNUMBER(SVB!$O$2:$O$740))*(SVB!$O$2:$O$740))</f>
        <v>0</v>
      </c>
      <c r="L73" s="443" cm="1">
        <f t="array" ref="L73">SUMPRODUCT((SVB!$S$2:$S$740&gt;=L311)*(SVB!$S$2:$S$740&lt;=L312)*(SVB!$B$2:$B$740="D1-041")*(SVB!$K$2:$K$740="Infra")*(ISNUMBER(SVB!$O$2:$O$740))*(SVB!$O$2:$O$740))</f>
        <v>0</v>
      </c>
      <c r="M73" s="443" cm="1">
        <f t="array" ref="M73">SUMPRODUCT((SVB!$S$2:$S$740&gt;=M311)*(SVB!$S$2:$S$740&lt;=M312)*(SVB!$B$2:$B$740="D1-041")*(SVB!$K$2:$K$740="Infra")*(ISNUMBER(SVB!$O$2:$O$740))*(SVB!$O$2:$O$740))</f>
        <v>0</v>
      </c>
      <c r="N73" s="443" cm="1">
        <f t="array" ref="N73">SUMPRODUCT((SVB!$S$2:$S$740&gt;=N311)*(SVB!$S$2:$S$740&lt;=N312)*(SVB!$B$2:$B$740="D1-041")*(SVB!$K$2:$K$740="Infra")*(ISNUMBER(SVB!$O$2:$O$740))*(SVB!$O$2:$O$740))</f>
        <v>0</v>
      </c>
      <c r="O73" s="443" cm="1">
        <f t="array" ref="O73">SUMPRODUCT((SVB!$S$2:$S$740&gt;=O311)*(SVB!$S$2:$S$740&lt;=O312)*(SVB!$B$2:$B$740="D1-041")*(SVB!$K$2:$K$740="Infra")*(ISNUMBER(SVB!$O$2:$O$740))*(SVB!$O$2:$O$740))</f>
        <v>0</v>
      </c>
      <c r="P73" s="443" cm="1">
        <f t="array" ref="P73">SUMPRODUCT((SVB!$S$2:$S$740&gt;=P311)*(SVB!$S$2:$S$740&lt;=P312)*(SVB!$B$2:$B$740="D1-041")*(SVB!$K$2:$K$740="Infra")*(ISNUMBER(SVB!$O$2:$O$740))*(SVB!$O$2:$O$740))</f>
        <v>0</v>
      </c>
      <c r="Q73" s="443" cm="1">
        <f t="array" ref="Q73">SUMPRODUCT((SVB!$S$2:$S$740&gt;=Q311)*(SVB!$S$2:$S$740&lt;=Q312)*(SVB!$B$2:$B$740="D1-041")*(SVB!$K$2:$K$740="Infra")*(ISNUMBER(SVB!$O$2:$O$740))*(SVB!$O$2:$O$740))</f>
        <v>0</v>
      </c>
      <c r="R73" s="443" cm="1">
        <f t="array" ref="R73">SUMPRODUCT((SVB!$S$2:$S$740&gt;=R311)*(SVB!$S$2:$S$740&lt;=R312)*(SVB!$B$2:$B$740="D1-041")*(SVB!$K$2:$K$740="Infra")*(ISNUMBER(SVB!$O$2:$O$740))*(SVB!$O$2:$O$740))</f>
        <v>0</v>
      </c>
      <c r="S73" s="443" cm="1">
        <f t="array" ref="S73">SUMPRODUCT((SVB!$S$2:$S$740&gt;=S311)*(SVB!$S$2:$S$740&lt;=S312)*(SVB!$B$2:$B$740="D1-041")*(SVB!$K$2:$K$740="Infra")*(ISNUMBER(SVB!$O$2:$O$740))*(SVB!$O$2:$O$740))</f>
        <v>0</v>
      </c>
      <c r="T73" s="443" cm="1">
        <f t="array" ref="T73">SUMPRODUCT((SVB!$S$2:$S$740&gt;=T311)*(SVB!$S$2:$S$740&lt;=T312)*(SVB!$B$2:$B$740="D1-041")*(SVB!$K$2:$K$740="Infra")*(ISNUMBER(SVB!$O$2:$O$740))*(SVB!$O$2:$O$740))</f>
        <v>0</v>
      </c>
      <c r="U73" s="443" cm="1">
        <f t="array" ref="U73">SUMPRODUCT((SVB!$S$2:$S$740&gt;=U311)*(SVB!$S$2:$S$740&lt;=U312)*(SVB!$B$2:$B$740="D1-041")*(SVB!$K$2:$K$740="Infra")*(ISNUMBER(SVB!$O$2:$O$740))*(SVB!$O$2:$O$740))</f>
        <v>0</v>
      </c>
      <c r="V73" s="529">
        <f t="shared" si="69"/>
        <v>0</v>
      </c>
    </row>
    <row r="74" spans="1:22" s="547" customFormat="1" ht="19.5" customHeight="1">
      <c r="A74" s="550" t="s">
        <v>322</v>
      </c>
      <c r="B74" s="551">
        <f>MAX(B70-B64,0)</f>
        <v>0</v>
      </c>
      <c r="C74" s="551">
        <f t="shared" ref="C74" si="70">MAX(C70-C64,0)</f>
        <v>0</v>
      </c>
      <c r="D74" s="551">
        <f t="shared" ref="D74" si="71">MAX(D70-D64,0)</f>
        <v>0</v>
      </c>
      <c r="E74" s="551">
        <f t="shared" ref="E74" si="72">MAX(E70-E64,0)</f>
        <v>0</v>
      </c>
      <c r="F74" s="551">
        <f t="shared" ref="F74" si="73">MAX(F70-F64,0)</f>
        <v>18</v>
      </c>
      <c r="G74" s="551">
        <f t="shared" ref="G74" si="74">MAX(G70-G64,0)</f>
        <v>0</v>
      </c>
      <c r="H74" s="551">
        <f t="shared" ref="H74" si="75">MAX(H70-H64,0)</f>
        <v>0</v>
      </c>
      <c r="I74" s="551">
        <f t="shared" ref="I74" si="76">MAX(I70-I64,0)</f>
        <v>0</v>
      </c>
      <c r="J74" s="551">
        <f t="shared" ref="J74" si="77">MAX(J70-J64,0)</f>
        <v>0</v>
      </c>
      <c r="K74" s="551">
        <f t="shared" ref="K74" si="78">MAX(K70-K64,0)</f>
        <v>0</v>
      </c>
      <c r="L74" s="551">
        <f t="shared" ref="L74" si="79">MAX(L70-L64,0)</f>
        <v>0</v>
      </c>
      <c r="M74" s="551">
        <f t="shared" ref="M74" si="80">MAX(M70-M64,0)</f>
        <v>0</v>
      </c>
      <c r="N74" s="551">
        <f t="shared" ref="N74" si="81">MAX(N70-N64,0)</f>
        <v>0</v>
      </c>
      <c r="O74" s="551">
        <f t="shared" ref="O74" si="82">MAX(O70-O64,0)</f>
        <v>0</v>
      </c>
      <c r="P74" s="551">
        <f t="shared" ref="P74" si="83">MAX(P70-P64,0)</f>
        <v>0</v>
      </c>
      <c r="Q74" s="551">
        <f t="shared" ref="Q74:U74" si="84">MAX(Q70-Q64,0)</f>
        <v>0</v>
      </c>
      <c r="R74" s="551">
        <f t="shared" si="84"/>
        <v>0</v>
      </c>
      <c r="S74" s="551">
        <f t="shared" si="84"/>
        <v>0</v>
      </c>
      <c r="T74" s="551">
        <f t="shared" si="84"/>
        <v>0</v>
      </c>
      <c r="U74" s="551">
        <f t="shared" si="84"/>
        <v>0</v>
      </c>
      <c r="V74" s="552">
        <f>MAX(V70-V64,0)</f>
        <v>0</v>
      </c>
    </row>
    <row r="75" spans="1:22" s="547" customFormat="1" ht="19.5" customHeight="1">
      <c r="A75" s="550" t="s">
        <v>323</v>
      </c>
      <c r="B75" s="551">
        <f>MAX(B64-B70,0)</f>
        <v>0</v>
      </c>
      <c r="C75" s="551">
        <f t="shared" ref="C75:Q75" si="85">MAX(C64-C70,0)</f>
        <v>0</v>
      </c>
      <c r="D75" s="551">
        <f t="shared" si="85"/>
        <v>0</v>
      </c>
      <c r="E75" s="551">
        <f t="shared" si="85"/>
        <v>2</v>
      </c>
      <c r="F75" s="551">
        <f t="shared" si="85"/>
        <v>0</v>
      </c>
      <c r="G75" s="551">
        <f t="shared" si="85"/>
        <v>224</v>
      </c>
      <c r="H75" s="551">
        <f t="shared" si="85"/>
        <v>49</v>
      </c>
      <c r="I75" s="551">
        <f t="shared" si="85"/>
        <v>50</v>
      </c>
      <c r="J75" s="551">
        <f t="shared" si="85"/>
        <v>31</v>
      </c>
      <c r="K75" s="551">
        <f t="shared" si="85"/>
        <v>86</v>
      </c>
      <c r="L75" s="551">
        <f t="shared" si="85"/>
        <v>0</v>
      </c>
      <c r="M75" s="551">
        <f t="shared" si="85"/>
        <v>0</v>
      </c>
      <c r="N75" s="551">
        <f t="shared" si="85"/>
        <v>0</v>
      </c>
      <c r="O75" s="551">
        <f t="shared" si="85"/>
        <v>0</v>
      </c>
      <c r="P75" s="551">
        <f t="shared" si="85"/>
        <v>0</v>
      </c>
      <c r="Q75" s="551">
        <f t="shared" si="85"/>
        <v>6</v>
      </c>
      <c r="R75" s="551">
        <f t="shared" ref="R75:U75" si="86">MAX(R64-R70,0)</f>
        <v>0</v>
      </c>
      <c r="S75" s="551">
        <f t="shared" si="86"/>
        <v>0</v>
      </c>
      <c r="T75" s="551">
        <f t="shared" si="86"/>
        <v>0</v>
      </c>
      <c r="U75" s="551">
        <f t="shared" si="86"/>
        <v>0</v>
      </c>
      <c r="V75" s="552">
        <f>MAX(V64-V70,0)</f>
        <v>632</v>
      </c>
    </row>
    <row r="76" spans="1:22" s="547" customFormat="1" ht="19.5" customHeight="1">
      <c r="A76" s="550" t="s">
        <v>892</v>
      </c>
      <c r="B76" s="551">
        <f>MAX(B71-B65,0)</f>
        <v>0</v>
      </c>
      <c r="C76" s="551">
        <f t="shared" ref="C76:Q76" si="87">MAX(C71-C65,0)</f>
        <v>0</v>
      </c>
      <c r="D76" s="551">
        <f t="shared" si="87"/>
        <v>0</v>
      </c>
      <c r="E76" s="551">
        <f t="shared" si="87"/>
        <v>0</v>
      </c>
      <c r="F76" s="551">
        <f t="shared" si="87"/>
        <v>18</v>
      </c>
      <c r="G76" s="551">
        <f t="shared" si="87"/>
        <v>0</v>
      </c>
      <c r="H76" s="551">
        <f t="shared" si="87"/>
        <v>0</v>
      </c>
      <c r="I76" s="551">
        <f t="shared" si="87"/>
        <v>0</v>
      </c>
      <c r="J76" s="551">
        <f t="shared" si="87"/>
        <v>0</v>
      </c>
      <c r="K76" s="551">
        <f t="shared" si="87"/>
        <v>0</v>
      </c>
      <c r="L76" s="551">
        <f t="shared" si="87"/>
        <v>0</v>
      </c>
      <c r="M76" s="551">
        <f t="shared" si="87"/>
        <v>0</v>
      </c>
      <c r="N76" s="551">
        <f t="shared" si="87"/>
        <v>0</v>
      </c>
      <c r="O76" s="551">
        <f t="shared" si="87"/>
        <v>0</v>
      </c>
      <c r="P76" s="551">
        <f t="shared" si="87"/>
        <v>0</v>
      </c>
      <c r="Q76" s="551">
        <f t="shared" si="87"/>
        <v>0</v>
      </c>
      <c r="R76" s="551">
        <f t="shared" ref="R76:U76" si="88">MAX(R71-R65,0)</f>
        <v>0</v>
      </c>
      <c r="S76" s="551">
        <f t="shared" si="88"/>
        <v>0</v>
      </c>
      <c r="T76" s="551">
        <f t="shared" si="88"/>
        <v>0</v>
      </c>
      <c r="U76" s="551">
        <f t="shared" si="88"/>
        <v>0</v>
      </c>
      <c r="V76" s="552">
        <f>MAX(V71-V65,0)</f>
        <v>0</v>
      </c>
    </row>
    <row r="77" spans="1:22" s="547" customFormat="1" ht="19.5" customHeight="1">
      <c r="A77" s="550" t="s">
        <v>893</v>
      </c>
      <c r="B77" s="551">
        <f>MAX(B65-B71,0)</f>
        <v>0</v>
      </c>
      <c r="C77" s="551">
        <f t="shared" ref="C77:Q77" si="89">MAX(C65-C71,0)</f>
        <v>0</v>
      </c>
      <c r="D77" s="551">
        <f t="shared" si="89"/>
        <v>0</v>
      </c>
      <c r="E77" s="551">
        <f t="shared" si="89"/>
        <v>2</v>
      </c>
      <c r="F77" s="551">
        <f t="shared" si="89"/>
        <v>0</v>
      </c>
      <c r="G77" s="551">
        <f t="shared" si="89"/>
        <v>48</v>
      </c>
      <c r="H77" s="551">
        <f t="shared" si="89"/>
        <v>30</v>
      </c>
      <c r="I77" s="551">
        <f t="shared" si="89"/>
        <v>35</v>
      </c>
      <c r="J77" s="551">
        <f t="shared" si="89"/>
        <v>31</v>
      </c>
      <c r="K77" s="551">
        <f t="shared" si="89"/>
        <v>49</v>
      </c>
      <c r="L77" s="551">
        <f t="shared" si="89"/>
        <v>0</v>
      </c>
      <c r="M77" s="551">
        <f t="shared" si="89"/>
        <v>0</v>
      </c>
      <c r="N77" s="551">
        <f t="shared" si="89"/>
        <v>0</v>
      </c>
      <c r="O77" s="551">
        <f t="shared" si="89"/>
        <v>0</v>
      </c>
      <c r="P77" s="551">
        <f t="shared" si="89"/>
        <v>0</v>
      </c>
      <c r="Q77" s="551">
        <f t="shared" si="89"/>
        <v>6</v>
      </c>
      <c r="R77" s="551">
        <f t="shared" ref="R77:U77" si="90">MAX(R65-R71,0)</f>
        <v>0</v>
      </c>
      <c r="S77" s="551">
        <f t="shared" si="90"/>
        <v>0</v>
      </c>
      <c r="T77" s="551">
        <f t="shared" si="90"/>
        <v>0</v>
      </c>
      <c r="U77" s="551">
        <f t="shared" si="90"/>
        <v>0</v>
      </c>
      <c r="V77" s="552">
        <f>MAX(V65-V71,0)</f>
        <v>332</v>
      </c>
    </row>
    <row r="78" spans="1:22" s="547" customFormat="1" ht="19.5" customHeight="1">
      <c r="A78" s="550" t="s">
        <v>898</v>
      </c>
      <c r="B78" s="551">
        <f>MAX(B72-B66,0)</f>
        <v>0</v>
      </c>
      <c r="C78" s="551">
        <f t="shared" ref="C78:Q78" si="91">MAX(C72-C66,0)</f>
        <v>0</v>
      </c>
      <c r="D78" s="551">
        <f t="shared" si="91"/>
        <v>0</v>
      </c>
      <c r="E78" s="551">
        <f t="shared" si="91"/>
        <v>0</v>
      </c>
      <c r="F78" s="551">
        <f t="shared" si="91"/>
        <v>0</v>
      </c>
      <c r="G78" s="551">
        <f t="shared" si="91"/>
        <v>0</v>
      </c>
      <c r="H78" s="551">
        <f t="shared" si="91"/>
        <v>0</v>
      </c>
      <c r="I78" s="551">
        <f t="shared" si="91"/>
        <v>0</v>
      </c>
      <c r="J78" s="551">
        <f t="shared" si="91"/>
        <v>0</v>
      </c>
      <c r="K78" s="551">
        <f t="shared" si="91"/>
        <v>0</v>
      </c>
      <c r="L78" s="551">
        <f t="shared" si="91"/>
        <v>0</v>
      </c>
      <c r="M78" s="551">
        <f t="shared" si="91"/>
        <v>0</v>
      </c>
      <c r="N78" s="551">
        <f t="shared" si="91"/>
        <v>0</v>
      </c>
      <c r="O78" s="551">
        <f t="shared" si="91"/>
        <v>0</v>
      </c>
      <c r="P78" s="551">
        <f t="shared" si="91"/>
        <v>0</v>
      </c>
      <c r="Q78" s="551">
        <f t="shared" si="91"/>
        <v>0</v>
      </c>
      <c r="R78" s="551">
        <f t="shared" ref="R78:U78" si="92">MAX(R72-R66,0)</f>
        <v>0</v>
      </c>
      <c r="S78" s="551">
        <f t="shared" si="92"/>
        <v>0</v>
      </c>
      <c r="T78" s="551">
        <f t="shared" si="92"/>
        <v>0</v>
      </c>
      <c r="U78" s="551">
        <f t="shared" si="92"/>
        <v>0</v>
      </c>
      <c r="V78" s="552">
        <f t="shared" ref="V78" si="93">MAX(V72-V66,0)</f>
        <v>0</v>
      </c>
    </row>
    <row r="79" spans="1:22" s="547" customFormat="1" ht="19.5" customHeight="1">
      <c r="A79" s="550" t="s">
        <v>899</v>
      </c>
      <c r="B79" s="551">
        <f>MAX(B66-B72,0)</f>
        <v>0</v>
      </c>
      <c r="C79" s="551">
        <f t="shared" ref="C79:Q79" si="94">MAX(C66-C72,0)</f>
        <v>0</v>
      </c>
      <c r="D79" s="551">
        <f t="shared" si="94"/>
        <v>0</v>
      </c>
      <c r="E79" s="551">
        <f t="shared" si="94"/>
        <v>0</v>
      </c>
      <c r="F79" s="551">
        <f t="shared" si="94"/>
        <v>0</v>
      </c>
      <c r="G79" s="551">
        <f t="shared" si="94"/>
        <v>176</v>
      </c>
      <c r="H79" s="551">
        <f t="shared" si="94"/>
        <v>19</v>
      </c>
      <c r="I79" s="551">
        <f t="shared" si="94"/>
        <v>15</v>
      </c>
      <c r="J79" s="551">
        <f t="shared" si="94"/>
        <v>0</v>
      </c>
      <c r="K79" s="551">
        <f t="shared" si="94"/>
        <v>37</v>
      </c>
      <c r="L79" s="551">
        <f t="shared" si="94"/>
        <v>0</v>
      </c>
      <c r="M79" s="551">
        <f t="shared" si="94"/>
        <v>0</v>
      </c>
      <c r="N79" s="551">
        <f t="shared" si="94"/>
        <v>0</v>
      </c>
      <c r="O79" s="551">
        <f t="shared" si="94"/>
        <v>0</v>
      </c>
      <c r="P79" s="551">
        <f t="shared" si="94"/>
        <v>0</v>
      </c>
      <c r="Q79" s="551">
        <f t="shared" si="94"/>
        <v>0</v>
      </c>
      <c r="R79" s="551">
        <f t="shared" ref="R79:U79" si="95">MAX(R66-R72,0)</f>
        <v>0</v>
      </c>
      <c r="S79" s="551">
        <f t="shared" si="95"/>
        <v>0</v>
      </c>
      <c r="T79" s="551">
        <f t="shared" si="95"/>
        <v>0</v>
      </c>
      <c r="U79" s="551">
        <f t="shared" si="95"/>
        <v>0</v>
      </c>
      <c r="V79" s="552">
        <f t="shared" ref="V79" si="96">MAX(V66-V72,0)</f>
        <v>290</v>
      </c>
    </row>
    <row r="80" spans="1:22" ht="18" customHeight="1">
      <c r="A80" s="541" t="s">
        <v>326</v>
      </c>
      <c r="B80" s="542">
        <f>IF(B64=0,"-",(B68+B69+B70)/(B64*3))</f>
        <v>1</v>
      </c>
      <c r="C80" s="542" t="str">
        <f t="shared" ref="C80:Q80" si="97">IF(C64=0,"-",(C68+C69+C70)/(C64*3))</f>
        <v>-</v>
      </c>
      <c r="D80" s="542">
        <f t="shared" si="97"/>
        <v>1</v>
      </c>
      <c r="E80" s="542">
        <f t="shared" si="97"/>
        <v>0.96226415094339623</v>
      </c>
      <c r="F80" s="542">
        <f t="shared" si="97"/>
        <v>1.3</v>
      </c>
      <c r="G80" s="542">
        <f t="shared" si="97"/>
        <v>0</v>
      </c>
      <c r="H80" s="542">
        <f t="shared" si="97"/>
        <v>0</v>
      </c>
      <c r="I80" s="542">
        <f t="shared" si="97"/>
        <v>0</v>
      </c>
      <c r="J80" s="542">
        <f t="shared" si="97"/>
        <v>0</v>
      </c>
      <c r="K80" s="542">
        <f t="shared" si="97"/>
        <v>0</v>
      </c>
      <c r="L80" s="542" t="str">
        <f t="shared" si="97"/>
        <v>-</v>
      </c>
      <c r="M80" s="542" t="str">
        <f t="shared" si="97"/>
        <v>-</v>
      </c>
      <c r="N80" s="542" t="str">
        <f t="shared" si="97"/>
        <v>-</v>
      </c>
      <c r="O80" s="542" t="str">
        <f t="shared" si="97"/>
        <v>-</v>
      </c>
      <c r="P80" s="542" t="str">
        <f t="shared" si="97"/>
        <v>-</v>
      </c>
      <c r="Q80" s="542">
        <f t="shared" si="97"/>
        <v>0</v>
      </c>
      <c r="R80" s="542" t="str">
        <f t="shared" ref="R80:U80" si="98">IF(R64=0,"-",(R68+R69+R70)/(R64*3))</f>
        <v>-</v>
      </c>
      <c r="S80" s="542" t="str">
        <f t="shared" si="98"/>
        <v>-</v>
      </c>
      <c r="T80" s="542" t="str">
        <f t="shared" si="98"/>
        <v>-</v>
      </c>
      <c r="U80" s="542" t="str">
        <f t="shared" si="98"/>
        <v>-</v>
      </c>
      <c r="V80" s="530">
        <f t="shared" ref="V80" si="99">IF(V64=0,"-",(V68+V69+V70)/(V64*3))</f>
        <v>0.10985915492957747</v>
      </c>
    </row>
    <row r="81" spans="1:22" ht="18" customHeight="1">
      <c r="A81" s="541" t="s">
        <v>902</v>
      </c>
      <c r="B81" s="542">
        <f>IF(B65=0,"-",(B71)/(B65))</f>
        <v>1</v>
      </c>
      <c r="C81" s="542" t="str">
        <f t="shared" ref="C81:Q81" si="100">IF(C65=0,"-",(C71)/(C65))</f>
        <v>-</v>
      </c>
      <c r="D81" s="542">
        <f t="shared" si="100"/>
        <v>1</v>
      </c>
      <c r="E81" s="542">
        <f t="shared" si="100"/>
        <v>0.96226415094339623</v>
      </c>
      <c r="F81" s="542">
        <f t="shared" si="100"/>
        <v>1.3</v>
      </c>
      <c r="G81" s="542">
        <f t="shared" si="100"/>
        <v>0</v>
      </c>
      <c r="H81" s="542">
        <f t="shared" si="100"/>
        <v>0</v>
      </c>
      <c r="I81" s="542">
        <f t="shared" si="100"/>
        <v>0</v>
      </c>
      <c r="J81" s="542">
        <f t="shared" si="100"/>
        <v>0</v>
      </c>
      <c r="K81" s="542">
        <f t="shared" si="100"/>
        <v>0</v>
      </c>
      <c r="L81" s="542" t="str">
        <f t="shared" si="100"/>
        <v>-</v>
      </c>
      <c r="M81" s="542" t="str">
        <f t="shared" si="100"/>
        <v>-</v>
      </c>
      <c r="N81" s="542" t="str">
        <f t="shared" si="100"/>
        <v>-</v>
      </c>
      <c r="O81" s="542" t="str">
        <f t="shared" si="100"/>
        <v>-</v>
      </c>
      <c r="P81" s="542" t="str">
        <f t="shared" si="100"/>
        <v>-</v>
      </c>
      <c r="Q81" s="542">
        <f t="shared" si="100"/>
        <v>0</v>
      </c>
      <c r="R81" s="542" t="str">
        <f t="shared" ref="R81:U81" si="101">IF(R65=0,"-",(R71)/(R65))</f>
        <v>-</v>
      </c>
      <c r="S81" s="542" t="str">
        <f t="shared" si="101"/>
        <v>-</v>
      </c>
      <c r="T81" s="542" t="str">
        <f t="shared" si="101"/>
        <v>-</v>
      </c>
      <c r="U81" s="542" t="str">
        <f t="shared" si="101"/>
        <v>-</v>
      </c>
      <c r="V81" s="530">
        <f t="shared" ref="V81" si="102">IF(V65=0,"-",(V71)/(V65))</f>
        <v>0.19024390243902439</v>
      </c>
    </row>
    <row r="82" spans="1:22" ht="18" customHeight="1">
      <c r="A82" s="541" t="s">
        <v>908</v>
      </c>
      <c r="B82" s="542">
        <f>IF(B66=0,"-",(B72)/(B66))</f>
        <v>1</v>
      </c>
      <c r="C82" s="542" t="str">
        <f t="shared" ref="C82:Q82" si="103">IF(C66=0,"-",(C72)/(C66))</f>
        <v>-</v>
      </c>
      <c r="D82" s="542" t="str">
        <f t="shared" si="103"/>
        <v>-</v>
      </c>
      <c r="E82" s="542" t="str">
        <f t="shared" si="103"/>
        <v>-</v>
      </c>
      <c r="F82" s="542" t="str">
        <f t="shared" si="103"/>
        <v>-</v>
      </c>
      <c r="G82" s="542">
        <f t="shared" si="103"/>
        <v>0</v>
      </c>
      <c r="H82" s="542">
        <f t="shared" si="103"/>
        <v>0</v>
      </c>
      <c r="I82" s="542">
        <f t="shared" si="103"/>
        <v>0</v>
      </c>
      <c r="J82" s="542" t="str">
        <f t="shared" si="103"/>
        <v>-</v>
      </c>
      <c r="K82" s="542">
        <f t="shared" si="103"/>
        <v>0</v>
      </c>
      <c r="L82" s="542" t="str">
        <f t="shared" si="103"/>
        <v>-</v>
      </c>
      <c r="M82" s="542" t="str">
        <f t="shared" si="103"/>
        <v>-</v>
      </c>
      <c r="N82" s="542" t="str">
        <f t="shared" si="103"/>
        <v>-</v>
      </c>
      <c r="O82" s="542" t="str">
        <f t="shared" si="103"/>
        <v>-</v>
      </c>
      <c r="P82" s="542" t="str">
        <f t="shared" si="103"/>
        <v>-</v>
      </c>
      <c r="Q82" s="542" t="str">
        <f t="shared" si="103"/>
        <v>-</v>
      </c>
      <c r="R82" s="542" t="str">
        <f t="shared" ref="R82:U82" si="104">IF(R66=0,"-",(R72)/(R66))</f>
        <v>-</v>
      </c>
      <c r="S82" s="542" t="str">
        <f t="shared" si="104"/>
        <v>-</v>
      </c>
      <c r="T82" s="542" t="str">
        <f t="shared" si="104"/>
        <v>-</v>
      </c>
      <c r="U82" s="542" t="str">
        <f t="shared" si="104"/>
        <v>-</v>
      </c>
      <c r="V82" s="530">
        <f t="shared" ref="V82" si="105">IF(V66=0,"-",(V72)/(V66))</f>
        <v>0</v>
      </c>
    </row>
    <row r="83" spans="1:22" ht="18" customHeight="1">
      <c r="A83" s="597" t="s">
        <v>920</v>
      </c>
      <c r="B83" s="598">
        <f>SUM($B70:B70)</f>
        <v>139</v>
      </c>
      <c r="C83" s="598">
        <f>SUM($B70:C70)</f>
        <v>139</v>
      </c>
      <c r="D83" s="598">
        <f>SUM($B70:D70)</f>
        <v>151</v>
      </c>
      <c r="E83" s="598">
        <f>SUM($B70:E70)</f>
        <v>202</v>
      </c>
      <c r="F83" s="598">
        <f>SUM($B70:F70)</f>
        <v>280</v>
      </c>
      <c r="G83" s="598">
        <f>SUM($B70:G70)</f>
        <v>280</v>
      </c>
      <c r="H83" s="598">
        <f>SUM($B70:H70)</f>
        <v>280</v>
      </c>
      <c r="I83" s="598">
        <f>SUM($B70:I70)</f>
        <v>280</v>
      </c>
      <c r="J83" s="598">
        <f>SUM($B70:J70)</f>
        <v>280</v>
      </c>
      <c r="K83" s="598">
        <f>SUM($B70:K70)</f>
        <v>280</v>
      </c>
      <c r="L83" s="598">
        <f>SUM($B70:L70)</f>
        <v>280</v>
      </c>
      <c r="M83" s="598">
        <f>SUM($B70:M70)</f>
        <v>280</v>
      </c>
      <c r="N83" s="598">
        <f>SUM($B70:N70)</f>
        <v>280</v>
      </c>
      <c r="O83" s="598">
        <f>SUM($B70:O70)</f>
        <v>280</v>
      </c>
      <c r="P83" s="598">
        <f>SUM($B70:P70)</f>
        <v>280</v>
      </c>
      <c r="Q83" s="598">
        <f>SUM($B70:Q70)</f>
        <v>280</v>
      </c>
      <c r="R83" s="598">
        <f>SUM($B70:R70)</f>
        <v>280</v>
      </c>
      <c r="S83" s="598">
        <f>SUM($B70:S70)</f>
        <v>280</v>
      </c>
      <c r="T83" s="598">
        <f>SUM($B70:T70)</f>
        <v>280</v>
      </c>
      <c r="U83" s="598">
        <f>SUM($B70:U70)</f>
        <v>280</v>
      </c>
      <c r="V83" s="529">
        <f>V70</f>
        <v>78</v>
      </c>
    </row>
    <row r="84" spans="1:22" ht="18" customHeight="1">
      <c r="A84" s="597" t="s">
        <v>926</v>
      </c>
      <c r="B84" s="598">
        <f>SUM($B71:B71)</f>
        <v>86</v>
      </c>
      <c r="C84" s="598">
        <f>SUM($B71:C71)</f>
        <v>86</v>
      </c>
      <c r="D84" s="598">
        <f>SUM($B71:D71)</f>
        <v>98</v>
      </c>
      <c r="E84" s="598">
        <f>SUM($B71:E71)</f>
        <v>149</v>
      </c>
      <c r="F84" s="598">
        <f>SUM($B71:F71)</f>
        <v>227</v>
      </c>
      <c r="G84" s="598">
        <f>SUM($B71:G71)</f>
        <v>227</v>
      </c>
      <c r="H84" s="598">
        <f>SUM($B71:H71)</f>
        <v>227</v>
      </c>
      <c r="I84" s="598">
        <f>SUM($B71:I71)</f>
        <v>227</v>
      </c>
      <c r="J84" s="598">
        <f>SUM($B71:J71)</f>
        <v>227</v>
      </c>
      <c r="K84" s="598">
        <f>SUM($B71:K71)</f>
        <v>227</v>
      </c>
      <c r="L84" s="598">
        <f>SUM($B71:L71)</f>
        <v>227</v>
      </c>
      <c r="M84" s="598">
        <f>SUM($B71:M71)</f>
        <v>227</v>
      </c>
      <c r="N84" s="598">
        <f>SUM($B71:N71)</f>
        <v>227</v>
      </c>
      <c r="O84" s="598">
        <f>SUM($B71:O71)</f>
        <v>227</v>
      </c>
      <c r="P84" s="598">
        <f>SUM($B71:P71)</f>
        <v>227</v>
      </c>
      <c r="Q84" s="598">
        <f>SUM($B71:Q71)</f>
        <v>227</v>
      </c>
      <c r="R84" s="598">
        <f>SUM($B71:R71)</f>
        <v>227</v>
      </c>
      <c r="S84" s="598">
        <f>SUM($B71:S71)</f>
        <v>227</v>
      </c>
      <c r="T84" s="598">
        <f>SUM($B71:T71)</f>
        <v>227</v>
      </c>
      <c r="U84" s="598">
        <f>SUM($B71:U71)</f>
        <v>227</v>
      </c>
      <c r="V84" s="529">
        <f>V71</f>
        <v>78</v>
      </c>
    </row>
    <row r="85" spans="1:22" ht="18" customHeight="1">
      <c r="A85" s="597" t="s">
        <v>927</v>
      </c>
      <c r="B85" s="598">
        <f>SUM($B72:B72)</f>
        <v>43</v>
      </c>
      <c r="C85" s="598">
        <f>SUM($B72:C72)</f>
        <v>43</v>
      </c>
      <c r="D85" s="598">
        <f>SUM($B72:D72)</f>
        <v>43</v>
      </c>
      <c r="E85" s="598">
        <f>SUM($B72:E72)</f>
        <v>43</v>
      </c>
      <c r="F85" s="598">
        <f>SUM($B72:F72)</f>
        <v>43</v>
      </c>
      <c r="G85" s="598">
        <f>SUM($B72:G72)</f>
        <v>43</v>
      </c>
      <c r="H85" s="598">
        <f>SUM($B72:H72)</f>
        <v>43</v>
      </c>
      <c r="I85" s="598">
        <f>SUM($B72:I72)</f>
        <v>43</v>
      </c>
      <c r="J85" s="598">
        <f>SUM($B72:J72)</f>
        <v>43</v>
      </c>
      <c r="K85" s="598">
        <f>SUM($B72:K72)</f>
        <v>43</v>
      </c>
      <c r="L85" s="598">
        <f>SUM($B72:L72)</f>
        <v>43</v>
      </c>
      <c r="M85" s="598">
        <f>SUM($B72:M72)</f>
        <v>43</v>
      </c>
      <c r="N85" s="598">
        <f>SUM($B72:N72)</f>
        <v>43</v>
      </c>
      <c r="O85" s="598">
        <f>SUM($B72:O72)</f>
        <v>43</v>
      </c>
      <c r="P85" s="598">
        <f>SUM($B72:P72)</f>
        <v>43</v>
      </c>
      <c r="Q85" s="598">
        <f>SUM($B72:Q72)</f>
        <v>43</v>
      </c>
      <c r="R85" s="598">
        <f>SUM($B72:R72)</f>
        <v>43</v>
      </c>
      <c r="S85" s="598">
        <f>SUM($B72:S72)</f>
        <v>43</v>
      </c>
      <c r="T85" s="598">
        <f>SUM($B72:T72)</f>
        <v>43</v>
      </c>
      <c r="U85" s="598">
        <f>SUM($B72:U72)</f>
        <v>43</v>
      </c>
      <c r="V85" s="529">
        <f>V72</f>
        <v>0</v>
      </c>
    </row>
    <row r="86" spans="1:22" ht="18" customHeight="1">
      <c r="A86" s="597" t="s">
        <v>928</v>
      </c>
      <c r="B86" s="598">
        <f>SUM($B73:B73)</f>
        <v>10</v>
      </c>
      <c r="C86" s="598">
        <f>SUM($B73:C73)</f>
        <v>10</v>
      </c>
      <c r="D86" s="598">
        <f>SUM($B73:D73)</f>
        <v>10</v>
      </c>
      <c r="E86" s="598">
        <f>SUM($B73:E73)</f>
        <v>10</v>
      </c>
      <c r="F86" s="598">
        <f>SUM($B73:F73)</f>
        <v>10</v>
      </c>
      <c r="G86" s="598">
        <f>SUM($B73:G73)</f>
        <v>10</v>
      </c>
      <c r="H86" s="598">
        <f>SUM($B73:H73)</f>
        <v>10</v>
      </c>
      <c r="I86" s="598">
        <f>SUM($B73:I73)</f>
        <v>10</v>
      </c>
      <c r="J86" s="598">
        <f>SUM($B73:J73)</f>
        <v>10</v>
      </c>
      <c r="K86" s="598">
        <f>SUM($B73:K73)</f>
        <v>10</v>
      </c>
      <c r="L86" s="598">
        <f>SUM($B73:L73)</f>
        <v>10</v>
      </c>
      <c r="M86" s="598">
        <f>SUM($B73:M73)</f>
        <v>10</v>
      </c>
      <c r="N86" s="598">
        <f>SUM($B73:N73)</f>
        <v>10</v>
      </c>
      <c r="O86" s="598">
        <f>SUM($B73:O73)</f>
        <v>10</v>
      </c>
      <c r="P86" s="598">
        <f>SUM($B73:P73)</f>
        <v>10</v>
      </c>
      <c r="Q86" s="598">
        <f>SUM($B73:Q73)</f>
        <v>10</v>
      </c>
      <c r="R86" s="598">
        <f>SUM($B73:R73)</f>
        <v>10</v>
      </c>
      <c r="S86" s="598">
        <f>SUM($B73:S73)</f>
        <v>10</v>
      </c>
      <c r="T86" s="598">
        <f>SUM($B73:T73)</f>
        <v>10</v>
      </c>
      <c r="U86" s="598">
        <f>SUM($B73:U73)</f>
        <v>10</v>
      </c>
      <c r="V86" s="529">
        <f>V73</f>
        <v>0</v>
      </c>
    </row>
    <row r="87" spans="1:22" ht="18" customHeight="1">
      <c r="A87" s="599" t="s">
        <v>318</v>
      </c>
      <c r="B87" s="600">
        <f>IF(B64=0,IF(B68=0,"-","100%"),B68/B64)</f>
        <v>1</v>
      </c>
      <c r="C87" s="600" t="str">
        <f t="shared" ref="C87:Q87" si="106">IF(C64=0,IF(C68=0,"-","100%"),C68/C64)</f>
        <v>-</v>
      </c>
      <c r="D87" s="600">
        <f t="shared" si="106"/>
        <v>1</v>
      </c>
      <c r="E87" s="600">
        <f t="shared" si="106"/>
        <v>0.96226415094339623</v>
      </c>
      <c r="F87" s="600">
        <f t="shared" si="106"/>
        <v>1.3</v>
      </c>
      <c r="G87" s="600">
        <f t="shared" si="106"/>
        <v>0</v>
      </c>
      <c r="H87" s="600">
        <f t="shared" si="106"/>
        <v>0</v>
      </c>
      <c r="I87" s="600">
        <f t="shared" si="106"/>
        <v>0</v>
      </c>
      <c r="J87" s="600">
        <f t="shared" si="106"/>
        <v>0</v>
      </c>
      <c r="K87" s="600">
        <f t="shared" si="106"/>
        <v>0</v>
      </c>
      <c r="L87" s="600" t="str">
        <f t="shared" si="106"/>
        <v>-</v>
      </c>
      <c r="M87" s="600" t="str">
        <f t="shared" si="106"/>
        <v>-</v>
      </c>
      <c r="N87" s="600" t="str">
        <f t="shared" si="106"/>
        <v>-</v>
      </c>
      <c r="O87" s="600" t="str">
        <f t="shared" si="106"/>
        <v>-</v>
      </c>
      <c r="P87" s="600" t="str">
        <f t="shared" si="106"/>
        <v>-</v>
      </c>
      <c r="Q87" s="600">
        <f t="shared" si="106"/>
        <v>0</v>
      </c>
      <c r="R87" s="600" t="str">
        <f t="shared" ref="R87:U87" si="107">IF(R64=0,IF(R68=0,"-","100%"),R68/R64)</f>
        <v>-</v>
      </c>
      <c r="S87" s="600" t="str">
        <f t="shared" si="107"/>
        <v>-</v>
      </c>
      <c r="T87" s="600" t="str">
        <f t="shared" si="107"/>
        <v>-</v>
      </c>
      <c r="U87" s="600" t="str">
        <f t="shared" si="107"/>
        <v>-</v>
      </c>
      <c r="V87" s="601">
        <f>IF(V64=0,"-",V68/V64)</f>
        <v>0.10985915492957747</v>
      </c>
    </row>
    <row r="88" spans="1:22" ht="18" customHeight="1">
      <c r="A88" s="599" t="s">
        <v>320</v>
      </c>
      <c r="B88" s="600">
        <f>IF(B64=0,IF(B69=0,"-","100%"),B69/B64)</f>
        <v>1</v>
      </c>
      <c r="C88" s="600" t="str">
        <f t="shared" ref="C88:Q88" si="108">IF(C64=0,IF(C69=0,"-","100%"),C69/C64)</f>
        <v>-</v>
      </c>
      <c r="D88" s="600">
        <f t="shared" si="108"/>
        <v>1</v>
      </c>
      <c r="E88" s="600">
        <f t="shared" si="108"/>
        <v>0.96226415094339623</v>
      </c>
      <c r="F88" s="600">
        <f t="shared" si="108"/>
        <v>1.3</v>
      </c>
      <c r="G88" s="600">
        <f t="shared" si="108"/>
        <v>0</v>
      </c>
      <c r="H88" s="600">
        <f t="shared" si="108"/>
        <v>0</v>
      </c>
      <c r="I88" s="600">
        <f t="shared" si="108"/>
        <v>0</v>
      </c>
      <c r="J88" s="600">
        <f t="shared" si="108"/>
        <v>0</v>
      </c>
      <c r="K88" s="600">
        <f t="shared" si="108"/>
        <v>0</v>
      </c>
      <c r="L88" s="600" t="str">
        <f t="shared" si="108"/>
        <v>-</v>
      </c>
      <c r="M88" s="600" t="str">
        <f t="shared" si="108"/>
        <v>-</v>
      </c>
      <c r="N88" s="600" t="str">
        <f t="shared" si="108"/>
        <v>-</v>
      </c>
      <c r="O88" s="600" t="str">
        <f t="shared" si="108"/>
        <v>-</v>
      </c>
      <c r="P88" s="600" t="str">
        <f t="shared" si="108"/>
        <v>-</v>
      </c>
      <c r="Q88" s="600">
        <f t="shared" si="108"/>
        <v>0</v>
      </c>
      <c r="R88" s="600" t="str">
        <f t="shared" ref="R88:U88" si="109">IF(R64=0,IF(R69=0,"-","100%"),R69/R64)</f>
        <v>-</v>
      </c>
      <c r="S88" s="600" t="str">
        <f t="shared" si="109"/>
        <v>-</v>
      </c>
      <c r="T88" s="600" t="str">
        <f t="shared" si="109"/>
        <v>-</v>
      </c>
      <c r="U88" s="600" t="str">
        <f t="shared" si="109"/>
        <v>-</v>
      </c>
      <c r="V88" s="601">
        <f>IF(V64=0,"-",V69/V64)</f>
        <v>0.10985915492957747</v>
      </c>
    </row>
    <row r="89" spans="1:22" ht="18" customHeight="1">
      <c r="A89" s="599" t="s">
        <v>324</v>
      </c>
      <c r="B89" s="600">
        <f t="shared" ref="B89:Q89" si="110">IF(B64=0,IF(B70=0,"-","100%"),B70/B64)</f>
        <v>1</v>
      </c>
      <c r="C89" s="600" t="str">
        <f t="shared" si="110"/>
        <v>-</v>
      </c>
      <c r="D89" s="600">
        <f t="shared" si="110"/>
        <v>1</v>
      </c>
      <c r="E89" s="600">
        <f t="shared" si="110"/>
        <v>0.96226415094339623</v>
      </c>
      <c r="F89" s="600">
        <f t="shared" si="110"/>
        <v>1.3</v>
      </c>
      <c r="G89" s="600">
        <f t="shared" si="110"/>
        <v>0</v>
      </c>
      <c r="H89" s="600">
        <f t="shared" si="110"/>
        <v>0</v>
      </c>
      <c r="I89" s="600">
        <f t="shared" si="110"/>
        <v>0</v>
      </c>
      <c r="J89" s="600">
        <f t="shared" si="110"/>
        <v>0</v>
      </c>
      <c r="K89" s="600">
        <f t="shared" si="110"/>
        <v>0</v>
      </c>
      <c r="L89" s="600" t="str">
        <f t="shared" si="110"/>
        <v>-</v>
      </c>
      <c r="M89" s="600" t="str">
        <f t="shared" si="110"/>
        <v>-</v>
      </c>
      <c r="N89" s="600" t="str">
        <f t="shared" si="110"/>
        <v>-</v>
      </c>
      <c r="O89" s="600" t="str">
        <f t="shared" si="110"/>
        <v>-</v>
      </c>
      <c r="P89" s="600" t="str">
        <f t="shared" si="110"/>
        <v>-</v>
      </c>
      <c r="Q89" s="600">
        <f t="shared" si="110"/>
        <v>0</v>
      </c>
      <c r="R89" s="600" t="str">
        <f t="shared" ref="R89:U89" si="111">IF(R64=0,IF(R70=0,"-","100%"),R70/R64)</f>
        <v>-</v>
      </c>
      <c r="S89" s="600" t="str">
        <f t="shared" si="111"/>
        <v>-</v>
      </c>
      <c r="T89" s="600" t="str">
        <f t="shared" si="111"/>
        <v>-</v>
      </c>
      <c r="U89" s="600" t="str">
        <f t="shared" si="111"/>
        <v>-</v>
      </c>
      <c r="V89" s="601">
        <f>IF(V64=0,"-",V70/V64)</f>
        <v>0.10985915492957747</v>
      </c>
    </row>
    <row r="90" spans="1:22" ht="18" customHeight="1">
      <c r="A90" s="599" t="s">
        <v>929</v>
      </c>
      <c r="B90" s="600">
        <f t="shared" ref="B90:Q90" si="112">IF(B65=0,IF(B71=0,"-","100%"),B71/B65)</f>
        <v>1</v>
      </c>
      <c r="C90" s="600" t="str">
        <f t="shared" si="112"/>
        <v>-</v>
      </c>
      <c r="D90" s="600">
        <f t="shared" si="112"/>
        <v>1</v>
      </c>
      <c r="E90" s="600">
        <f t="shared" si="112"/>
        <v>0.96226415094339623</v>
      </c>
      <c r="F90" s="600">
        <f t="shared" si="112"/>
        <v>1.3</v>
      </c>
      <c r="G90" s="600">
        <f t="shared" si="112"/>
        <v>0</v>
      </c>
      <c r="H90" s="600">
        <f t="shared" si="112"/>
        <v>0</v>
      </c>
      <c r="I90" s="600">
        <f t="shared" si="112"/>
        <v>0</v>
      </c>
      <c r="J90" s="600">
        <f t="shared" si="112"/>
        <v>0</v>
      </c>
      <c r="K90" s="600">
        <f t="shared" si="112"/>
        <v>0</v>
      </c>
      <c r="L90" s="600" t="str">
        <f t="shared" si="112"/>
        <v>-</v>
      </c>
      <c r="M90" s="600" t="str">
        <f t="shared" si="112"/>
        <v>-</v>
      </c>
      <c r="N90" s="600" t="str">
        <f t="shared" si="112"/>
        <v>-</v>
      </c>
      <c r="O90" s="600" t="str">
        <f t="shared" si="112"/>
        <v>-</v>
      </c>
      <c r="P90" s="600" t="str">
        <f t="shared" si="112"/>
        <v>-</v>
      </c>
      <c r="Q90" s="600">
        <f t="shared" si="112"/>
        <v>0</v>
      </c>
      <c r="R90" s="600" t="str">
        <f t="shared" ref="R90:U90" si="113">IF(R65=0,IF(R71=0,"-","100%"),R71/R65)</f>
        <v>-</v>
      </c>
      <c r="S90" s="600" t="str">
        <f t="shared" si="113"/>
        <v>-</v>
      </c>
      <c r="T90" s="600" t="str">
        <f t="shared" si="113"/>
        <v>-</v>
      </c>
      <c r="U90" s="600" t="str">
        <f t="shared" si="113"/>
        <v>-</v>
      </c>
      <c r="V90" s="601">
        <f>IF(V65=0,"-",V71/V65)</f>
        <v>0.19024390243902439</v>
      </c>
    </row>
    <row r="91" spans="1:22" ht="18" customHeight="1">
      <c r="A91" s="599" t="s">
        <v>930</v>
      </c>
      <c r="B91" s="600">
        <f t="shared" ref="B91:Q91" si="114">IF(B66=0,IF(B72=0,"-","100%"),B72/B66)</f>
        <v>1</v>
      </c>
      <c r="C91" s="600" t="str">
        <f t="shared" si="114"/>
        <v>-</v>
      </c>
      <c r="D91" s="600" t="str">
        <f t="shared" si="114"/>
        <v>-</v>
      </c>
      <c r="E91" s="600" t="str">
        <f t="shared" si="114"/>
        <v>-</v>
      </c>
      <c r="F91" s="600" t="str">
        <f t="shared" si="114"/>
        <v>-</v>
      </c>
      <c r="G91" s="600">
        <f t="shared" si="114"/>
        <v>0</v>
      </c>
      <c r="H91" s="600">
        <f t="shared" si="114"/>
        <v>0</v>
      </c>
      <c r="I91" s="600">
        <f t="shared" si="114"/>
        <v>0</v>
      </c>
      <c r="J91" s="600" t="str">
        <f t="shared" si="114"/>
        <v>-</v>
      </c>
      <c r="K91" s="600">
        <f t="shared" si="114"/>
        <v>0</v>
      </c>
      <c r="L91" s="600" t="str">
        <f t="shared" si="114"/>
        <v>-</v>
      </c>
      <c r="M91" s="600" t="str">
        <f t="shared" si="114"/>
        <v>-</v>
      </c>
      <c r="N91" s="600" t="str">
        <f t="shared" si="114"/>
        <v>-</v>
      </c>
      <c r="O91" s="600" t="str">
        <f t="shared" si="114"/>
        <v>-</v>
      </c>
      <c r="P91" s="600" t="str">
        <f t="shared" si="114"/>
        <v>-</v>
      </c>
      <c r="Q91" s="600" t="str">
        <f t="shared" si="114"/>
        <v>-</v>
      </c>
      <c r="R91" s="600" t="str">
        <f t="shared" ref="R91:U91" si="115">IF(R66=0,IF(R72=0,"-","100%"),R72/R66)</f>
        <v>-</v>
      </c>
      <c r="S91" s="600" t="str">
        <f t="shared" si="115"/>
        <v>-</v>
      </c>
      <c r="T91" s="600" t="str">
        <f t="shared" si="115"/>
        <v>-</v>
      </c>
      <c r="U91" s="600" t="str">
        <f t="shared" si="115"/>
        <v>-</v>
      </c>
      <c r="V91" s="601">
        <f>IF(V66=0,"-",V72/V66)</f>
        <v>0</v>
      </c>
    </row>
    <row r="92" spans="1:22" s="547" customFormat="1" ht="19.5" customHeight="1">
      <c r="A92" s="550" t="s">
        <v>327</v>
      </c>
      <c r="B92" s="551">
        <f>SUM($B64:B64)</f>
        <v>139</v>
      </c>
      <c r="C92" s="551">
        <f>SUM($B64:C64)</f>
        <v>139</v>
      </c>
      <c r="D92" s="551">
        <f>SUM($B64:D64)</f>
        <v>151</v>
      </c>
      <c r="E92" s="551">
        <f>SUM($B64:E64)</f>
        <v>204</v>
      </c>
      <c r="F92" s="551">
        <f>SUM($B64:F64)</f>
        <v>264</v>
      </c>
      <c r="G92" s="551">
        <f>SUM($B64:G64)</f>
        <v>488</v>
      </c>
      <c r="H92" s="551">
        <f>SUM($B64:H64)</f>
        <v>537</v>
      </c>
      <c r="I92" s="551">
        <f>SUM($B64:I64)</f>
        <v>587</v>
      </c>
      <c r="J92" s="551">
        <f>SUM($B64:J64)</f>
        <v>618</v>
      </c>
      <c r="K92" s="551">
        <f>SUM($B64:K64)</f>
        <v>704</v>
      </c>
      <c r="L92" s="551">
        <f>SUM($B64:L64)</f>
        <v>704</v>
      </c>
      <c r="M92" s="551">
        <f>SUM($B64:M64)</f>
        <v>704</v>
      </c>
      <c r="N92" s="551">
        <f>SUM($B64:N64)</f>
        <v>704</v>
      </c>
      <c r="O92" s="551">
        <f>SUM($B64:O64)</f>
        <v>704</v>
      </c>
      <c r="P92" s="551">
        <f>SUM($B64:P64)</f>
        <v>704</v>
      </c>
      <c r="Q92" s="551">
        <f>SUM($B64:Q64)</f>
        <v>710</v>
      </c>
      <c r="R92" s="551">
        <f>SUM($B64:R64)</f>
        <v>710</v>
      </c>
      <c r="S92" s="551">
        <f>SUM($B64:S64)</f>
        <v>710</v>
      </c>
      <c r="T92" s="551">
        <f>SUM($B64:T64)</f>
        <v>710</v>
      </c>
      <c r="U92" s="551">
        <f>SUM($B64:U64)</f>
        <v>710</v>
      </c>
      <c r="V92" s="552">
        <f>V64</f>
        <v>710</v>
      </c>
    </row>
    <row r="93" spans="1:22" s="547" customFormat="1" ht="19.5" customHeight="1">
      <c r="A93" s="550" t="s">
        <v>903</v>
      </c>
      <c r="B93" s="551">
        <f>SUM($B65:B65)</f>
        <v>86</v>
      </c>
      <c r="C93" s="551">
        <f>SUM($B65:C65)</f>
        <v>86</v>
      </c>
      <c r="D93" s="551">
        <f>SUM($B65:D65)</f>
        <v>98</v>
      </c>
      <c r="E93" s="551">
        <f>SUM($B65:E65)</f>
        <v>151</v>
      </c>
      <c r="F93" s="551">
        <f>SUM($B65:F65)</f>
        <v>211</v>
      </c>
      <c r="G93" s="551">
        <f>SUM($B65:G65)</f>
        <v>259</v>
      </c>
      <c r="H93" s="551">
        <f>SUM($B65:H65)</f>
        <v>289</v>
      </c>
      <c r="I93" s="551">
        <f>SUM($B65:I65)</f>
        <v>324</v>
      </c>
      <c r="J93" s="551">
        <f>SUM($B65:J65)</f>
        <v>355</v>
      </c>
      <c r="K93" s="551">
        <f>SUM($B65:K65)</f>
        <v>404</v>
      </c>
      <c r="L93" s="551">
        <f>SUM($B65:L65)</f>
        <v>404</v>
      </c>
      <c r="M93" s="551">
        <f>SUM($B65:M65)</f>
        <v>404</v>
      </c>
      <c r="N93" s="551">
        <f>SUM($B65:N65)</f>
        <v>404</v>
      </c>
      <c r="O93" s="551">
        <f>SUM($B65:O65)</f>
        <v>404</v>
      </c>
      <c r="P93" s="551">
        <f>SUM($B65:P65)</f>
        <v>404</v>
      </c>
      <c r="Q93" s="551">
        <f>SUM($B65:Q65)</f>
        <v>410</v>
      </c>
      <c r="R93" s="551">
        <f>SUM($B65:R65)</f>
        <v>410</v>
      </c>
      <c r="S93" s="551">
        <f>SUM($B65:S65)</f>
        <v>410</v>
      </c>
      <c r="T93" s="551">
        <f>SUM($B65:T65)</f>
        <v>410</v>
      </c>
      <c r="U93" s="551">
        <f>SUM($B65:U65)</f>
        <v>410</v>
      </c>
      <c r="V93" s="552">
        <f>V65</f>
        <v>410</v>
      </c>
    </row>
    <row r="94" spans="1:22" s="547" customFormat="1" ht="19.5" customHeight="1">
      <c r="A94" s="550" t="s">
        <v>909</v>
      </c>
      <c r="B94" s="551">
        <f>SUM($B66:B66)</f>
        <v>43</v>
      </c>
      <c r="C94" s="551">
        <f>SUM($B66:C66)</f>
        <v>43</v>
      </c>
      <c r="D94" s="551">
        <f>SUM($B66:D66)</f>
        <v>43</v>
      </c>
      <c r="E94" s="551">
        <f>SUM($B66:E66)</f>
        <v>43</v>
      </c>
      <c r="F94" s="551">
        <f>SUM($B66:F66)</f>
        <v>43</v>
      </c>
      <c r="G94" s="551">
        <f>SUM($B66:G66)</f>
        <v>219</v>
      </c>
      <c r="H94" s="551">
        <f>SUM($B66:H66)</f>
        <v>238</v>
      </c>
      <c r="I94" s="551">
        <f>SUM($B66:I66)</f>
        <v>253</v>
      </c>
      <c r="J94" s="551">
        <f>SUM($B66:J66)</f>
        <v>253</v>
      </c>
      <c r="K94" s="551">
        <f>SUM($B66:K66)</f>
        <v>290</v>
      </c>
      <c r="L94" s="551">
        <f>SUM($B66:L66)</f>
        <v>290</v>
      </c>
      <c r="M94" s="551">
        <f>SUM($B66:M66)</f>
        <v>290</v>
      </c>
      <c r="N94" s="551">
        <f>SUM($B66:N66)</f>
        <v>290</v>
      </c>
      <c r="O94" s="551">
        <f>SUM($B66:O66)</f>
        <v>290</v>
      </c>
      <c r="P94" s="551">
        <f>SUM($B66:P66)</f>
        <v>290</v>
      </c>
      <c r="Q94" s="551">
        <f>SUM($B66:Q66)</f>
        <v>290</v>
      </c>
      <c r="R94" s="551">
        <f>SUM($B66:R66)</f>
        <v>290</v>
      </c>
      <c r="S94" s="551">
        <f>SUM($B66:S66)</f>
        <v>290</v>
      </c>
      <c r="T94" s="551">
        <f>SUM($B66:T66)</f>
        <v>290</v>
      </c>
      <c r="U94" s="551">
        <f>SUM($B66:U66)</f>
        <v>290</v>
      </c>
      <c r="V94" s="552">
        <f>V66</f>
        <v>290</v>
      </c>
    </row>
    <row r="95" spans="1:22" s="547" customFormat="1" ht="19.5" customHeight="1">
      <c r="A95" s="550" t="s">
        <v>328</v>
      </c>
      <c r="B95" s="551">
        <f>SUM($B70:B70)</f>
        <v>139</v>
      </c>
      <c r="C95" s="551">
        <f>SUM($B70:C70)</f>
        <v>139</v>
      </c>
      <c r="D95" s="551">
        <f>SUM($B70:D70)</f>
        <v>151</v>
      </c>
      <c r="E95" s="551">
        <f>SUM($B70:E70)</f>
        <v>202</v>
      </c>
      <c r="F95" s="551">
        <f>SUM($B70:F70)</f>
        <v>280</v>
      </c>
      <c r="G95" s="551">
        <f>SUM($B70:G70)</f>
        <v>280</v>
      </c>
      <c r="H95" s="551">
        <f>SUM($B70:H70)</f>
        <v>280</v>
      </c>
      <c r="I95" s="551">
        <f>SUM($B70:I70)</f>
        <v>280</v>
      </c>
      <c r="J95" s="551">
        <f>SUM($B70:J70)</f>
        <v>280</v>
      </c>
      <c r="K95" s="551">
        <f>SUM($B70:K70)</f>
        <v>280</v>
      </c>
      <c r="L95" s="551">
        <f>SUM($B70:L70)</f>
        <v>280</v>
      </c>
      <c r="M95" s="551">
        <f>SUM($B70:M70)</f>
        <v>280</v>
      </c>
      <c r="N95" s="551">
        <f>SUM($B70:N70)</f>
        <v>280</v>
      </c>
      <c r="O95" s="551">
        <f>SUM($B70:O70)</f>
        <v>280</v>
      </c>
      <c r="P95" s="551">
        <f>SUM($B70:P70)</f>
        <v>280</v>
      </c>
      <c r="Q95" s="551">
        <f>SUM($B70:Q70)</f>
        <v>280</v>
      </c>
      <c r="R95" s="551">
        <f>SUM($B70:R70)</f>
        <v>280</v>
      </c>
      <c r="S95" s="551">
        <f>SUM($B70:S70)</f>
        <v>280</v>
      </c>
      <c r="T95" s="551">
        <f>SUM($B70:T70)</f>
        <v>280</v>
      </c>
      <c r="U95" s="551">
        <f>SUM($B70:U70)</f>
        <v>280</v>
      </c>
      <c r="V95" s="552">
        <f>V70</f>
        <v>78</v>
      </c>
    </row>
    <row r="96" spans="1:22" s="547" customFormat="1" ht="19.2" customHeight="1">
      <c r="A96" s="550" t="s">
        <v>904</v>
      </c>
      <c r="B96" s="551">
        <f>SUM($B71:B71)</f>
        <v>86</v>
      </c>
      <c r="C96" s="551">
        <f>SUM($B71:C71)</f>
        <v>86</v>
      </c>
      <c r="D96" s="551">
        <f>SUM($B71:D71)</f>
        <v>98</v>
      </c>
      <c r="E96" s="551">
        <f>SUM($B71:E71)</f>
        <v>149</v>
      </c>
      <c r="F96" s="551">
        <f>SUM($B71:F71)</f>
        <v>227</v>
      </c>
      <c r="G96" s="551">
        <f>SUM($B71:G71)</f>
        <v>227</v>
      </c>
      <c r="H96" s="551">
        <f>SUM($B71:H71)</f>
        <v>227</v>
      </c>
      <c r="I96" s="551">
        <f>SUM($B71:I71)</f>
        <v>227</v>
      </c>
      <c r="J96" s="551">
        <f>SUM($B71:J71)</f>
        <v>227</v>
      </c>
      <c r="K96" s="551">
        <f>SUM($B71:K71)</f>
        <v>227</v>
      </c>
      <c r="L96" s="551">
        <f>SUM($B71:L71)</f>
        <v>227</v>
      </c>
      <c r="M96" s="551">
        <f>SUM($B71:M71)</f>
        <v>227</v>
      </c>
      <c r="N96" s="551">
        <f>SUM($B71:N71)</f>
        <v>227</v>
      </c>
      <c r="O96" s="551">
        <f>SUM($B71:O71)</f>
        <v>227</v>
      </c>
      <c r="P96" s="551">
        <f>SUM($B71:P71)</f>
        <v>227</v>
      </c>
      <c r="Q96" s="551">
        <f>SUM($B71:Q71)</f>
        <v>227</v>
      </c>
      <c r="R96" s="551">
        <f>SUM($B71:R71)</f>
        <v>227</v>
      </c>
      <c r="S96" s="551">
        <f>SUM($B71:S71)</f>
        <v>227</v>
      </c>
      <c r="T96" s="551">
        <f>SUM($B71:T71)</f>
        <v>227</v>
      </c>
      <c r="U96" s="551">
        <f>SUM($B71:U71)</f>
        <v>227</v>
      </c>
      <c r="V96" s="552">
        <f>V71</f>
        <v>78</v>
      </c>
    </row>
    <row r="97" spans="1:22" s="547" customFormat="1" ht="19.2" customHeight="1">
      <c r="A97" s="550" t="s">
        <v>910</v>
      </c>
      <c r="B97" s="551">
        <f>SUM($B72:B72)</f>
        <v>43</v>
      </c>
      <c r="C97" s="551">
        <f>SUM($B72:C72)</f>
        <v>43</v>
      </c>
      <c r="D97" s="551">
        <f>SUM($B72:D72)</f>
        <v>43</v>
      </c>
      <c r="E97" s="551">
        <f>SUM($B72:E72)</f>
        <v>43</v>
      </c>
      <c r="F97" s="551">
        <f>SUM($B72:F72)</f>
        <v>43</v>
      </c>
      <c r="G97" s="551">
        <f>SUM($B72:G72)</f>
        <v>43</v>
      </c>
      <c r="H97" s="551">
        <f>SUM($B72:H72)</f>
        <v>43</v>
      </c>
      <c r="I97" s="551">
        <f>SUM($B72:I72)</f>
        <v>43</v>
      </c>
      <c r="J97" s="551">
        <f>SUM($B72:J72)</f>
        <v>43</v>
      </c>
      <c r="K97" s="551">
        <f>SUM($B72:K72)</f>
        <v>43</v>
      </c>
      <c r="L97" s="551">
        <f>SUM($B72:L72)</f>
        <v>43</v>
      </c>
      <c r="M97" s="551">
        <f>SUM($B72:M72)</f>
        <v>43</v>
      </c>
      <c r="N97" s="551">
        <f>SUM($B72:N72)</f>
        <v>43</v>
      </c>
      <c r="O97" s="551">
        <f>SUM($B72:O72)</f>
        <v>43</v>
      </c>
      <c r="P97" s="551">
        <f>SUM($B72:P72)</f>
        <v>43</v>
      </c>
      <c r="Q97" s="551">
        <f>SUM($B72:Q72)</f>
        <v>43</v>
      </c>
      <c r="R97" s="551">
        <f>SUM($B72:R72)</f>
        <v>43</v>
      </c>
      <c r="S97" s="551">
        <f>SUM($B72:S72)</f>
        <v>43</v>
      </c>
      <c r="T97" s="551">
        <f>SUM($B72:T72)</f>
        <v>43</v>
      </c>
      <c r="U97" s="551">
        <f>SUM($B72:U72)</f>
        <v>43</v>
      </c>
      <c r="V97" s="552">
        <f>V72</f>
        <v>0</v>
      </c>
    </row>
    <row r="98" spans="1:22" s="547" customFormat="1" ht="19.5" customHeight="1">
      <c r="A98" s="544" t="s">
        <v>329</v>
      </c>
      <c r="B98" s="545">
        <f t="shared" ref="B98:C98" si="116">IF($V$64=0,"-",B95/$V$64)</f>
        <v>0.19577464788732393</v>
      </c>
      <c r="C98" s="545">
        <f t="shared" si="116"/>
        <v>0.19577464788732393</v>
      </c>
      <c r="D98" s="545">
        <f>IF($V$64=0,"-",D95/$V$64)</f>
        <v>0.21267605633802816</v>
      </c>
      <c r="E98" s="545">
        <f t="shared" ref="E98:U98" si="117">IF($V$64=0,"-",E95/$V$64)</f>
        <v>0.28450704225352114</v>
      </c>
      <c r="F98" s="545">
        <f t="shared" si="117"/>
        <v>0.39436619718309857</v>
      </c>
      <c r="G98" s="545">
        <f t="shared" si="117"/>
        <v>0.39436619718309857</v>
      </c>
      <c r="H98" s="545">
        <f t="shared" si="117"/>
        <v>0.39436619718309857</v>
      </c>
      <c r="I98" s="545">
        <f t="shared" si="117"/>
        <v>0.39436619718309857</v>
      </c>
      <c r="J98" s="545">
        <f t="shared" si="117"/>
        <v>0.39436619718309857</v>
      </c>
      <c r="K98" s="545">
        <f t="shared" si="117"/>
        <v>0.39436619718309857</v>
      </c>
      <c r="L98" s="545">
        <f t="shared" si="117"/>
        <v>0.39436619718309857</v>
      </c>
      <c r="M98" s="545">
        <f t="shared" si="117"/>
        <v>0.39436619718309857</v>
      </c>
      <c r="N98" s="545">
        <f t="shared" si="117"/>
        <v>0.39436619718309857</v>
      </c>
      <c r="O98" s="545">
        <f t="shared" si="117"/>
        <v>0.39436619718309857</v>
      </c>
      <c r="P98" s="545">
        <f t="shared" si="117"/>
        <v>0.39436619718309857</v>
      </c>
      <c r="Q98" s="545">
        <f t="shared" si="117"/>
        <v>0.39436619718309857</v>
      </c>
      <c r="R98" s="545">
        <f t="shared" si="117"/>
        <v>0.39436619718309857</v>
      </c>
      <c r="S98" s="545">
        <f t="shared" si="117"/>
        <v>0.39436619718309857</v>
      </c>
      <c r="T98" s="545">
        <f t="shared" si="117"/>
        <v>0.39436619718309857</v>
      </c>
      <c r="U98" s="545">
        <f t="shared" si="117"/>
        <v>0.39436619718309857</v>
      </c>
      <c r="V98" s="601">
        <f t="shared" ref="V98" si="118">IF($V$64=0,"-",V95/$V$64)</f>
        <v>0.10985915492957747</v>
      </c>
    </row>
    <row r="99" spans="1:22" s="547" customFormat="1" ht="19.5" customHeight="1">
      <c r="A99" s="544" t="s">
        <v>931</v>
      </c>
      <c r="B99" s="545">
        <f t="shared" ref="B99:C99" si="119">IF($V$65=0,"-",B96/$V$65)</f>
        <v>0.2097560975609756</v>
      </c>
      <c r="C99" s="545">
        <f t="shared" si="119"/>
        <v>0.2097560975609756</v>
      </c>
      <c r="D99" s="545">
        <f>IF($V$65=0,"-",D96/$V$65)</f>
        <v>0.23902439024390243</v>
      </c>
      <c r="E99" s="545">
        <f t="shared" ref="E99:U99" si="120">IF($V$65=0,"-",E96/$V$65)</f>
        <v>0.36341463414634145</v>
      </c>
      <c r="F99" s="545">
        <f t="shared" si="120"/>
        <v>0.5536585365853659</v>
      </c>
      <c r="G99" s="545">
        <f t="shared" si="120"/>
        <v>0.5536585365853659</v>
      </c>
      <c r="H99" s="545">
        <f t="shared" si="120"/>
        <v>0.5536585365853659</v>
      </c>
      <c r="I99" s="545">
        <f t="shared" si="120"/>
        <v>0.5536585365853659</v>
      </c>
      <c r="J99" s="545">
        <f t="shared" si="120"/>
        <v>0.5536585365853659</v>
      </c>
      <c r="K99" s="545">
        <f t="shared" si="120"/>
        <v>0.5536585365853659</v>
      </c>
      <c r="L99" s="545">
        <f t="shared" si="120"/>
        <v>0.5536585365853659</v>
      </c>
      <c r="M99" s="545">
        <f t="shared" si="120"/>
        <v>0.5536585365853659</v>
      </c>
      <c r="N99" s="545">
        <f t="shared" si="120"/>
        <v>0.5536585365853659</v>
      </c>
      <c r="O99" s="545">
        <f t="shared" si="120"/>
        <v>0.5536585365853659</v>
      </c>
      <c r="P99" s="545">
        <f t="shared" si="120"/>
        <v>0.5536585365853659</v>
      </c>
      <c r="Q99" s="545">
        <f t="shared" si="120"/>
        <v>0.5536585365853659</v>
      </c>
      <c r="R99" s="545">
        <f t="shared" si="120"/>
        <v>0.5536585365853659</v>
      </c>
      <c r="S99" s="545">
        <f t="shared" si="120"/>
        <v>0.5536585365853659</v>
      </c>
      <c r="T99" s="545">
        <f t="shared" si="120"/>
        <v>0.5536585365853659</v>
      </c>
      <c r="U99" s="545">
        <f t="shared" si="120"/>
        <v>0.5536585365853659</v>
      </c>
      <c r="V99" s="601">
        <f t="shared" ref="V99" si="121">IF($V$65=0,"-",V96/$V$65)</f>
        <v>0.19024390243902439</v>
      </c>
    </row>
    <row r="100" spans="1:22" s="547" customFormat="1" ht="19.5" customHeight="1">
      <c r="A100" s="544" t="s">
        <v>932</v>
      </c>
      <c r="B100" s="545">
        <f t="shared" ref="B100:C100" si="122">IF($V$66=0,"-",B97/$V$66)</f>
        <v>0.14827586206896551</v>
      </c>
      <c r="C100" s="545">
        <f t="shared" si="122"/>
        <v>0.14827586206896551</v>
      </c>
      <c r="D100" s="545">
        <f>IF($V$66=0,"-",D97/$V$66)</f>
        <v>0.14827586206896551</v>
      </c>
      <c r="E100" s="545">
        <f t="shared" ref="E100:U100" si="123">IF($V$66=0,"-",E97/$V$66)</f>
        <v>0.14827586206896551</v>
      </c>
      <c r="F100" s="545">
        <f t="shared" si="123"/>
        <v>0.14827586206896551</v>
      </c>
      <c r="G100" s="545">
        <f t="shared" si="123"/>
        <v>0.14827586206896551</v>
      </c>
      <c r="H100" s="545">
        <f t="shared" si="123"/>
        <v>0.14827586206896551</v>
      </c>
      <c r="I100" s="545">
        <f t="shared" si="123"/>
        <v>0.14827586206896551</v>
      </c>
      <c r="J100" s="545">
        <f t="shared" si="123"/>
        <v>0.14827586206896551</v>
      </c>
      <c r="K100" s="545">
        <f t="shared" si="123"/>
        <v>0.14827586206896551</v>
      </c>
      <c r="L100" s="545">
        <f t="shared" si="123"/>
        <v>0.14827586206896551</v>
      </c>
      <c r="M100" s="545">
        <f t="shared" si="123"/>
        <v>0.14827586206896551</v>
      </c>
      <c r="N100" s="545">
        <f t="shared" si="123"/>
        <v>0.14827586206896551</v>
      </c>
      <c r="O100" s="545">
        <f t="shared" si="123"/>
        <v>0.14827586206896551</v>
      </c>
      <c r="P100" s="545">
        <f t="shared" si="123"/>
        <v>0.14827586206896551</v>
      </c>
      <c r="Q100" s="545">
        <f t="shared" si="123"/>
        <v>0.14827586206896551</v>
      </c>
      <c r="R100" s="545">
        <f t="shared" si="123"/>
        <v>0.14827586206896551</v>
      </c>
      <c r="S100" s="545">
        <f t="shared" si="123"/>
        <v>0.14827586206896551</v>
      </c>
      <c r="T100" s="545">
        <f t="shared" si="123"/>
        <v>0.14827586206896551</v>
      </c>
      <c r="U100" s="545">
        <f t="shared" si="123"/>
        <v>0.14827586206896551</v>
      </c>
      <c r="V100" s="601">
        <f t="shared" ref="V100" si="124">IF($V$66=0,"-",V97/$V$66)</f>
        <v>0</v>
      </c>
    </row>
    <row r="101" spans="1:22" s="547" customFormat="1" ht="19.5" customHeight="1">
      <c r="A101" s="548" t="s">
        <v>330</v>
      </c>
      <c r="B101" s="549">
        <f t="shared" ref="B101:C101" si="125">IF($V$64=0,"-",B92/$V$64)</f>
        <v>0.19577464788732393</v>
      </c>
      <c r="C101" s="549">
        <f t="shared" si="125"/>
        <v>0.19577464788732393</v>
      </c>
      <c r="D101" s="549">
        <f>IF($V$64=0,"-",D92/$V$64)</f>
        <v>0.21267605633802816</v>
      </c>
      <c r="E101" s="549">
        <f t="shared" ref="E101:U101" si="126">IF($V$64=0,"-",E92/$V$64)</f>
        <v>0.28732394366197184</v>
      </c>
      <c r="F101" s="549">
        <f t="shared" si="126"/>
        <v>0.37183098591549296</v>
      </c>
      <c r="G101" s="549">
        <f t="shared" si="126"/>
        <v>0.6873239436619718</v>
      </c>
      <c r="H101" s="549">
        <f t="shared" si="126"/>
        <v>0.75633802816901408</v>
      </c>
      <c r="I101" s="549">
        <f t="shared" si="126"/>
        <v>0.8267605633802817</v>
      </c>
      <c r="J101" s="549">
        <f t="shared" si="126"/>
        <v>0.87042253521126756</v>
      </c>
      <c r="K101" s="549">
        <f t="shared" si="126"/>
        <v>0.9915492957746479</v>
      </c>
      <c r="L101" s="549">
        <f t="shared" si="126"/>
        <v>0.9915492957746479</v>
      </c>
      <c r="M101" s="549">
        <f t="shared" si="126"/>
        <v>0.9915492957746479</v>
      </c>
      <c r="N101" s="549">
        <f t="shared" si="126"/>
        <v>0.9915492957746479</v>
      </c>
      <c r="O101" s="549">
        <f t="shared" si="126"/>
        <v>0.9915492957746479</v>
      </c>
      <c r="P101" s="549">
        <f t="shared" si="126"/>
        <v>0.9915492957746479</v>
      </c>
      <c r="Q101" s="549">
        <f t="shared" si="126"/>
        <v>1</v>
      </c>
      <c r="R101" s="549">
        <f t="shared" si="126"/>
        <v>1</v>
      </c>
      <c r="S101" s="549">
        <f t="shared" si="126"/>
        <v>1</v>
      </c>
      <c r="T101" s="549">
        <f t="shared" si="126"/>
        <v>1</v>
      </c>
      <c r="U101" s="549">
        <f t="shared" si="126"/>
        <v>1</v>
      </c>
      <c r="V101" s="601">
        <f t="shared" ref="V101" si="127">IF($V$64=0,"-",V92/$V$64)</f>
        <v>1</v>
      </c>
    </row>
    <row r="102" spans="1:22" s="547" customFormat="1" ht="19.5" customHeight="1">
      <c r="A102" s="548" t="s">
        <v>906</v>
      </c>
      <c r="B102" s="549">
        <f t="shared" ref="B102:C102" si="128">IF($V$65=0,"-",B93/$V$65)</f>
        <v>0.2097560975609756</v>
      </c>
      <c r="C102" s="549">
        <f t="shared" si="128"/>
        <v>0.2097560975609756</v>
      </c>
      <c r="D102" s="549">
        <f>IF($V$65=0,"-",D93/$V$65)</f>
        <v>0.23902439024390243</v>
      </c>
      <c r="E102" s="549">
        <f t="shared" ref="E102:U102" si="129">IF($V$65=0,"-",E93/$V$65)</f>
        <v>0.36829268292682926</v>
      </c>
      <c r="F102" s="549">
        <f t="shared" si="129"/>
        <v>0.51463414634146343</v>
      </c>
      <c r="G102" s="549">
        <f t="shared" si="129"/>
        <v>0.63170731707317074</v>
      </c>
      <c r="H102" s="549">
        <f t="shared" si="129"/>
        <v>0.70487804878048776</v>
      </c>
      <c r="I102" s="549">
        <f t="shared" si="129"/>
        <v>0.79024390243902443</v>
      </c>
      <c r="J102" s="549">
        <f t="shared" si="129"/>
        <v>0.86585365853658536</v>
      </c>
      <c r="K102" s="549">
        <f t="shared" si="129"/>
        <v>0.98536585365853657</v>
      </c>
      <c r="L102" s="549">
        <f t="shared" si="129"/>
        <v>0.98536585365853657</v>
      </c>
      <c r="M102" s="549">
        <f t="shared" si="129"/>
        <v>0.98536585365853657</v>
      </c>
      <c r="N102" s="549">
        <f t="shared" si="129"/>
        <v>0.98536585365853657</v>
      </c>
      <c r="O102" s="549">
        <f t="shared" si="129"/>
        <v>0.98536585365853657</v>
      </c>
      <c r="P102" s="549">
        <f t="shared" si="129"/>
        <v>0.98536585365853657</v>
      </c>
      <c r="Q102" s="549">
        <f t="shared" si="129"/>
        <v>1</v>
      </c>
      <c r="R102" s="549">
        <f t="shared" si="129"/>
        <v>1</v>
      </c>
      <c r="S102" s="549">
        <f t="shared" si="129"/>
        <v>1</v>
      </c>
      <c r="T102" s="549">
        <f t="shared" si="129"/>
        <v>1</v>
      </c>
      <c r="U102" s="549">
        <f t="shared" si="129"/>
        <v>1</v>
      </c>
      <c r="V102" s="601">
        <f t="shared" ref="V102" si="130">IF($V$65=0,"-",V93/$V$65)</f>
        <v>1</v>
      </c>
    </row>
    <row r="103" spans="1:22" s="547" customFormat="1" ht="19.5" customHeight="1">
      <c r="A103" s="548" t="s">
        <v>912</v>
      </c>
      <c r="B103" s="549">
        <f t="shared" ref="B103:C103" si="131">IF($V$66=0,"-",B94/$V$66)</f>
        <v>0.14827586206896551</v>
      </c>
      <c r="C103" s="549">
        <f t="shared" si="131"/>
        <v>0.14827586206896551</v>
      </c>
      <c r="D103" s="549">
        <f>IF($V$66=0,"-",D94/$V$66)</f>
        <v>0.14827586206896551</v>
      </c>
      <c r="E103" s="549">
        <f t="shared" ref="E103:U103" si="132">IF($V$66=0,"-",E94/$V$66)</f>
        <v>0.14827586206896551</v>
      </c>
      <c r="F103" s="549">
        <f t="shared" si="132"/>
        <v>0.14827586206896551</v>
      </c>
      <c r="G103" s="549">
        <f t="shared" si="132"/>
        <v>0.7551724137931034</v>
      </c>
      <c r="H103" s="549">
        <f t="shared" si="132"/>
        <v>0.82068965517241377</v>
      </c>
      <c r="I103" s="549">
        <f t="shared" si="132"/>
        <v>0.87241379310344824</v>
      </c>
      <c r="J103" s="549">
        <f t="shared" si="132"/>
        <v>0.87241379310344824</v>
      </c>
      <c r="K103" s="549">
        <f t="shared" si="132"/>
        <v>1</v>
      </c>
      <c r="L103" s="549">
        <f t="shared" si="132"/>
        <v>1</v>
      </c>
      <c r="M103" s="549">
        <f t="shared" si="132"/>
        <v>1</v>
      </c>
      <c r="N103" s="549">
        <f t="shared" si="132"/>
        <v>1</v>
      </c>
      <c r="O103" s="549">
        <f t="shared" si="132"/>
        <v>1</v>
      </c>
      <c r="P103" s="549">
        <f t="shared" si="132"/>
        <v>1</v>
      </c>
      <c r="Q103" s="549">
        <f t="shared" si="132"/>
        <v>1</v>
      </c>
      <c r="R103" s="549">
        <f t="shared" si="132"/>
        <v>1</v>
      </c>
      <c r="S103" s="549">
        <f t="shared" si="132"/>
        <v>1</v>
      </c>
      <c r="T103" s="549">
        <f t="shared" si="132"/>
        <v>1</v>
      </c>
      <c r="U103" s="549">
        <f t="shared" si="132"/>
        <v>1</v>
      </c>
      <c r="V103" s="601">
        <f t="shared" ref="V103" si="133">IF($V$66=0,"-",V94/$V$66)</f>
        <v>1</v>
      </c>
    </row>
    <row r="104" spans="1:22" ht="4.5" customHeight="1"/>
    <row r="105" spans="1:22" ht="24" customHeight="1">
      <c r="A105" s="1170" t="s">
        <v>934</v>
      </c>
      <c r="B105" s="1171"/>
      <c r="C105" s="1171"/>
      <c r="D105" s="1171"/>
      <c r="E105" s="1171"/>
      <c r="F105" s="1171"/>
      <c r="G105" s="1171"/>
      <c r="H105" s="1171"/>
      <c r="I105" s="1171"/>
      <c r="J105" s="1171"/>
      <c r="K105" s="1171"/>
      <c r="L105" s="1171"/>
      <c r="M105" s="1171"/>
      <c r="N105" s="1171"/>
      <c r="O105" s="1171"/>
      <c r="P105" s="1171"/>
      <c r="Q105" s="1171"/>
      <c r="R105" s="1171"/>
      <c r="S105" s="1171"/>
      <c r="T105" s="1171"/>
      <c r="U105" s="1171"/>
      <c r="V105" s="1171"/>
    </row>
    <row r="106" spans="1:22" ht="18" customHeight="1">
      <c r="A106" s="527" t="s">
        <v>313</v>
      </c>
      <c r="B106" s="528" cm="1">
        <f t="array" ref="B106">SUMPRODUCT((SVB!$R$2:$R$740&gt;=B311)*(SVB!$R$2:$R$740&lt;=B312)*(SVB!$B$2:$B$740="D1-091")*(ISNUMBER(SVB!$F$2:$F$740))*(SVB!$F$2:$F$740))</f>
        <v>2</v>
      </c>
      <c r="C106" s="528" cm="1">
        <f t="array" ref="C106">SUMPRODUCT((SVB!$R$2:$R$740&gt;=C311)*(SVB!$R$2:$R$740&lt;=C312)*(SVB!$B$2:$B$740="D1-091")*(ISNUMBER(SVB!$F$2:$F$740))*(SVB!$F$2:$F$740))</f>
        <v>0</v>
      </c>
      <c r="D106" s="528" cm="1">
        <f t="array" ref="D106">SUMPRODUCT((SVB!$R$2:$R$740&gt;=D311)*(SVB!$R$2:$R$740&lt;=D312)*(SVB!$B$2:$B$740="D1-091")*(ISNUMBER(SVB!$F$2:$F$740))*(SVB!$F$2:$F$740))</f>
        <v>0</v>
      </c>
      <c r="E106" s="528" cm="1">
        <f t="array" ref="E106">SUMPRODUCT((SVB!$R$2:$R$740&gt;=E311)*(SVB!$R$2:$R$740&lt;=E312)*(SVB!$B$2:$B$740="D1-091")*(ISNUMBER(SVB!$F$2:$F$740))*(SVB!$F$2:$F$740))</f>
        <v>0</v>
      </c>
      <c r="F106" s="528" cm="1">
        <f t="array" ref="F106">SUMPRODUCT((SVB!$R$2:$R$740&gt;=F311)*(SVB!$R$2:$R$740&lt;=F312)*(SVB!$B$2:$B$740="D1-091")*(ISNUMBER(SVB!$F$2:$F$740))*(SVB!$F$2:$F$740))</f>
        <v>0</v>
      </c>
      <c r="G106" s="528" cm="1">
        <f t="array" ref="G106">SUMPRODUCT((SVB!$R$2:$R$740&gt;=G311)*(SVB!$R$2:$R$740&lt;=G312)*(SVB!$B$2:$B$740="D1-091")*(ISNUMBER(SVB!$F$2:$F$740))*(SVB!$F$2:$F$740))</f>
        <v>0</v>
      </c>
      <c r="H106" s="528" cm="1">
        <f t="array" ref="H106">SUMPRODUCT((SVB!$R$2:$R$740&gt;=H311)*(SVB!$R$2:$R$740&lt;=H312)*(SVB!$B$2:$B$740="D1-091")*(ISNUMBER(SVB!$F$2:$F$740))*(SVB!$F$2:$F$740))</f>
        <v>0</v>
      </c>
      <c r="I106" s="528" cm="1">
        <f t="array" ref="I106">SUMPRODUCT((SVB!$R$2:$R$740&gt;=I311)*(SVB!$R$2:$R$740&lt;=I312)*(SVB!$B$2:$B$740="D1-091")*(ISNUMBER(SVB!$F$2:$F$740))*(SVB!$F$2:$F$740))</f>
        <v>0</v>
      </c>
      <c r="J106" s="528" cm="1">
        <f t="array" ref="J106">SUMPRODUCT((SVB!$R$2:$R$740&gt;=J311)*(SVB!$R$2:$R$740&lt;=J312)*(SVB!$B$2:$B$740="D1-091")*(ISNUMBER(SVB!$F$2:$F$740))*(SVB!$F$2:$F$740))</f>
        <v>0</v>
      </c>
      <c r="K106" s="528" cm="1">
        <f t="array" ref="K106">SUMPRODUCT((SVB!$R$2:$R$740&gt;=K311)*(SVB!$R$2:$R$740&lt;=K312)*(SVB!$B$2:$B$740="D1-091")*(ISNUMBER(SVB!$F$2:$F$740))*(SVB!$F$2:$F$740))</f>
        <v>0</v>
      </c>
      <c r="L106" s="528" cm="1">
        <f t="array" ref="L106">SUMPRODUCT((SVB!$R$2:$R$740&gt;=L311)*(SVB!$R$2:$R$740&lt;=L312)*(SVB!$B$2:$B$740="D1-091")*(ISNUMBER(SVB!$F$2:$F$740))*(SVB!$F$2:$F$740))</f>
        <v>0</v>
      </c>
      <c r="M106" s="528" cm="1">
        <f t="array" ref="M106">SUMPRODUCT((SVB!$R$2:$R$740&gt;=M311)*(SVB!$R$2:$R$740&lt;=M312)*(SVB!$B$2:$B$740="D1-091")*(ISNUMBER(SVB!$F$2:$F$740))*(SVB!$F$2:$F$740))</f>
        <v>0</v>
      </c>
      <c r="N106" s="528" cm="1">
        <f t="array" ref="N106">SUMPRODUCT((SVB!$R$2:$R$740&gt;=N311)*(SVB!$R$2:$R$740&lt;=N312)*(SVB!$B$2:$B$740="D1-091")*(ISNUMBER(SVB!$F$2:$F$740))*(SVB!$F$2:$F$740))</f>
        <v>0</v>
      </c>
      <c r="O106" s="528" cm="1">
        <f t="array" ref="O106">SUMPRODUCT((SVB!$R$2:$R$740&gt;=O311)*(SVB!$R$2:$R$740&lt;=O312)*(SVB!$B$2:$B$740="D1-091")*(ISNUMBER(SVB!$F$2:$F$740))*(SVB!$F$2:$F$740))</f>
        <v>0</v>
      </c>
      <c r="P106" s="528" cm="1">
        <f t="array" ref="P106">SUMPRODUCT((SVB!$R$2:$R$740&gt;=P311)*(SVB!$R$2:$R$740&lt;=P312)*(SVB!$B$2:$B$740="D1-091")*(ISNUMBER(SVB!$F$2:$F$740))*(SVB!$F$2:$F$740))</f>
        <v>50</v>
      </c>
      <c r="Q106" s="528" cm="1">
        <f t="array" ref="Q106">SUMPRODUCT((SVB!$R$2:$R$740&gt;=Q311)*(SVB!$R$2:$R$740&lt;=Q312)*(SVB!$B$2:$B$740="D1-091")*(ISNUMBER(SVB!$F$2:$F$740))*(SVB!$F$2:$F$740))</f>
        <v>91</v>
      </c>
      <c r="R106" s="528" cm="1">
        <f t="array" ref="R106">SUMPRODUCT((SVB!$R$2:$R$740&gt;=R311)*(SVB!$R$2:$R$740&lt;=R312)*(SVB!$B$2:$B$740="D1-091")*(ISNUMBER(SVB!$F$2:$F$740))*(SVB!$F$2:$F$740))</f>
        <v>4</v>
      </c>
      <c r="S106" s="528" cm="1">
        <f t="array" ref="S106">SUMPRODUCT((SVB!$R$2:$R$740&gt;=S311)*(SVB!$R$2:$R$740&lt;=S312)*(SVB!$B$2:$B$740="D1-091")*(ISNUMBER(SVB!$F$2:$F$740))*(SVB!$F$2:$F$740))</f>
        <v>0</v>
      </c>
      <c r="T106" s="528" cm="1">
        <f t="array" ref="T106">SUMPRODUCT((SVB!$R$2:$R$740&gt;=T311)*(SVB!$R$2:$R$740&lt;=T312)*(SVB!$B$2:$B$740="D1-091")*(ISNUMBER(SVB!$F$2:$F$740))*(SVB!$F$2:$F$740))</f>
        <v>0</v>
      </c>
      <c r="U106" s="528" cm="1">
        <f t="array" ref="U106">SUMPRODUCT((SVB!$R$2:$R$740&gt;=U311)*(SVB!$R$2:$R$740&lt;=U312)*(SVB!$B$2:$B$740="D1-091")*(ISNUMBER(SVB!$F$2:$F$740))*(SVB!$F$2:$F$740))</f>
        <v>0</v>
      </c>
      <c r="V106" s="529" cm="1">
        <f t="array" ref="V106">SUMPRODUCT((SVB!$B$2:$B$740="D1-091")*(ISNUMBER(SVB!$F$2:$F$740))*(SVB!$F$2:$F$740))</f>
        <v>147</v>
      </c>
    </row>
    <row r="107" spans="1:22" ht="18" customHeight="1">
      <c r="A107" s="442" t="s">
        <v>917</v>
      </c>
      <c r="B107" s="443" cm="1">
        <f t="array" ref="B107">SUMPRODUCT((SVB!$S$2:$S$740&gt;=B311)*(SVB!$S$2:$S$740&lt;=B312)*(SVB!$B$2:$B$740="D1-091")*(ISNUMBER(SVB!$M$2:$M$740))*(SVB!$M$2:$M$740))</f>
        <v>2</v>
      </c>
      <c r="C107" s="443" cm="1">
        <f t="array" ref="C107">SUMPRODUCT((SVB!$S$2:$S$740&gt;=C311)*(SVB!$S$2:$S$740&lt;=C312)*(SVB!$B$2:$B$740="D1-091")*(ISNUMBER(SVB!$M$2:$M$740))*(SVB!$M$2:$M$740))</f>
        <v>0</v>
      </c>
      <c r="D107" s="443" cm="1">
        <f t="array" ref="D107">SUMPRODUCT((SVB!$S$2:$S$740&gt;=D311)*(SVB!$S$2:$S$740&lt;=D312)*(SVB!$B$2:$B$740="D1-091")*(ISNUMBER(SVB!$M$2:$M$740))*(SVB!$M$2:$M$740))</f>
        <v>0</v>
      </c>
      <c r="E107" s="443" cm="1">
        <f t="array" ref="E107">SUMPRODUCT((SVB!$S$2:$S$740&gt;=E311)*(SVB!$S$2:$S$740&lt;=E312)*(SVB!$B$2:$B$740="D1-091")*(ISNUMBER(SVB!$M$2:$M$740))*(SVB!$M$2:$M$740))</f>
        <v>0</v>
      </c>
      <c r="F107" s="443" cm="1">
        <f t="array" ref="F107">SUMPRODUCT((SVB!$S$2:$S$740&gt;=F311)*(SVB!$S$2:$S$740&lt;=F312)*(SVB!$B$2:$B$740="D1-091")*(ISNUMBER(SVB!$M$2:$M$740))*(SVB!$M$2:$M$740))</f>
        <v>0</v>
      </c>
      <c r="G107" s="443" cm="1">
        <f t="array" ref="G107">SUMPRODUCT((SVB!$S$2:$S$740&gt;=G311)*(SVB!$S$2:$S$740&lt;=G312)*(SVB!$B$2:$B$740="D1-091")*(ISNUMBER(SVB!$M$2:$M$740))*(SVB!$M$2:$M$740))</f>
        <v>0</v>
      </c>
      <c r="H107" s="443" cm="1">
        <f t="array" ref="H107">SUMPRODUCT((SVB!$S$2:$S$740&gt;=H311)*(SVB!$S$2:$S$740&lt;=H312)*(SVB!$B$2:$B$740="D1-091")*(ISNUMBER(SVB!$M$2:$M$740))*(SVB!$M$2:$M$740))</f>
        <v>0</v>
      </c>
      <c r="I107" s="443" cm="1">
        <f t="array" ref="I107">SUMPRODUCT((SVB!$S$2:$S$740&gt;=I311)*(SVB!$S$2:$S$740&lt;=I312)*(SVB!$B$2:$B$740="D1-091")*(ISNUMBER(SVB!$M$2:$M$740))*(SVB!$M$2:$M$740))</f>
        <v>0</v>
      </c>
      <c r="J107" s="443" cm="1">
        <f t="array" ref="J107">SUMPRODUCT((SVB!$S$2:$S$740&gt;=J311)*(SVB!$S$2:$S$740&lt;=J312)*(SVB!$B$2:$B$740="D1-091")*(ISNUMBER(SVB!$M$2:$M$740))*(SVB!$M$2:$M$740))</f>
        <v>0</v>
      </c>
      <c r="K107" s="443" cm="1">
        <f t="array" ref="K107">SUMPRODUCT((SVB!$S$2:$S$740&gt;=K311)*(SVB!$S$2:$S$740&lt;=K312)*(SVB!$B$2:$B$740="D1-091")*(ISNUMBER(SVB!$M$2:$M$740))*(SVB!$M$2:$M$740))</f>
        <v>0</v>
      </c>
      <c r="L107" s="443" cm="1">
        <f t="array" ref="L107">SUMPRODUCT((SVB!$S$2:$S$740&gt;=L311)*(SVB!$S$2:$S$740&lt;=L312)*(SVB!$B$2:$B$740="D1-091")*(ISNUMBER(SVB!$M$2:$M$740))*(SVB!$M$2:$M$740))</f>
        <v>0</v>
      </c>
      <c r="M107" s="443" cm="1">
        <f t="array" ref="M107">SUMPRODUCT((SVB!$S$2:$S$740&gt;=M311)*(SVB!$S$2:$S$740&lt;=M312)*(SVB!$B$2:$B$740="D1-091")*(ISNUMBER(SVB!$M$2:$M$740))*(SVB!$M$2:$M$740))</f>
        <v>0</v>
      </c>
      <c r="N107" s="443" cm="1">
        <f t="array" ref="N107">SUMPRODUCT((SVB!$S$2:$S$740&gt;=N311)*(SVB!$S$2:$S$740&lt;=N312)*(SVB!$B$2:$B$740="D1-091")*(ISNUMBER(SVB!$M$2:$M$740))*(SVB!$M$2:$M$740))</f>
        <v>0</v>
      </c>
      <c r="O107" s="443" cm="1">
        <f t="array" ref="O107">SUMPRODUCT((SVB!$S$2:$S$740&gt;=O311)*(SVB!$S$2:$S$740&lt;=O312)*(SVB!$B$2:$B$740="D1-091")*(ISNUMBER(SVB!$M$2:$M$740))*(SVB!$M$2:$M$740))</f>
        <v>0</v>
      </c>
      <c r="P107" s="443" cm="1">
        <f t="array" ref="P107">SUMPRODUCT((SVB!$S$2:$S$740&gt;=P311)*(SVB!$S$2:$S$740&lt;=P312)*(SVB!$B$2:$B$740="D1-091")*(ISNUMBER(SVB!$M$2:$M$740))*(SVB!$M$2:$M$740))</f>
        <v>0</v>
      </c>
      <c r="Q107" s="443" cm="1">
        <f t="array" ref="Q107">SUMPRODUCT((SVB!$S$2:$S$740&gt;=Q311)*(SVB!$S$2:$S$740&lt;=Q312)*(SVB!$B$2:$B$740="D1-091")*(ISNUMBER(SVB!$M$2:$M$740))*(SVB!$M$2:$M$740))</f>
        <v>0</v>
      </c>
      <c r="R107" s="443" cm="1">
        <f t="array" ref="R107">SUMPRODUCT((SVB!$S$2:$S$740&gt;=R311)*(SVB!$S$2:$S$740&lt;=R312)*(SVB!$B$2:$B$740="D1-091")*(ISNUMBER(SVB!$M$2:$M$740))*(SVB!$M$2:$M$740))</f>
        <v>0</v>
      </c>
      <c r="S107" s="443" cm="1">
        <f t="array" ref="S107">SUMPRODUCT((SVB!$S$2:$S$740&gt;=S311)*(SVB!$S$2:$S$740&lt;=S312)*(SVB!$B$2:$B$740="D1-091")*(ISNUMBER(SVB!$M$2:$M$740))*(SVB!$M$2:$M$740))</f>
        <v>0</v>
      </c>
      <c r="T107" s="443" cm="1">
        <f t="array" ref="T107">SUMPRODUCT((SVB!$S$2:$S$740&gt;=T311)*(SVB!$S$2:$S$740&lt;=T312)*(SVB!$B$2:$B$740="D1-091")*(ISNUMBER(SVB!$M$2:$M$740))*(SVB!$M$2:$M$740))</f>
        <v>0</v>
      </c>
      <c r="U107" s="443" cm="1">
        <f t="array" ref="U107">SUMPRODUCT((SVB!$S$2:$S$740&gt;=U311)*(SVB!$S$2:$S$740&lt;=U312)*(SVB!$B$2:$B$740="D1-091")*(ISNUMBER(SVB!$M$2:$M$740))*(SVB!$M$2:$M$740))</f>
        <v>0</v>
      </c>
      <c r="V107" s="529">
        <f>SUM(F107:U107)</f>
        <v>0</v>
      </c>
    </row>
    <row r="108" spans="1:22" ht="18" customHeight="1">
      <c r="A108" s="442" t="s">
        <v>918</v>
      </c>
      <c r="B108" s="443" cm="1">
        <f t="array" ref="B108">SUMPRODUCT((SVB!$S$2:$S$740&gt;=B311)*(SVB!$S$2:$S$740&lt;=B312)*(SVB!$B$2:$B$740="D1-091")*(ISNUMBER(SVB!$N$2:$N$740))*(SVB!$N$2:$N$740))</f>
        <v>2</v>
      </c>
      <c r="C108" s="443" cm="1">
        <f t="array" ref="C108">SUMPRODUCT((SVB!$S$2:$S$740&gt;=C311)*(SVB!$S$2:$S$740&lt;=C312)*(SVB!$B$2:$B$740="D1-091")*(ISNUMBER(SVB!$N$2:$N$740))*(SVB!$N$2:$N$740))</f>
        <v>0</v>
      </c>
      <c r="D108" s="443" cm="1">
        <f t="array" ref="D108">SUMPRODUCT((SVB!$S$2:$S$740&gt;=D311)*(SVB!$S$2:$S$740&lt;=D312)*(SVB!$B$2:$B$740="D1-091")*(ISNUMBER(SVB!$N$2:$N$740))*(SVB!$N$2:$N$740))</f>
        <v>0</v>
      </c>
      <c r="E108" s="443" cm="1">
        <f t="array" ref="E108">SUMPRODUCT((SVB!$S$2:$S$740&gt;=E311)*(SVB!$S$2:$S$740&lt;=E312)*(SVB!$B$2:$B$740="D1-091")*(ISNUMBER(SVB!$N$2:$N$740))*(SVB!$N$2:$N$740))</f>
        <v>0</v>
      </c>
      <c r="F108" s="443" cm="1">
        <f t="array" ref="F108">SUMPRODUCT((SVB!$S$2:$S$740&gt;=F311)*(SVB!$S$2:$S$740&lt;=F312)*(SVB!$B$2:$B$740="D1-091")*(ISNUMBER(SVB!$N$2:$N$740))*(SVB!$N$2:$N$740))</f>
        <v>0</v>
      </c>
      <c r="G108" s="443" cm="1">
        <f t="array" ref="G108">SUMPRODUCT((SVB!$S$2:$S$740&gt;=G311)*(SVB!$S$2:$S$740&lt;=G312)*(SVB!$B$2:$B$740="D1-091")*(ISNUMBER(SVB!$N$2:$N$740))*(SVB!$N$2:$N$740))</f>
        <v>0</v>
      </c>
      <c r="H108" s="443" cm="1">
        <f t="array" ref="H108">SUMPRODUCT((SVB!$S$2:$S$740&gt;=H311)*(SVB!$S$2:$S$740&lt;=H312)*(SVB!$B$2:$B$740="D1-091")*(ISNUMBER(SVB!$N$2:$N$740))*(SVB!$N$2:$N$740))</f>
        <v>0</v>
      </c>
      <c r="I108" s="443" cm="1">
        <f t="array" ref="I108">SUMPRODUCT((SVB!$S$2:$S$740&gt;=I311)*(SVB!$S$2:$S$740&lt;=I312)*(SVB!$B$2:$B$740="D1-091")*(ISNUMBER(SVB!$N$2:$N$740))*(SVB!$N$2:$N$740))</f>
        <v>0</v>
      </c>
      <c r="J108" s="443" cm="1">
        <f t="array" ref="J108">SUMPRODUCT((SVB!$S$2:$S$740&gt;=J311)*(SVB!$S$2:$S$740&lt;=J312)*(SVB!$B$2:$B$740="D1-091")*(ISNUMBER(SVB!$N$2:$N$740))*(SVB!$N$2:$N$740))</f>
        <v>0</v>
      </c>
      <c r="K108" s="443" cm="1">
        <f t="array" ref="K108">SUMPRODUCT((SVB!$S$2:$S$740&gt;=K311)*(SVB!$S$2:$S$740&lt;=K312)*(SVB!$B$2:$B$740="D1-091")*(ISNUMBER(SVB!$N$2:$N$740))*(SVB!$N$2:$N$740))</f>
        <v>0</v>
      </c>
      <c r="L108" s="443" cm="1">
        <f t="array" ref="L108">SUMPRODUCT((SVB!$S$2:$S$740&gt;=L311)*(SVB!$S$2:$S$740&lt;=L312)*(SVB!$B$2:$B$740="D1-091")*(ISNUMBER(SVB!$N$2:$N$740))*(SVB!$N$2:$N$740))</f>
        <v>0</v>
      </c>
      <c r="M108" s="443" cm="1">
        <f t="array" ref="M108">SUMPRODUCT((SVB!$S$2:$S$740&gt;=M311)*(SVB!$S$2:$S$740&lt;=M312)*(SVB!$B$2:$B$740="D1-091")*(ISNUMBER(SVB!$N$2:$N$740))*(SVB!$N$2:$N$740))</f>
        <v>0</v>
      </c>
      <c r="N108" s="443" cm="1">
        <f t="array" ref="N108">SUMPRODUCT((SVB!$S$2:$S$740&gt;=N311)*(SVB!$S$2:$S$740&lt;=N312)*(SVB!$B$2:$B$740="D1-091")*(ISNUMBER(SVB!$N$2:$N$740))*(SVB!$N$2:$N$740))</f>
        <v>0</v>
      </c>
      <c r="O108" s="443" cm="1">
        <f t="array" ref="O108">SUMPRODUCT((SVB!$S$2:$S$740&gt;=O311)*(SVB!$S$2:$S$740&lt;=O312)*(SVB!$B$2:$B$740="D1-091")*(ISNUMBER(SVB!$N$2:$N$740))*(SVB!$N$2:$N$740))</f>
        <v>0</v>
      </c>
      <c r="P108" s="443" cm="1">
        <f t="array" ref="P108">SUMPRODUCT((SVB!$S$2:$S$740&gt;=P311)*(SVB!$S$2:$S$740&lt;=P312)*(SVB!$B$2:$B$740="D1-091")*(ISNUMBER(SVB!$N$2:$N$740))*(SVB!$N$2:$N$740))</f>
        <v>0</v>
      </c>
      <c r="Q108" s="443" cm="1">
        <f t="array" ref="Q108">SUMPRODUCT((SVB!$S$2:$S$740&gt;=Q311)*(SVB!$S$2:$S$740&lt;=Q312)*(SVB!$B$2:$B$740="D1-091")*(ISNUMBER(SVB!$N$2:$N$740))*(SVB!$N$2:$N$740))</f>
        <v>0</v>
      </c>
      <c r="R108" s="443" cm="1">
        <f t="array" ref="R108">SUMPRODUCT((SVB!$S$2:$S$740&gt;=R311)*(SVB!$S$2:$S$740&lt;=R312)*(SVB!$B$2:$B$740="D1-091")*(ISNUMBER(SVB!$N$2:$N$740))*(SVB!$N$2:$N$740))</f>
        <v>0</v>
      </c>
      <c r="S108" s="443" cm="1">
        <f t="array" ref="S108">SUMPRODUCT((SVB!$S$2:$S$740&gt;=S311)*(SVB!$S$2:$S$740&lt;=S312)*(SVB!$B$2:$B$740="D1-091")*(ISNUMBER(SVB!$N$2:$N$740))*(SVB!$N$2:$N$740))</f>
        <v>0</v>
      </c>
      <c r="T108" s="443" cm="1">
        <f t="array" ref="T108">SUMPRODUCT((SVB!$S$2:$S$740&gt;=T311)*(SVB!$S$2:$S$740&lt;=T312)*(SVB!$B$2:$B$740="D1-091")*(ISNUMBER(SVB!$N$2:$N$740))*(SVB!$N$2:$N$740))</f>
        <v>0</v>
      </c>
      <c r="U108" s="443" cm="1">
        <f t="array" ref="U108">SUMPRODUCT((SVB!$S$2:$S$740&gt;=U311)*(SVB!$S$2:$S$740&lt;=U312)*(SVB!$B$2:$B$740="D1-091")*(ISNUMBER(SVB!$N$2:$N$740))*(SVB!$N$2:$N$740))</f>
        <v>0</v>
      </c>
      <c r="V108" s="529">
        <f>SUM(F108:U108)</f>
        <v>0</v>
      </c>
    </row>
    <row r="109" spans="1:22" ht="18" customHeight="1">
      <c r="A109" s="442" t="s">
        <v>919</v>
      </c>
      <c r="B109" s="443" cm="1">
        <f t="array" ref="B109">SUMPRODUCT((SVB!$S$2:$S$740&gt;=B311)*(SVB!$S$2:$S$740&lt;=B312)*(SVB!$B$2:$B$740="D1-091")*(ISNUMBER(SVB!$O$2:$O$740))*(SVB!$O$2:$O$740))</f>
        <v>2</v>
      </c>
      <c r="C109" s="443" cm="1">
        <f t="array" ref="C109">SUMPRODUCT((SVB!$S$2:$S$740&gt;=C311)*(SVB!$S$2:$S$740&lt;=C312)*(SVB!$B$2:$B$740="D1-091")*(ISNUMBER(SVB!$O$2:$O$740))*(SVB!$O$2:$O$740))</f>
        <v>0</v>
      </c>
      <c r="D109" s="443" cm="1">
        <f t="array" ref="D109">SUMPRODUCT((SVB!$S$2:$S$740&gt;=D311)*(SVB!$S$2:$S$740&lt;=D312)*(SVB!$B$2:$B$740="D1-091")*(ISNUMBER(SVB!$O$2:$O$740))*(SVB!$O$2:$O$740))</f>
        <v>0</v>
      </c>
      <c r="E109" s="443" cm="1">
        <f t="array" ref="E109">SUMPRODUCT((SVB!$S$2:$S$740&gt;=E311)*(SVB!$S$2:$S$740&lt;=E312)*(SVB!$B$2:$B$740="D1-091")*(ISNUMBER(SVB!$O$2:$O$740))*(SVB!$O$2:$O$740))</f>
        <v>0</v>
      </c>
      <c r="F109" s="443" cm="1">
        <f t="array" ref="F109">SUMPRODUCT((SVB!$S$2:$S$740&gt;=F311)*(SVB!$S$2:$S$740&lt;=F312)*(SVB!$B$2:$B$740="D1-091")*(ISNUMBER(SVB!$O$2:$O$740))*(SVB!$O$2:$O$740))</f>
        <v>0</v>
      </c>
      <c r="G109" s="443" cm="1">
        <f t="array" ref="G109">SUMPRODUCT((SVB!$S$2:$S$740&gt;=G311)*(SVB!$S$2:$S$740&lt;=G312)*(SVB!$B$2:$B$740="D1-091")*(ISNUMBER(SVB!$O$2:$O$740))*(SVB!$O$2:$O$740))</f>
        <v>0</v>
      </c>
      <c r="H109" s="443" cm="1">
        <f t="array" ref="H109">SUMPRODUCT((SVB!$S$2:$S$740&gt;=H311)*(SVB!$S$2:$S$740&lt;=H312)*(SVB!$B$2:$B$740="D1-091")*(ISNUMBER(SVB!$O$2:$O$740))*(SVB!$O$2:$O$740))</f>
        <v>0</v>
      </c>
      <c r="I109" s="443" cm="1">
        <f t="array" ref="I109">SUMPRODUCT((SVB!$S$2:$S$740&gt;=I311)*(SVB!$S$2:$S$740&lt;=I312)*(SVB!$B$2:$B$740="D1-091")*(ISNUMBER(SVB!$O$2:$O$740))*(SVB!$O$2:$O$740))</f>
        <v>0</v>
      </c>
      <c r="J109" s="443" cm="1">
        <f t="array" ref="J109">SUMPRODUCT((SVB!$S$2:$S$740&gt;=J311)*(SVB!$S$2:$S$740&lt;=J312)*(SVB!$B$2:$B$740="D1-091")*(ISNUMBER(SVB!$O$2:$O$740))*(SVB!$O$2:$O$740))</f>
        <v>0</v>
      </c>
      <c r="K109" s="443" cm="1">
        <f t="array" ref="K109">SUMPRODUCT((SVB!$S$2:$S$740&gt;=K311)*(SVB!$S$2:$S$740&lt;=K312)*(SVB!$B$2:$B$740="D1-091")*(ISNUMBER(SVB!$O$2:$O$740))*(SVB!$O$2:$O$740))</f>
        <v>0</v>
      </c>
      <c r="L109" s="443" cm="1">
        <f t="array" ref="L109">SUMPRODUCT((SVB!$S$2:$S$740&gt;=L311)*(SVB!$S$2:$S$740&lt;=L312)*(SVB!$B$2:$B$740="D1-091")*(ISNUMBER(SVB!$O$2:$O$740))*(SVB!$O$2:$O$740))</f>
        <v>0</v>
      </c>
      <c r="M109" s="443" cm="1">
        <f t="array" ref="M109">SUMPRODUCT((SVB!$S$2:$S$740&gt;=M311)*(SVB!$S$2:$S$740&lt;=M312)*(SVB!$B$2:$B$740="D1-091")*(ISNUMBER(SVB!$O$2:$O$740))*(SVB!$O$2:$O$740))</f>
        <v>0</v>
      </c>
      <c r="N109" s="443" cm="1">
        <f t="array" ref="N109">SUMPRODUCT((SVB!$S$2:$S$740&gt;=N311)*(SVB!$S$2:$S$740&lt;=N312)*(SVB!$B$2:$B$740="D1-091")*(ISNUMBER(SVB!$O$2:$O$740))*(SVB!$O$2:$O$740))</f>
        <v>0</v>
      </c>
      <c r="O109" s="443" cm="1">
        <f t="array" ref="O109">SUMPRODUCT((SVB!$S$2:$S$740&gt;=O311)*(SVB!$S$2:$S$740&lt;=O312)*(SVB!$B$2:$B$740="D1-091")*(ISNUMBER(SVB!$O$2:$O$740))*(SVB!$O$2:$O$740))</f>
        <v>0</v>
      </c>
      <c r="P109" s="443" cm="1">
        <f t="array" ref="P109">SUMPRODUCT((SVB!$S$2:$S$740&gt;=P311)*(SVB!$S$2:$S$740&lt;=P312)*(SVB!$B$2:$B$740="D1-091")*(ISNUMBER(SVB!$O$2:$O$740))*(SVB!$O$2:$O$740))</f>
        <v>0</v>
      </c>
      <c r="Q109" s="443" cm="1">
        <f t="array" ref="Q109">SUMPRODUCT((SVB!$S$2:$S$740&gt;=Q311)*(SVB!$S$2:$S$740&lt;=Q312)*(SVB!$B$2:$B$740="D1-091")*(ISNUMBER(SVB!$O$2:$O$740))*(SVB!$O$2:$O$740))</f>
        <v>0</v>
      </c>
      <c r="R109" s="443" cm="1">
        <f t="array" ref="R109">SUMPRODUCT((SVB!$S$2:$S$740&gt;=R311)*(SVB!$S$2:$S$740&lt;=R312)*(SVB!$B$2:$B$740="D1-091")*(ISNUMBER(SVB!$O$2:$O$740))*(SVB!$O$2:$O$740))</f>
        <v>0</v>
      </c>
      <c r="S109" s="443" cm="1">
        <f t="array" ref="S109">SUMPRODUCT((SVB!$S$2:$S$740&gt;=S311)*(SVB!$S$2:$S$740&lt;=S312)*(SVB!$B$2:$B$740="D1-091")*(ISNUMBER(SVB!$O$2:$O$740))*(SVB!$O$2:$O$740))</f>
        <v>0</v>
      </c>
      <c r="T109" s="443" cm="1">
        <f t="array" ref="T109">SUMPRODUCT((SVB!$S$2:$S$740&gt;=T311)*(SVB!$S$2:$S$740&lt;=T312)*(SVB!$B$2:$B$740="D1-091")*(ISNUMBER(SVB!$O$2:$O$740))*(SVB!$O$2:$O$740))</f>
        <v>0</v>
      </c>
      <c r="U109" s="443" cm="1">
        <f t="array" ref="U109">SUMPRODUCT((SVB!$S$2:$S$740&gt;=U311)*(SVB!$S$2:$S$740&lt;=U312)*(SVB!$B$2:$B$740="D1-091")*(ISNUMBER(SVB!$O$2:$O$740))*(SVB!$O$2:$O$740))</f>
        <v>0</v>
      </c>
      <c r="V109" s="529">
        <f>SUM(F109:U109)</f>
        <v>0</v>
      </c>
    </row>
    <row r="110" spans="1:22" s="547" customFormat="1" ht="19.5" customHeight="1">
      <c r="A110" s="550" t="s">
        <v>322</v>
      </c>
      <c r="B110" s="551">
        <f>MAX(B109-B106,0)</f>
        <v>0</v>
      </c>
      <c r="C110" s="551">
        <f t="shared" ref="C110" si="134">MAX(C109-C106,0)</f>
        <v>0</v>
      </c>
      <c r="D110" s="551">
        <f t="shared" ref="D110" si="135">MAX(D109-D106,0)</f>
        <v>0</v>
      </c>
      <c r="E110" s="551">
        <f t="shared" ref="E110" si="136">MAX(E109-E106,0)</f>
        <v>0</v>
      </c>
      <c r="F110" s="551">
        <f t="shared" ref="F110" si="137">MAX(F109-F106,0)</f>
        <v>0</v>
      </c>
      <c r="G110" s="551">
        <f t="shared" ref="G110" si="138">MAX(G109-G106,0)</f>
        <v>0</v>
      </c>
      <c r="H110" s="551">
        <f t="shared" ref="H110" si="139">MAX(H109-H106,0)</f>
        <v>0</v>
      </c>
      <c r="I110" s="551">
        <f t="shared" ref="I110" si="140">MAX(I109-I106,0)</f>
        <v>0</v>
      </c>
      <c r="J110" s="551">
        <f t="shared" ref="J110" si="141">MAX(J109-J106,0)</f>
        <v>0</v>
      </c>
      <c r="K110" s="551">
        <f t="shared" ref="K110" si="142">MAX(K109-K106,0)</f>
        <v>0</v>
      </c>
      <c r="L110" s="551">
        <f t="shared" ref="L110" si="143">MAX(L109-L106,0)</f>
        <v>0</v>
      </c>
      <c r="M110" s="551">
        <f t="shared" ref="M110" si="144">MAX(M109-M106,0)</f>
        <v>0</v>
      </c>
      <c r="N110" s="551">
        <f t="shared" ref="N110" si="145">MAX(N109-N106,0)</f>
        <v>0</v>
      </c>
      <c r="O110" s="551">
        <f t="shared" ref="O110" si="146">MAX(O109-O106,0)</f>
        <v>0</v>
      </c>
      <c r="P110" s="551">
        <f t="shared" ref="P110" si="147">MAX(P109-P106,0)</f>
        <v>0</v>
      </c>
      <c r="Q110" s="551">
        <f t="shared" ref="Q110:U110" si="148">MAX(Q109-Q106,0)</f>
        <v>0</v>
      </c>
      <c r="R110" s="551">
        <f t="shared" si="148"/>
        <v>0</v>
      </c>
      <c r="S110" s="551">
        <f t="shared" si="148"/>
        <v>0</v>
      </c>
      <c r="T110" s="551">
        <f t="shared" si="148"/>
        <v>0</v>
      </c>
      <c r="U110" s="551">
        <f t="shared" si="148"/>
        <v>0</v>
      </c>
      <c r="V110" s="552">
        <f>MAX(V109-V106,0)</f>
        <v>0</v>
      </c>
    </row>
    <row r="111" spans="1:22" s="547" customFormat="1" ht="19.5" customHeight="1">
      <c r="A111" s="550" t="s">
        <v>323</v>
      </c>
      <c r="B111" s="551">
        <f>MAX(B106-B109,0)</f>
        <v>0</v>
      </c>
      <c r="C111" s="551">
        <f t="shared" ref="C111:Q111" si="149">MAX(C106-C109,0)</f>
        <v>0</v>
      </c>
      <c r="D111" s="551">
        <f t="shared" si="149"/>
        <v>0</v>
      </c>
      <c r="E111" s="551">
        <f t="shared" si="149"/>
        <v>0</v>
      </c>
      <c r="F111" s="551">
        <f t="shared" si="149"/>
        <v>0</v>
      </c>
      <c r="G111" s="551">
        <f t="shared" si="149"/>
        <v>0</v>
      </c>
      <c r="H111" s="551">
        <f t="shared" si="149"/>
        <v>0</v>
      </c>
      <c r="I111" s="551">
        <f t="shared" si="149"/>
        <v>0</v>
      </c>
      <c r="J111" s="551">
        <f t="shared" si="149"/>
        <v>0</v>
      </c>
      <c r="K111" s="551">
        <f t="shared" si="149"/>
        <v>0</v>
      </c>
      <c r="L111" s="551">
        <f t="shared" si="149"/>
        <v>0</v>
      </c>
      <c r="M111" s="551">
        <f t="shared" si="149"/>
        <v>0</v>
      </c>
      <c r="N111" s="551">
        <f t="shared" si="149"/>
        <v>0</v>
      </c>
      <c r="O111" s="551">
        <f t="shared" si="149"/>
        <v>0</v>
      </c>
      <c r="P111" s="551">
        <f t="shared" si="149"/>
        <v>50</v>
      </c>
      <c r="Q111" s="551">
        <f t="shared" si="149"/>
        <v>91</v>
      </c>
      <c r="R111" s="551">
        <f t="shared" ref="R111:U111" si="150">MAX(R106-R109,0)</f>
        <v>4</v>
      </c>
      <c r="S111" s="551">
        <f t="shared" si="150"/>
        <v>0</v>
      </c>
      <c r="T111" s="551">
        <f t="shared" si="150"/>
        <v>0</v>
      </c>
      <c r="U111" s="551">
        <f t="shared" si="150"/>
        <v>0</v>
      </c>
      <c r="V111" s="552">
        <f>MAX(V106-V109,0)</f>
        <v>147</v>
      </c>
    </row>
    <row r="112" spans="1:22" ht="18" customHeight="1">
      <c r="A112" s="541" t="s">
        <v>326</v>
      </c>
      <c r="B112" s="542">
        <f t="shared" ref="B112:Q112" si="151">IF(B106=0,"-",(B107+B108+B109)/(B106*3))</f>
        <v>1</v>
      </c>
      <c r="C112" s="542" t="str">
        <f t="shared" si="151"/>
        <v>-</v>
      </c>
      <c r="D112" s="542" t="str">
        <f t="shared" si="151"/>
        <v>-</v>
      </c>
      <c r="E112" s="542" t="str">
        <f t="shared" si="151"/>
        <v>-</v>
      </c>
      <c r="F112" s="542" t="str">
        <f t="shared" si="151"/>
        <v>-</v>
      </c>
      <c r="G112" s="542" t="str">
        <f t="shared" si="151"/>
        <v>-</v>
      </c>
      <c r="H112" s="542" t="str">
        <f t="shared" si="151"/>
        <v>-</v>
      </c>
      <c r="I112" s="542" t="str">
        <f t="shared" si="151"/>
        <v>-</v>
      </c>
      <c r="J112" s="542" t="str">
        <f t="shared" si="151"/>
        <v>-</v>
      </c>
      <c r="K112" s="542" t="str">
        <f t="shared" si="151"/>
        <v>-</v>
      </c>
      <c r="L112" s="542" t="str">
        <f t="shared" si="151"/>
        <v>-</v>
      </c>
      <c r="M112" s="542" t="str">
        <f t="shared" si="151"/>
        <v>-</v>
      </c>
      <c r="N112" s="542" t="str">
        <f t="shared" si="151"/>
        <v>-</v>
      </c>
      <c r="O112" s="542" t="str">
        <f t="shared" si="151"/>
        <v>-</v>
      </c>
      <c r="P112" s="542">
        <f t="shared" si="151"/>
        <v>0</v>
      </c>
      <c r="Q112" s="542">
        <f t="shared" si="151"/>
        <v>0</v>
      </c>
      <c r="R112" s="542">
        <f t="shared" ref="R112:U112" si="152">IF(R106=0,"-",(R107+R108+R109)/(R106*3))</f>
        <v>0</v>
      </c>
      <c r="S112" s="542" t="str">
        <f t="shared" si="152"/>
        <v>-</v>
      </c>
      <c r="T112" s="542" t="str">
        <f t="shared" si="152"/>
        <v>-</v>
      </c>
      <c r="U112" s="542" t="str">
        <f t="shared" si="152"/>
        <v>-</v>
      </c>
      <c r="V112" s="530">
        <f t="shared" ref="V112" si="153">IF(V106=0,"-",(V107+V108+V109)/(V106*3))</f>
        <v>0</v>
      </c>
    </row>
    <row r="113" spans="1:22" ht="18" customHeight="1">
      <c r="A113" s="597" t="s">
        <v>920</v>
      </c>
      <c r="B113" s="598">
        <f>SUM($B109:B109)</f>
        <v>2</v>
      </c>
      <c r="C113" s="598">
        <f>SUM($B109:C109)</f>
        <v>2</v>
      </c>
      <c r="D113" s="598">
        <f>SUM($B109:D109)</f>
        <v>2</v>
      </c>
      <c r="E113" s="598">
        <f>SUM($B109:E109)</f>
        <v>2</v>
      </c>
      <c r="F113" s="598">
        <f>SUM($B109:F109)</f>
        <v>2</v>
      </c>
      <c r="G113" s="598">
        <f>SUM($B109:G109)</f>
        <v>2</v>
      </c>
      <c r="H113" s="598">
        <f>SUM($B109:H109)</f>
        <v>2</v>
      </c>
      <c r="I113" s="598">
        <f>SUM($B109:I109)</f>
        <v>2</v>
      </c>
      <c r="J113" s="598">
        <f>SUM($B109:J109)</f>
        <v>2</v>
      </c>
      <c r="K113" s="598">
        <f>SUM($B109:K109)</f>
        <v>2</v>
      </c>
      <c r="L113" s="598">
        <f>SUM($B109:L109)</f>
        <v>2</v>
      </c>
      <c r="M113" s="598">
        <f>SUM($B109:M109)</f>
        <v>2</v>
      </c>
      <c r="N113" s="598">
        <f>SUM($B109:N109)</f>
        <v>2</v>
      </c>
      <c r="O113" s="598">
        <f>SUM($B109:O109)</f>
        <v>2</v>
      </c>
      <c r="P113" s="598">
        <f>SUM($B109:P109)</f>
        <v>2</v>
      </c>
      <c r="Q113" s="598">
        <f>SUM($B109:Q109)</f>
        <v>2</v>
      </c>
      <c r="R113" s="598">
        <f>SUM($B109:R109)</f>
        <v>2</v>
      </c>
      <c r="S113" s="598">
        <f>SUM($B109:S109)</f>
        <v>2</v>
      </c>
      <c r="T113" s="598">
        <f>SUM($B109:T109)</f>
        <v>2</v>
      </c>
      <c r="U113" s="598">
        <f>SUM($B109:U109)</f>
        <v>2</v>
      </c>
      <c r="V113" s="529">
        <f>V109</f>
        <v>0</v>
      </c>
    </row>
    <row r="114" spans="1:22" ht="18" customHeight="1">
      <c r="A114" s="599" t="s">
        <v>318</v>
      </c>
      <c r="B114" s="600">
        <f>IF(B106=0,IF(B107=0,"-","100%"),B107/B106)</f>
        <v>1</v>
      </c>
      <c r="C114" s="600" t="str">
        <f t="shared" ref="C114:Q114" si="154">IF(C106=0,IF(C107=0,"-","100%"),C107/C106)</f>
        <v>-</v>
      </c>
      <c r="D114" s="600" t="str">
        <f t="shared" si="154"/>
        <v>-</v>
      </c>
      <c r="E114" s="600" t="str">
        <f t="shared" si="154"/>
        <v>-</v>
      </c>
      <c r="F114" s="600" t="str">
        <f t="shared" si="154"/>
        <v>-</v>
      </c>
      <c r="G114" s="600" t="str">
        <f t="shared" si="154"/>
        <v>-</v>
      </c>
      <c r="H114" s="600" t="str">
        <f t="shared" si="154"/>
        <v>-</v>
      </c>
      <c r="I114" s="600" t="str">
        <f t="shared" si="154"/>
        <v>-</v>
      </c>
      <c r="J114" s="600" t="str">
        <f t="shared" si="154"/>
        <v>-</v>
      </c>
      <c r="K114" s="600" t="str">
        <f t="shared" si="154"/>
        <v>-</v>
      </c>
      <c r="L114" s="600" t="str">
        <f t="shared" si="154"/>
        <v>-</v>
      </c>
      <c r="M114" s="600" t="str">
        <f t="shared" si="154"/>
        <v>-</v>
      </c>
      <c r="N114" s="600" t="str">
        <f t="shared" si="154"/>
        <v>-</v>
      </c>
      <c r="O114" s="600" t="str">
        <f t="shared" si="154"/>
        <v>-</v>
      </c>
      <c r="P114" s="600">
        <f t="shared" si="154"/>
        <v>0</v>
      </c>
      <c r="Q114" s="600">
        <f t="shared" si="154"/>
        <v>0</v>
      </c>
      <c r="R114" s="600">
        <f t="shared" ref="R114:U114" si="155">IF(R106=0,IF(R107=0,"-","100%"),R107/R106)</f>
        <v>0</v>
      </c>
      <c r="S114" s="600" t="str">
        <f t="shared" si="155"/>
        <v>-</v>
      </c>
      <c r="T114" s="600" t="str">
        <f t="shared" si="155"/>
        <v>-</v>
      </c>
      <c r="U114" s="600" t="str">
        <f t="shared" si="155"/>
        <v>-</v>
      </c>
      <c r="V114" s="601">
        <f>IF(V106=0,"-",V107/V106)</f>
        <v>0</v>
      </c>
    </row>
    <row r="115" spans="1:22" ht="18" customHeight="1">
      <c r="A115" s="599" t="s">
        <v>320</v>
      </c>
      <c r="B115" s="600">
        <f>IF(B106=0,IF(B108=0,"-","100%"),B108/B106)</f>
        <v>1</v>
      </c>
      <c r="C115" s="600" t="str">
        <f t="shared" ref="C115:Q115" si="156">IF(C106=0,IF(C108=0,"-","100%"),C108/C106)</f>
        <v>-</v>
      </c>
      <c r="D115" s="600" t="str">
        <f t="shared" si="156"/>
        <v>-</v>
      </c>
      <c r="E115" s="600" t="str">
        <f t="shared" si="156"/>
        <v>-</v>
      </c>
      <c r="F115" s="600" t="str">
        <f t="shared" si="156"/>
        <v>-</v>
      </c>
      <c r="G115" s="600" t="str">
        <f t="shared" si="156"/>
        <v>-</v>
      </c>
      <c r="H115" s="600" t="str">
        <f t="shared" si="156"/>
        <v>-</v>
      </c>
      <c r="I115" s="600" t="str">
        <f t="shared" si="156"/>
        <v>-</v>
      </c>
      <c r="J115" s="600" t="str">
        <f t="shared" si="156"/>
        <v>-</v>
      </c>
      <c r="K115" s="600" t="str">
        <f t="shared" si="156"/>
        <v>-</v>
      </c>
      <c r="L115" s="600" t="str">
        <f t="shared" si="156"/>
        <v>-</v>
      </c>
      <c r="M115" s="600" t="str">
        <f t="shared" si="156"/>
        <v>-</v>
      </c>
      <c r="N115" s="600" t="str">
        <f t="shared" si="156"/>
        <v>-</v>
      </c>
      <c r="O115" s="600" t="str">
        <f t="shared" si="156"/>
        <v>-</v>
      </c>
      <c r="P115" s="600">
        <f t="shared" si="156"/>
        <v>0</v>
      </c>
      <c r="Q115" s="600">
        <f t="shared" si="156"/>
        <v>0</v>
      </c>
      <c r="R115" s="600">
        <f t="shared" ref="R115:U115" si="157">IF(R106=0,IF(R108=0,"-","100%"),R108/R106)</f>
        <v>0</v>
      </c>
      <c r="S115" s="600" t="str">
        <f t="shared" si="157"/>
        <v>-</v>
      </c>
      <c r="T115" s="600" t="str">
        <f t="shared" si="157"/>
        <v>-</v>
      </c>
      <c r="U115" s="600" t="str">
        <f t="shared" si="157"/>
        <v>-</v>
      </c>
      <c r="V115" s="601">
        <f>IF(V106=0,"-",V108/V106)</f>
        <v>0</v>
      </c>
    </row>
    <row r="116" spans="1:22" ht="18" customHeight="1">
      <c r="A116" s="599" t="s">
        <v>324</v>
      </c>
      <c r="B116" s="600">
        <f>IF(B106=0,IF(B109=0,"-","100%"),B109/B106)</f>
        <v>1</v>
      </c>
      <c r="C116" s="600" t="str">
        <f t="shared" ref="C116:Q116" si="158">IF(C106=0,IF(C109=0,"-","100%"),C109/C106)</f>
        <v>-</v>
      </c>
      <c r="D116" s="600" t="str">
        <f t="shared" si="158"/>
        <v>-</v>
      </c>
      <c r="E116" s="600" t="str">
        <f t="shared" si="158"/>
        <v>-</v>
      </c>
      <c r="F116" s="600" t="str">
        <f t="shared" si="158"/>
        <v>-</v>
      </c>
      <c r="G116" s="600" t="str">
        <f t="shared" si="158"/>
        <v>-</v>
      </c>
      <c r="H116" s="600" t="str">
        <f t="shared" si="158"/>
        <v>-</v>
      </c>
      <c r="I116" s="600" t="str">
        <f t="shared" si="158"/>
        <v>-</v>
      </c>
      <c r="J116" s="600" t="str">
        <f t="shared" si="158"/>
        <v>-</v>
      </c>
      <c r="K116" s="600" t="str">
        <f t="shared" si="158"/>
        <v>-</v>
      </c>
      <c r="L116" s="600" t="str">
        <f t="shared" si="158"/>
        <v>-</v>
      </c>
      <c r="M116" s="600" t="str">
        <f t="shared" si="158"/>
        <v>-</v>
      </c>
      <c r="N116" s="600" t="str">
        <f t="shared" si="158"/>
        <v>-</v>
      </c>
      <c r="O116" s="600" t="str">
        <f t="shared" si="158"/>
        <v>-</v>
      </c>
      <c r="P116" s="600">
        <f t="shared" si="158"/>
        <v>0</v>
      </c>
      <c r="Q116" s="600">
        <f t="shared" si="158"/>
        <v>0</v>
      </c>
      <c r="R116" s="600">
        <f t="shared" ref="R116:U116" si="159">IF(R106=0,IF(R109=0,"-","100%"),R109/R106)</f>
        <v>0</v>
      </c>
      <c r="S116" s="600" t="str">
        <f t="shared" si="159"/>
        <v>-</v>
      </c>
      <c r="T116" s="600" t="str">
        <f t="shared" si="159"/>
        <v>-</v>
      </c>
      <c r="U116" s="600" t="str">
        <f t="shared" si="159"/>
        <v>-</v>
      </c>
      <c r="V116" s="601">
        <f>IF(V106=0,"-",V109/V106)</f>
        <v>0</v>
      </c>
    </row>
    <row r="117" spans="1:22" s="547" customFormat="1" ht="19.5" customHeight="1">
      <c r="A117" s="550" t="s">
        <v>327</v>
      </c>
      <c r="B117" s="551">
        <f>SUM($B106:B106)</f>
        <v>2</v>
      </c>
      <c r="C117" s="551">
        <f>SUM($B106:C106)</f>
        <v>2</v>
      </c>
      <c r="D117" s="551">
        <f>SUM($B106:D106)</f>
        <v>2</v>
      </c>
      <c r="E117" s="551">
        <f>SUM($B106:E106)</f>
        <v>2</v>
      </c>
      <c r="F117" s="551">
        <f>SUM($B106:F106)</f>
        <v>2</v>
      </c>
      <c r="G117" s="551">
        <f>SUM($B106:G106)</f>
        <v>2</v>
      </c>
      <c r="H117" s="551">
        <f>SUM($B106:H106)</f>
        <v>2</v>
      </c>
      <c r="I117" s="551">
        <f>SUM($B106:I106)</f>
        <v>2</v>
      </c>
      <c r="J117" s="551">
        <f>SUM($B106:J106)</f>
        <v>2</v>
      </c>
      <c r="K117" s="551">
        <f>SUM($B106:K106)</f>
        <v>2</v>
      </c>
      <c r="L117" s="551">
        <f>SUM($B106:L106)</f>
        <v>2</v>
      </c>
      <c r="M117" s="551">
        <f>SUM($B106:M106)</f>
        <v>2</v>
      </c>
      <c r="N117" s="551">
        <f>SUM($B106:N106)</f>
        <v>2</v>
      </c>
      <c r="O117" s="551">
        <f>SUM($B106:O106)</f>
        <v>2</v>
      </c>
      <c r="P117" s="551">
        <f>SUM($B106:P106)</f>
        <v>52</v>
      </c>
      <c r="Q117" s="551">
        <f>SUM($B106:Q106)</f>
        <v>143</v>
      </c>
      <c r="R117" s="551">
        <f>SUM($B106:R106)</f>
        <v>147</v>
      </c>
      <c r="S117" s="551">
        <f>SUM($B106:S106)</f>
        <v>147</v>
      </c>
      <c r="T117" s="551">
        <f>SUM($B106:T106)</f>
        <v>147</v>
      </c>
      <c r="U117" s="551">
        <f>SUM($B106:U106)</f>
        <v>147</v>
      </c>
      <c r="V117" s="552">
        <f>V106</f>
        <v>147</v>
      </c>
    </row>
    <row r="118" spans="1:22" s="547" customFormat="1" ht="19.5" customHeight="1">
      <c r="A118" s="550" t="s">
        <v>328</v>
      </c>
      <c r="B118" s="551">
        <f>SUM($B109:B109)</f>
        <v>2</v>
      </c>
      <c r="C118" s="551">
        <f>SUM($B109:C109)</f>
        <v>2</v>
      </c>
      <c r="D118" s="551">
        <f>SUM($B109:D109)</f>
        <v>2</v>
      </c>
      <c r="E118" s="551">
        <f>SUM($B109:E109)</f>
        <v>2</v>
      </c>
      <c r="F118" s="551">
        <f>SUM($B109:F109)</f>
        <v>2</v>
      </c>
      <c r="G118" s="551">
        <f>SUM($B109:G109)</f>
        <v>2</v>
      </c>
      <c r="H118" s="551">
        <f>SUM($B109:H109)</f>
        <v>2</v>
      </c>
      <c r="I118" s="551">
        <f>SUM($B109:I109)</f>
        <v>2</v>
      </c>
      <c r="J118" s="551">
        <f>SUM($B109:J109)</f>
        <v>2</v>
      </c>
      <c r="K118" s="551">
        <f>SUM($B109:K109)</f>
        <v>2</v>
      </c>
      <c r="L118" s="551">
        <f>SUM($B109:L109)</f>
        <v>2</v>
      </c>
      <c r="M118" s="551">
        <f>SUM($B109:M109)</f>
        <v>2</v>
      </c>
      <c r="N118" s="551">
        <f>SUM($B109:N109)</f>
        <v>2</v>
      </c>
      <c r="O118" s="551">
        <f>SUM($B109:O109)</f>
        <v>2</v>
      </c>
      <c r="P118" s="551">
        <f>SUM($B109:P109)</f>
        <v>2</v>
      </c>
      <c r="Q118" s="551">
        <f>SUM($B109:Q109)</f>
        <v>2</v>
      </c>
      <c r="R118" s="551">
        <f>SUM($B109:R109)</f>
        <v>2</v>
      </c>
      <c r="S118" s="551">
        <f>SUM($B109:S109)</f>
        <v>2</v>
      </c>
      <c r="T118" s="551">
        <f>SUM($B109:T109)</f>
        <v>2</v>
      </c>
      <c r="U118" s="551">
        <f>SUM($B109:U109)</f>
        <v>2</v>
      </c>
      <c r="V118" s="552">
        <f>V109</f>
        <v>0</v>
      </c>
    </row>
    <row r="119" spans="1:22" s="547" customFormat="1" ht="19.5" customHeight="1">
      <c r="A119" s="544" t="s">
        <v>329</v>
      </c>
      <c r="B119" s="545" t="e">
        <f>IF(#REF!=0,"-",B118/#REF!)</f>
        <v>#REF!</v>
      </c>
      <c r="C119" s="545" t="e">
        <f>IF(#REF!=0,"-",C118/#REF!)</f>
        <v>#REF!</v>
      </c>
      <c r="D119" s="545" t="e">
        <f>IF(#REF!=0,"-",D118/#REF!)</f>
        <v>#REF!</v>
      </c>
      <c r="E119" s="545" t="e">
        <f>IF(#REF!=0,"-",E118/#REF!)</f>
        <v>#REF!</v>
      </c>
      <c r="F119" s="545" t="e">
        <f>IF(#REF!=0,"-",F118/#REF!)</f>
        <v>#REF!</v>
      </c>
      <c r="G119" s="545" t="e">
        <f>IF(#REF!=0,"-",G118/#REF!)</f>
        <v>#REF!</v>
      </c>
      <c r="H119" s="545" t="e">
        <f>IF(#REF!=0,"-",H118/#REF!)</f>
        <v>#REF!</v>
      </c>
      <c r="I119" s="545" t="e">
        <f>IF(#REF!=0,"-",I118/#REF!)</f>
        <v>#REF!</v>
      </c>
      <c r="J119" s="545" t="e">
        <f>IF(#REF!=0,"-",J118/#REF!)</f>
        <v>#REF!</v>
      </c>
      <c r="K119" s="545" t="e">
        <f>IF(#REF!=0,"-",K118/#REF!)</f>
        <v>#REF!</v>
      </c>
      <c r="L119" s="545" t="e">
        <f>IF(#REF!=0,"-",L118/#REF!)</f>
        <v>#REF!</v>
      </c>
      <c r="M119" s="545" t="e">
        <f>IF(#REF!=0,"-",M118/#REF!)</f>
        <v>#REF!</v>
      </c>
      <c r="N119" s="545" t="e">
        <f>IF(#REF!=0,"-",N118/#REF!)</f>
        <v>#REF!</v>
      </c>
      <c r="O119" s="545" t="e">
        <f>IF(#REF!=0,"-",O118/#REF!)</f>
        <v>#REF!</v>
      </c>
      <c r="P119" s="545" t="e">
        <f>IF(#REF!=0,"-",P118/#REF!)</f>
        <v>#REF!</v>
      </c>
      <c r="Q119" s="545" t="e">
        <f>IF(#REF!=0,"-",Q118/#REF!)</f>
        <v>#REF!</v>
      </c>
      <c r="R119" s="545" t="e">
        <f>IF(#REF!=0,"-",R118/#REF!)</f>
        <v>#REF!</v>
      </c>
      <c r="S119" s="545" t="e">
        <f>IF(#REF!=0,"-",S118/#REF!)</f>
        <v>#REF!</v>
      </c>
      <c r="T119" s="545" t="e">
        <f>IF(#REF!=0,"-",T118/#REF!)</f>
        <v>#REF!</v>
      </c>
      <c r="U119" s="545" t="e">
        <f>IF(#REF!=0,"-",U118/#REF!)</f>
        <v>#REF!</v>
      </c>
      <c r="V119" s="546" t="e">
        <f>IF(#REF!=0,"-",V118/#REF!)</f>
        <v>#REF!</v>
      </c>
    </row>
    <row r="120" spans="1:22" s="547" customFormat="1" ht="19.5" customHeight="1">
      <c r="A120" s="548" t="s">
        <v>330</v>
      </c>
      <c r="B120" s="549" t="e">
        <f>IF(#REF!=0,"-",B117/#REF!)</f>
        <v>#REF!</v>
      </c>
      <c r="C120" s="549" t="e">
        <f>IF(#REF!=0,"-",C117/#REF!)</f>
        <v>#REF!</v>
      </c>
      <c r="D120" s="549" t="e">
        <f>IF(#REF!=0,"-",D117/#REF!)</f>
        <v>#REF!</v>
      </c>
      <c r="E120" s="549" t="e">
        <f>IF(#REF!=0,"-",E117/#REF!)</f>
        <v>#REF!</v>
      </c>
      <c r="F120" s="549" t="e">
        <f>IF(#REF!=0,"-",F117/#REF!)</f>
        <v>#REF!</v>
      </c>
      <c r="G120" s="549" t="e">
        <f>IF(#REF!=0,"-",G117/#REF!)</f>
        <v>#REF!</v>
      </c>
      <c r="H120" s="549" t="e">
        <f>IF(#REF!=0,"-",H117/#REF!)</f>
        <v>#REF!</v>
      </c>
      <c r="I120" s="549" t="e">
        <f>IF(#REF!=0,"-",I117/#REF!)</f>
        <v>#REF!</v>
      </c>
      <c r="J120" s="549" t="e">
        <f>IF(#REF!=0,"-",J117/#REF!)</f>
        <v>#REF!</v>
      </c>
      <c r="K120" s="549" t="e">
        <f>IF(#REF!=0,"-",K117/#REF!)</f>
        <v>#REF!</v>
      </c>
      <c r="L120" s="549" t="e">
        <f>IF(#REF!=0,"-",L117/#REF!)</f>
        <v>#REF!</v>
      </c>
      <c r="M120" s="549" t="e">
        <f>IF(#REF!=0,"-",M117/#REF!)</f>
        <v>#REF!</v>
      </c>
      <c r="N120" s="549" t="e">
        <f>IF(#REF!=0,"-",N117/#REF!)</f>
        <v>#REF!</v>
      </c>
      <c r="O120" s="549" t="e">
        <f>IF(#REF!=0,"-",O117/#REF!)</f>
        <v>#REF!</v>
      </c>
      <c r="P120" s="549" t="e">
        <f>IF(#REF!=0,"-",P117/#REF!)</f>
        <v>#REF!</v>
      </c>
      <c r="Q120" s="549" t="e">
        <f>IF(#REF!=0,"-",Q117/#REF!)</f>
        <v>#REF!</v>
      </c>
      <c r="R120" s="549" t="e">
        <f>IF(#REF!=0,"-",R117/#REF!)</f>
        <v>#REF!</v>
      </c>
      <c r="S120" s="549" t="e">
        <f>IF(#REF!=0,"-",S117/#REF!)</f>
        <v>#REF!</v>
      </c>
      <c r="T120" s="549" t="e">
        <f>IF(#REF!=0,"-",T117/#REF!)</f>
        <v>#REF!</v>
      </c>
      <c r="U120" s="549" t="e">
        <f>IF(#REF!=0,"-",U117/#REF!)</f>
        <v>#REF!</v>
      </c>
      <c r="V120" s="546" t="e">
        <f>IF(#REF!=0,"-",V117/#REF!)</f>
        <v>#REF!</v>
      </c>
    </row>
    <row r="121" spans="1:22" ht="4.5" customHeight="1"/>
    <row r="122" spans="1:22" ht="24" customHeight="1">
      <c r="A122" s="1172" t="s">
        <v>935</v>
      </c>
      <c r="B122" s="1173"/>
      <c r="C122" s="1173"/>
      <c r="D122" s="1173"/>
      <c r="E122" s="1173"/>
      <c r="F122" s="1173"/>
      <c r="G122" s="1173"/>
      <c r="H122" s="1173"/>
      <c r="I122" s="1173"/>
      <c r="J122" s="1173"/>
      <c r="K122" s="1173"/>
      <c r="L122" s="1173"/>
      <c r="M122" s="1173"/>
      <c r="N122" s="1173"/>
      <c r="O122" s="1173"/>
      <c r="P122" s="1173"/>
      <c r="Q122" s="1173"/>
      <c r="R122" s="1173"/>
      <c r="S122" s="1173"/>
      <c r="T122" s="1173"/>
      <c r="U122" s="1173"/>
      <c r="V122" s="1173"/>
    </row>
    <row r="123" spans="1:22" ht="18" customHeight="1">
      <c r="A123" s="527" t="s">
        <v>313</v>
      </c>
      <c r="B123" s="528" cm="1">
        <f t="array" ref="B123">SUMPRODUCT((SVB!$R$2:$R$740&gt;=B311)*(SVB!$R$2:$R$740&lt;=B312)*(SVB!$B$2:$B$740="PPW")*(ISNUMBER(SVB!$F$2:$F$740))*(SVB!$F$2:$F$740))</f>
        <v>2</v>
      </c>
      <c r="C123" s="528" cm="1">
        <f t="array" ref="C123">SUMPRODUCT((SVB!$R$2:$R$740&gt;=C311)*(SVB!$R$2:$R$740&lt;=C312)*(SVB!$B$2:$B$740="PPW")*(ISNUMBER(SVB!$F$2:$F$740))*(SVB!$F$2:$F$740))</f>
        <v>0</v>
      </c>
      <c r="D123" s="528" cm="1">
        <f t="array" ref="D123">SUMPRODUCT((SVB!$R$2:$R$740&gt;=D311)*(SVB!$R$2:$R$740&lt;=D312)*(SVB!$B$2:$B$740="PPW")*(ISNUMBER(SVB!$F$2:$F$740))*(SVB!$F$2:$F$740))</f>
        <v>0</v>
      </c>
      <c r="E123" s="528" cm="1">
        <f t="array" ref="E123">SUMPRODUCT((SVB!$R$2:$R$740&gt;=E311)*(SVB!$R$2:$R$740&lt;=E312)*(SVB!$B$2:$B$740="PPW")*(ISNUMBER(SVB!$F$2:$F$740))*(SVB!$F$2:$F$740))</f>
        <v>0</v>
      </c>
      <c r="F123" s="528" cm="1">
        <f t="array" ref="F123">SUMPRODUCT((SVB!$R$2:$R$740&gt;=F311)*(SVB!$R$2:$R$740&lt;=F312)*(SVB!$B$2:$B$740="PPW")*(ISNUMBER(SVB!$F$2:$F$740))*(SVB!$F$2:$F$740))</f>
        <v>0</v>
      </c>
      <c r="G123" s="528" cm="1">
        <f t="array" ref="G123">SUMPRODUCT((SVB!$R$2:$R$740&gt;=G311)*(SVB!$R$2:$R$740&lt;=G312)*(SVB!$B$2:$B$740="PPW")*(ISNUMBER(SVB!$F$2:$F$740))*(SVB!$F$2:$F$740))</f>
        <v>0</v>
      </c>
      <c r="H123" s="528" cm="1">
        <f t="array" ref="H123">SUMPRODUCT((SVB!$R$2:$R$740&gt;=H311)*(SVB!$R$2:$R$740&lt;=H312)*(SVB!$B$2:$B$740="PPW")*(ISNUMBER(SVB!$F$2:$F$740))*(SVB!$F$2:$F$740))</f>
        <v>0</v>
      </c>
      <c r="I123" s="528" cm="1">
        <f t="array" ref="I123">SUMPRODUCT((SVB!$R$2:$R$740&gt;=I311)*(SVB!$R$2:$R$740&lt;=I312)*(SVB!$B$2:$B$740="PPW")*(ISNUMBER(SVB!$F$2:$F$740))*(SVB!$F$2:$F$740))</f>
        <v>0</v>
      </c>
      <c r="J123" s="528" cm="1">
        <f t="array" ref="J123">SUMPRODUCT((SVB!$R$2:$R$740&gt;=J311)*(SVB!$R$2:$R$740&lt;=J312)*(SVB!$B$2:$B$740="PPW")*(ISNUMBER(SVB!$F$2:$F$740))*(SVB!$F$2:$F$740))</f>
        <v>0</v>
      </c>
      <c r="K123" s="528" cm="1">
        <f t="array" ref="K123">SUMPRODUCT((SVB!$R$2:$R$740&gt;=K311)*(SVB!$R$2:$R$740&lt;=K312)*(SVB!$B$2:$B$740="PPW")*(ISNUMBER(SVB!$F$2:$F$740))*(SVB!$F$2:$F$740))</f>
        <v>0</v>
      </c>
      <c r="L123" s="528" cm="1">
        <f t="array" ref="L123">SUMPRODUCT((SVB!$R$2:$R$740&gt;=L311)*(SVB!$R$2:$R$740&lt;=L312)*(SVB!$B$2:$B$740="PPW")*(ISNUMBER(SVB!$F$2:$F$740))*(SVB!$F$2:$F$740))</f>
        <v>0</v>
      </c>
      <c r="M123" s="528" cm="1">
        <f t="array" ref="M123">SUMPRODUCT((SVB!$R$2:$R$740&gt;=M311)*(SVB!$R$2:$R$740&lt;=M312)*(SVB!$B$2:$B$740="PPW")*(ISNUMBER(SVB!$F$2:$F$740))*(SVB!$F$2:$F$740))</f>
        <v>0</v>
      </c>
      <c r="N123" s="528" cm="1">
        <f t="array" ref="N123">SUMPRODUCT((SVB!$R$2:$R$740&gt;=N311)*(SVB!$R$2:$R$740&lt;=N312)*(SVB!$B$2:$B$740="PPW")*(ISNUMBER(SVB!$F$2:$F$740))*(SVB!$F$2:$F$740))</f>
        <v>0</v>
      </c>
      <c r="O123" s="528" cm="1">
        <f t="array" ref="O123">SUMPRODUCT((SVB!$R$2:$R$740&gt;=O311)*(SVB!$R$2:$R$740&lt;=O312)*(SVB!$B$2:$B$740="PPW")*(ISNUMBER(SVB!$F$2:$F$740))*(SVB!$F$2:$F$740))</f>
        <v>0</v>
      </c>
      <c r="P123" s="528" cm="1">
        <f t="array" ref="P123">SUMPRODUCT((SVB!$R$2:$R$740&gt;=P311)*(SVB!$R$2:$R$740&lt;=P312)*(SVB!$B$2:$B$740="PPW")*(ISNUMBER(SVB!$F$2:$F$740))*(SVB!$F$2:$F$740))</f>
        <v>0</v>
      </c>
      <c r="Q123" s="528" cm="1">
        <f t="array" ref="Q123">SUMPRODUCT((SVB!$R$2:$R$740&gt;=Q311)*(SVB!$R$2:$R$740&lt;=Q312)*(SVB!$B$2:$B$740="PPW")*(ISNUMBER(SVB!$F$2:$F$740))*(SVB!$F$2:$F$740))</f>
        <v>0</v>
      </c>
      <c r="R123" s="528" cm="1">
        <f t="array" ref="R123">SUMPRODUCT((SVB!$R$2:$R$740&gt;=R311)*(SVB!$R$2:$R$740&lt;=R312)*(SVB!$B$2:$B$740="PPW")*(ISNUMBER(SVB!$F$2:$F$740))*(SVB!$F$2:$F$740))</f>
        <v>0</v>
      </c>
      <c r="S123" s="528" cm="1">
        <f t="array" ref="S123">SUMPRODUCT((SVB!$R$2:$R$740&gt;=S311)*(SVB!$R$2:$R$740&lt;=S312)*(SVB!$B$2:$B$740="PPW")*(ISNUMBER(SVB!$F$2:$F$740))*(SVB!$F$2:$F$740))</f>
        <v>0</v>
      </c>
      <c r="T123" s="528" cm="1">
        <f t="array" ref="T123">SUMPRODUCT((SVB!$R$2:$R$740&gt;=T311)*(SVB!$R$2:$R$740&lt;=T312)*(SVB!$B$2:$B$740="PPW")*(ISNUMBER(SVB!$F$2:$F$740))*(SVB!$F$2:$F$740))</f>
        <v>6</v>
      </c>
      <c r="U123" s="528" cm="1">
        <f t="array" ref="U123">SUMPRODUCT((SVB!$R$2:$R$740&gt;=U311)*(SVB!$R$2:$R$740&lt;=U312)*(SVB!$B$2:$B$740="PPW")*(ISNUMBER(SVB!$F$2:$F$740))*(SVB!$F$2:$F$740))</f>
        <v>0</v>
      </c>
      <c r="V123" s="529" cm="1">
        <f t="array" ref="V123">SUMPRODUCT((SVB!$B$2:$B$740="PPW")*(ISNUMBER(SVB!$F$2:$F$740))*(SVB!$F$2:$F$740))</f>
        <v>8</v>
      </c>
    </row>
    <row r="124" spans="1:22" ht="18" customHeight="1">
      <c r="A124" s="442" t="s">
        <v>917</v>
      </c>
      <c r="B124" s="443" cm="1">
        <f t="array" ref="B124">SUMPRODUCT((SVB!$S$2:$S$740&gt;=B311)*(SVB!$S$2:$S$740&lt;=B312)*(SVB!$B$2:$B$740="PPW")*(ISNUMBER(SVB!$M$2:$M$740))*(SVB!$M$2:$M$740))</f>
        <v>2</v>
      </c>
      <c r="C124" s="443" cm="1">
        <f t="array" ref="C124">SUMPRODUCT((SVB!$S$2:$S$740&gt;=C311)*(SVB!$S$2:$S$740&lt;=C312)*(SVB!$B$2:$B$740="PPW")*(ISNUMBER(SVB!$M$2:$M$740))*(SVB!$M$2:$M$740))</f>
        <v>0</v>
      </c>
      <c r="D124" s="443" cm="1">
        <f t="array" ref="D124">SUMPRODUCT((SVB!$S$2:$S$740&gt;=D311)*(SVB!$S$2:$S$740&lt;=D312)*(SVB!$B$2:$B$740="PPW")*(ISNUMBER(SVB!$M$2:$M$740))*(SVB!$M$2:$M$740))</f>
        <v>0</v>
      </c>
      <c r="E124" s="443" cm="1">
        <f t="array" ref="E124">SUMPRODUCT((SVB!$S$2:$S$740&gt;=E311)*(SVB!$S$2:$S$740&lt;=E312)*(SVB!$B$2:$B$740="PPW")*(ISNUMBER(SVB!$M$2:$M$740))*(SVB!$M$2:$M$740))</f>
        <v>0</v>
      </c>
      <c r="F124" s="443" cm="1">
        <f t="array" ref="F124">SUMPRODUCT((SVB!$S$2:$S$740&gt;=F311)*(SVB!$S$2:$S$740&lt;=F312)*(SVB!$B$2:$B$740="PPW")*(ISNUMBER(SVB!$M$2:$M$740))*(SVB!$M$2:$M$740))</f>
        <v>0</v>
      </c>
      <c r="G124" s="443" cm="1">
        <f t="array" ref="G124">SUMPRODUCT((SVB!$S$2:$S$740&gt;=G311)*(SVB!$S$2:$S$740&lt;=G312)*(SVB!$B$2:$B$740="PPW")*(ISNUMBER(SVB!$M$2:$M$740))*(SVB!$M$2:$M$740))</f>
        <v>0</v>
      </c>
      <c r="H124" s="443" cm="1">
        <f t="array" ref="H124">SUMPRODUCT((SVB!$S$2:$S$740&gt;=H311)*(SVB!$S$2:$S$740&lt;=H312)*(SVB!$B$2:$B$740="PPW")*(ISNUMBER(SVB!$M$2:$M$740))*(SVB!$M$2:$M$740))</f>
        <v>0</v>
      </c>
      <c r="I124" s="443" cm="1">
        <f t="array" ref="I124">SUMPRODUCT((SVB!$S$2:$S$740&gt;=I311)*(SVB!$S$2:$S$740&lt;=I312)*(SVB!$B$2:$B$740="PPW")*(ISNUMBER(SVB!$M$2:$M$740))*(SVB!$M$2:$M$740))</f>
        <v>0</v>
      </c>
      <c r="J124" s="443" cm="1">
        <f t="array" ref="J124">SUMPRODUCT((SVB!$S$2:$S$740&gt;=J311)*(SVB!$S$2:$S$740&lt;=J312)*(SVB!$B$2:$B$740="PPW")*(ISNUMBER(SVB!$M$2:$M$740))*(SVB!$M$2:$M$740))</f>
        <v>0</v>
      </c>
      <c r="K124" s="443" cm="1">
        <f t="array" ref="K124">SUMPRODUCT((SVB!$S$2:$S$740&gt;=K311)*(SVB!$S$2:$S$740&lt;=K312)*(SVB!$B$2:$B$740="PPW")*(ISNUMBER(SVB!$M$2:$M$740))*(SVB!$M$2:$M$740))</f>
        <v>0</v>
      </c>
      <c r="L124" s="443" cm="1">
        <f t="array" ref="L124">SUMPRODUCT((SVB!$S$2:$S$740&gt;=L311)*(SVB!$S$2:$S$740&lt;=L312)*(SVB!$B$2:$B$740="PPW")*(ISNUMBER(SVB!$M$2:$M$740))*(SVB!$M$2:$M$740))</f>
        <v>0</v>
      </c>
      <c r="M124" s="443" cm="1">
        <f t="array" ref="M124">SUMPRODUCT((SVB!$S$2:$S$740&gt;=M311)*(SVB!$S$2:$S$740&lt;=M312)*(SVB!$B$2:$B$740="PPW")*(ISNUMBER(SVB!$M$2:$M$740))*(SVB!$M$2:$M$740))</f>
        <v>0</v>
      </c>
      <c r="N124" s="443" cm="1">
        <f t="array" ref="N124">SUMPRODUCT((SVB!$S$2:$S$740&gt;=N311)*(SVB!$S$2:$S$740&lt;=N312)*(SVB!$B$2:$B$740="PPW")*(ISNUMBER(SVB!$M$2:$M$740))*(SVB!$M$2:$M$740))</f>
        <v>0</v>
      </c>
      <c r="O124" s="443" cm="1">
        <f t="array" ref="O124">SUMPRODUCT((SVB!$S$2:$S$740&gt;=O311)*(SVB!$S$2:$S$740&lt;=O312)*(SVB!$B$2:$B$740="PPW")*(ISNUMBER(SVB!$M$2:$M$740))*(SVB!$M$2:$M$740))</f>
        <v>0</v>
      </c>
      <c r="P124" s="443" cm="1">
        <f t="array" ref="P124">SUMPRODUCT((SVB!$S$2:$S$740&gt;=P311)*(SVB!$S$2:$S$740&lt;=P312)*(SVB!$B$2:$B$740="PPW")*(ISNUMBER(SVB!$M$2:$M$740))*(SVB!$M$2:$M$740))</f>
        <v>0</v>
      </c>
      <c r="Q124" s="443" cm="1">
        <f t="array" ref="Q124">SUMPRODUCT((SVB!$S$2:$S$740&gt;=Q311)*(SVB!$S$2:$S$740&lt;=Q312)*(SVB!$B$2:$B$740="PPW")*(ISNUMBER(SVB!$M$2:$M$740))*(SVB!$M$2:$M$740))</f>
        <v>0</v>
      </c>
      <c r="R124" s="443" cm="1">
        <f t="array" ref="R124">SUMPRODUCT((SVB!$S$2:$S$740&gt;=R311)*(SVB!$S$2:$S$740&lt;=R312)*(SVB!$B$2:$B$740="PPW")*(ISNUMBER(SVB!$M$2:$M$740))*(SVB!$M$2:$M$740))</f>
        <v>0</v>
      </c>
      <c r="S124" s="443" cm="1">
        <f t="array" ref="S124">SUMPRODUCT((SVB!$S$2:$S$740&gt;=S311)*(SVB!$S$2:$S$740&lt;=S312)*(SVB!$B$2:$B$740="PPW")*(ISNUMBER(SVB!$M$2:$M$740))*(SVB!$M$2:$M$740))</f>
        <v>0</v>
      </c>
      <c r="T124" s="443" cm="1">
        <f t="array" ref="T124">SUMPRODUCT((SVB!$S$2:$S$740&gt;=T311)*(SVB!$S$2:$S$740&lt;=T312)*(SVB!$B$2:$B$740="PPW")*(ISNUMBER(SVB!$M$2:$M$740))*(SVB!$M$2:$M$740))</f>
        <v>0</v>
      </c>
      <c r="U124" s="443" cm="1">
        <f t="array" ref="U124">SUMPRODUCT((SVB!$S$2:$S$740&gt;=U311)*(SVB!$S$2:$S$740&lt;=U312)*(SVB!$B$2:$B$740="PPW")*(ISNUMBER(SVB!$M$2:$M$740))*(SVB!$M$2:$M$740))</f>
        <v>0</v>
      </c>
      <c r="V124" s="529">
        <f>SUM(F124:U124)</f>
        <v>0</v>
      </c>
    </row>
    <row r="125" spans="1:22" ht="18" customHeight="1">
      <c r="A125" s="442" t="s">
        <v>918</v>
      </c>
      <c r="B125" s="443" cm="1">
        <f t="array" ref="B125">SUMPRODUCT((SVB!$S$2:$S$740&gt;=B311)*(SVB!$S$2:$S$740&lt;=B312)*(SVB!$B$2:$B$740="PPW")*(ISNUMBER(SVB!$N$2:$N$740))*(SVB!$N$2:$N$740))</f>
        <v>2</v>
      </c>
      <c r="C125" s="443" cm="1">
        <f t="array" ref="C125">SUMPRODUCT((SVB!$S$2:$S$740&gt;=C311)*(SVB!$S$2:$S$740&lt;=C312)*(SVB!$B$2:$B$740="PPW")*(ISNUMBER(SVB!$N$2:$N$740))*(SVB!$N$2:$N$740))</f>
        <v>0</v>
      </c>
      <c r="D125" s="443" cm="1">
        <f t="array" ref="D125">SUMPRODUCT((SVB!$S$2:$S$740&gt;=D311)*(SVB!$S$2:$S$740&lt;=D312)*(SVB!$B$2:$B$740="PPW")*(ISNUMBER(SVB!$N$2:$N$740))*(SVB!$N$2:$N$740))</f>
        <v>0</v>
      </c>
      <c r="E125" s="443" cm="1">
        <f t="array" ref="E125">SUMPRODUCT((SVB!$S$2:$S$740&gt;=E311)*(SVB!$S$2:$S$740&lt;=E312)*(SVB!$B$2:$B$740="PPW")*(ISNUMBER(SVB!$N$2:$N$740))*(SVB!$N$2:$N$740))</f>
        <v>0</v>
      </c>
      <c r="F125" s="443" cm="1">
        <f t="array" ref="F125">SUMPRODUCT((SVB!$S$2:$S$740&gt;=F311)*(SVB!$S$2:$S$740&lt;=F312)*(SVB!$B$2:$B$740="PPW")*(ISNUMBER(SVB!$N$2:$N$740))*(SVB!$N$2:$N$740))</f>
        <v>0</v>
      </c>
      <c r="G125" s="443" cm="1">
        <f t="array" ref="G125">SUMPRODUCT((SVB!$S$2:$S$740&gt;=G311)*(SVB!$S$2:$S$740&lt;=G312)*(SVB!$B$2:$B$740="PPW")*(ISNUMBER(SVB!$N$2:$N$740))*(SVB!$N$2:$N$740))</f>
        <v>0</v>
      </c>
      <c r="H125" s="443" cm="1">
        <f t="array" ref="H125">SUMPRODUCT((SVB!$S$2:$S$740&gt;=H311)*(SVB!$S$2:$S$740&lt;=H312)*(SVB!$B$2:$B$740="PPW")*(ISNUMBER(SVB!$N$2:$N$740))*(SVB!$N$2:$N$740))</f>
        <v>0</v>
      </c>
      <c r="I125" s="443" cm="1">
        <f t="array" ref="I125">SUMPRODUCT((SVB!$S$2:$S$740&gt;=I311)*(SVB!$S$2:$S$740&lt;=I312)*(SVB!$B$2:$B$740="PPW")*(ISNUMBER(SVB!$N$2:$N$740))*(SVB!$N$2:$N$740))</f>
        <v>0</v>
      </c>
      <c r="J125" s="443" cm="1">
        <f t="array" ref="J125">SUMPRODUCT((SVB!$S$2:$S$740&gt;=J311)*(SVB!$S$2:$S$740&lt;=J312)*(SVB!$B$2:$B$740="PPW")*(ISNUMBER(SVB!$N$2:$N$740))*(SVB!$N$2:$N$740))</f>
        <v>0</v>
      </c>
      <c r="K125" s="443" cm="1">
        <f t="array" ref="K125">SUMPRODUCT((SVB!$S$2:$S$740&gt;=K311)*(SVB!$S$2:$S$740&lt;=K312)*(SVB!$B$2:$B$740="PPW")*(ISNUMBER(SVB!$N$2:$N$740))*(SVB!$N$2:$N$740))</f>
        <v>0</v>
      </c>
      <c r="L125" s="443" cm="1">
        <f t="array" ref="L125">SUMPRODUCT((SVB!$S$2:$S$740&gt;=L311)*(SVB!$S$2:$S$740&lt;=L312)*(SVB!$B$2:$B$740="PPW")*(ISNUMBER(SVB!$N$2:$N$740))*(SVB!$N$2:$N$740))</f>
        <v>0</v>
      </c>
      <c r="M125" s="443" cm="1">
        <f t="array" ref="M125">SUMPRODUCT((SVB!$S$2:$S$740&gt;=M311)*(SVB!$S$2:$S$740&lt;=M312)*(SVB!$B$2:$B$740="PPW")*(ISNUMBER(SVB!$N$2:$N$740))*(SVB!$N$2:$N$740))</f>
        <v>0</v>
      </c>
      <c r="N125" s="443" cm="1">
        <f t="array" ref="N125">SUMPRODUCT((SVB!$S$2:$S$740&gt;=N311)*(SVB!$S$2:$S$740&lt;=N312)*(SVB!$B$2:$B$740="PPW")*(ISNUMBER(SVB!$N$2:$N$740))*(SVB!$N$2:$N$740))</f>
        <v>0</v>
      </c>
      <c r="O125" s="443" cm="1">
        <f t="array" ref="O125">SUMPRODUCT((SVB!$S$2:$S$740&gt;=O311)*(SVB!$S$2:$S$740&lt;=O312)*(SVB!$B$2:$B$740="PPW")*(ISNUMBER(SVB!$N$2:$N$740))*(SVB!$N$2:$N$740))</f>
        <v>0</v>
      </c>
      <c r="P125" s="443" cm="1">
        <f t="array" ref="P125">SUMPRODUCT((SVB!$S$2:$S$740&gt;=P311)*(SVB!$S$2:$S$740&lt;=P312)*(SVB!$B$2:$B$740="PPW")*(ISNUMBER(SVB!$N$2:$N$740))*(SVB!$N$2:$N$740))</f>
        <v>0</v>
      </c>
      <c r="Q125" s="443" cm="1">
        <f t="array" ref="Q125">SUMPRODUCT((SVB!$S$2:$S$740&gt;=Q311)*(SVB!$S$2:$S$740&lt;=Q312)*(SVB!$B$2:$B$740="PPW")*(ISNUMBER(SVB!$N$2:$N$740))*(SVB!$N$2:$N$740))</f>
        <v>0</v>
      </c>
      <c r="R125" s="443" cm="1">
        <f t="array" ref="R125">SUMPRODUCT((SVB!$S$2:$S$740&gt;=R311)*(SVB!$S$2:$S$740&lt;=R312)*(SVB!$B$2:$B$740="PPW")*(ISNUMBER(SVB!$N$2:$N$740))*(SVB!$N$2:$N$740))</f>
        <v>0</v>
      </c>
      <c r="S125" s="443" cm="1">
        <f t="array" ref="S125">SUMPRODUCT((SVB!$S$2:$S$740&gt;=S311)*(SVB!$S$2:$S$740&lt;=S312)*(SVB!$B$2:$B$740="PPW")*(ISNUMBER(SVB!$N$2:$N$740))*(SVB!$N$2:$N$740))</f>
        <v>0</v>
      </c>
      <c r="T125" s="443" cm="1">
        <f t="array" ref="T125">SUMPRODUCT((SVB!$S$2:$S$740&gt;=T311)*(SVB!$S$2:$S$740&lt;=T312)*(SVB!$B$2:$B$740="PPW")*(ISNUMBER(SVB!$N$2:$N$740))*(SVB!$N$2:$N$740))</f>
        <v>0</v>
      </c>
      <c r="U125" s="443" cm="1">
        <f t="array" ref="U125">SUMPRODUCT((SVB!$S$2:$S$740&gt;=U311)*(SVB!$S$2:$S$740&lt;=U312)*(SVB!$B$2:$B$740="PPW")*(ISNUMBER(SVB!$N$2:$N$740))*(SVB!$N$2:$N$740))</f>
        <v>0</v>
      </c>
      <c r="V125" s="529">
        <f>SUM(F125:U125)</f>
        <v>0</v>
      </c>
    </row>
    <row r="126" spans="1:22" ht="18" customHeight="1">
      <c r="A126" s="442" t="s">
        <v>919</v>
      </c>
      <c r="B126" s="443" cm="1">
        <f t="array" ref="B126">SUMPRODUCT((SVB!$S$2:$S$740&gt;=B311)*(SVB!$S$2:$S$740&lt;=B312)*(SVB!$B$2:$B$740="PPW")*(ISNUMBER(SVB!$O$2:$O$740))*(SVB!$O$2:$O$740))</f>
        <v>2</v>
      </c>
      <c r="C126" s="443" cm="1">
        <f t="array" ref="C126">SUMPRODUCT((SVB!$S$2:$S$740&gt;=C311)*(SVB!$S$2:$S$740&lt;=C312)*(SVB!$B$2:$B$740="PPW")*(ISNUMBER(SVB!$O$2:$O$740))*(SVB!$O$2:$O$740))</f>
        <v>0</v>
      </c>
      <c r="D126" s="443" cm="1">
        <f t="array" ref="D126">SUMPRODUCT((SVB!$S$2:$S$740&gt;=D311)*(SVB!$S$2:$S$740&lt;=D312)*(SVB!$B$2:$B$740="PPW")*(ISNUMBER(SVB!$O$2:$O$740))*(SVB!$O$2:$O$740))</f>
        <v>0</v>
      </c>
      <c r="E126" s="443" cm="1">
        <f t="array" ref="E126">SUMPRODUCT((SVB!$S$2:$S$740&gt;=E311)*(SVB!$S$2:$S$740&lt;=E312)*(SVB!$B$2:$B$740="PPW")*(ISNUMBER(SVB!$O$2:$O$740))*(SVB!$O$2:$O$740))</f>
        <v>0</v>
      </c>
      <c r="F126" s="443" cm="1">
        <f t="array" ref="F126">SUMPRODUCT((SVB!$S$2:$S$740&gt;=F311)*(SVB!$S$2:$S$740&lt;=F312)*(SVB!$B$2:$B$740="PPW")*(ISNUMBER(SVB!$O$2:$O$740))*(SVB!$O$2:$O$740))</f>
        <v>0</v>
      </c>
      <c r="G126" s="443" cm="1">
        <f t="array" ref="G126">SUMPRODUCT((SVB!$S$2:$S$740&gt;=G311)*(SVB!$S$2:$S$740&lt;=G312)*(SVB!$B$2:$B$740="PPW")*(ISNUMBER(SVB!$O$2:$O$740))*(SVB!$O$2:$O$740))</f>
        <v>0</v>
      </c>
      <c r="H126" s="443" cm="1">
        <f t="array" ref="H126">SUMPRODUCT((SVB!$S$2:$S$740&gt;=H311)*(SVB!$S$2:$S$740&lt;=H312)*(SVB!$B$2:$B$740="PPW")*(ISNUMBER(SVB!$O$2:$O$740))*(SVB!$O$2:$O$740))</f>
        <v>0</v>
      </c>
      <c r="I126" s="443" cm="1">
        <f t="array" ref="I126">SUMPRODUCT((SVB!$S$2:$S$740&gt;=I311)*(SVB!$S$2:$S$740&lt;=I312)*(SVB!$B$2:$B$740="PPW")*(ISNUMBER(SVB!$O$2:$O$740))*(SVB!$O$2:$O$740))</f>
        <v>0</v>
      </c>
      <c r="J126" s="443" cm="1">
        <f t="array" ref="J126">SUMPRODUCT((SVB!$S$2:$S$740&gt;=J311)*(SVB!$S$2:$S$740&lt;=J312)*(SVB!$B$2:$B$740="PPW")*(ISNUMBER(SVB!$O$2:$O$740))*(SVB!$O$2:$O$740))</f>
        <v>0</v>
      </c>
      <c r="K126" s="443" cm="1">
        <f t="array" ref="K126">SUMPRODUCT((SVB!$S$2:$S$740&gt;=K311)*(SVB!$S$2:$S$740&lt;=K312)*(SVB!$B$2:$B$740="PPW")*(ISNUMBER(SVB!$O$2:$O$740))*(SVB!$O$2:$O$740))</f>
        <v>0</v>
      </c>
      <c r="L126" s="443" cm="1">
        <f t="array" ref="L126">SUMPRODUCT((SVB!$S$2:$S$740&gt;=L311)*(SVB!$S$2:$S$740&lt;=L312)*(SVB!$B$2:$B$740="PPW")*(ISNUMBER(SVB!$O$2:$O$740))*(SVB!$O$2:$O$740))</f>
        <v>0</v>
      </c>
      <c r="M126" s="443" cm="1">
        <f t="array" ref="M126">SUMPRODUCT((SVB!$S$2:$S$740&gt;=M311)*(SVB!$S$2:$S$740&lt;=M312)*(SVB!$B$2:$B$740="PPW")*(ISNUMBER(SVB!$O$2:$O$740))*(SVB!$O$2:$O$740))</f>
        <v>0</v>
      </c>
      <c r="N126" s="443" cm="1">
        <f t="array" ref="N126">SUMPRODUCT((SVB!$S$2:$S$740&gt;=N311)*(SVB!$S$2:$S$740&lt;=N312)*(SVB!$B$2:$B$740="PPW")*(ISNUMBER(SVB!$O$2:$O$740))*(SVB!$O$2:$O$740))</f>
        <v>0</v>
      </c>
      <c r="O126" s="443" cm="1">
        <f t="array" ref="O126">SUMPRODUCT((SVB!$S$2:$S$740&gt;=O311)*(SVB!$S$2:$S$740&lt;=O312)*(SVB!$B$2:$B$740="PPW")*(ISNUMBER(SVB!$O$2:$O$740))*(SVB!$O$2:$O$740))</f>
        <v>0</v>
      </c>
      <c r="P126" s="443" cm="1">
        <f t="array" ref="P126">SUMPRODUCT((SVB!$S$2:$S$740&gt;=P311)*(SVB!$S$2:$S$740&lt;=P312)*(SVB!$B$2:$B$740="PPW")*(ISNUMBER(SVB!$O$2:$O$740))*(SVB!$O$2:$O$740))</f>
        <v>0</v>
      </c>
      <c r="Q126" s="443" cm="1">
        <f t="array" ref="Q126">SUMPRODUCT((SVB!$S$2:$S$740&gt;=Q311)*(SVB!$S$2:$S$740&lt;=Q312)*(SVB!$B$2:$B$740="PPW")*(ISNUMBER(SVB!$O$2:$O$740))*(SVB!$O$2:$O$740))</f>
        <v>0</v>
      </c>
      <c r="R126" s="443" cm="1">
        <f t="array" ref="R126">SUMPRODUCT((SVB!$S$2:$S$740&gt;=R311)*(SVB!$S$2:$S$740&lt;=R312)*(SVB!$B$2:$B$740="PPW")*(ISNUMBER(SVB!$O$2:$O$740))*(SVB!$O$2:$O$740))</f>
        <v>0</v>
      </c>
      <c r="S126" s="443" cm="1">
        <f t="array" ref="S126">SUMPRODUCT((SVB!$S$2:$S$740&gt;=S311)*(SVB!$S$2:$S$740&lt;=S312)*(SVB!$B$2:$B$740="PPW")*(ISNUMBER(SVB!$O$2:$O$740))*(SVB!$O$2:$O$740))</f>
        <v>0</v>
      </c>
      <c r="T126" s="443" cm="1">
        <f t="array" ref="T126">SUMPRODUCT((SVB!$S$2:$S$740&gt;=T311)*(SVB!$S$2:$S$740&lt;=T312)*(SVB!$B$2:$B$740="PPW")*(ISNUMBER(SVB!$O$2:$O$740))*(SVB!$O$2:$O$740))</f>
        <v>0</v>
      </c>
      <c r="U126" s="443" cm="1">
        <f t="array" ref="U126">SUMPRODUCT((SVB!$S$2:$S$740&gt;=U311)*(SVB!$S$2:$S$740&lt;=U312)*(SVB!$B$2:$B$740="PPW")*(ISNUMBER(SVB!$O$2:$O$740))*(SVB!$O$2:$O$740))</f>
        <v>0</v>
      </c>
      <c r="V126" s="529">
        <f>SUM(F126:U126)</f>
        <v>0</v>
      </c>
    </row>
    <row r="127" spans="1:22" s="547" customFormat="1" ht="19.5" customHeight="1">
      <c r="A127" s="550" t="s">
        <v>322</v>
      </c>
      <c r="B127" s="551">
        <f>MAX(B126-B123,0)</f>
        <v>0</v>
      </c>
      <c r="C127" s="551">
        <f t="shared" ref="C127" si="160">MAX(C126-C123,0)</f>
        <v>0</v>
      </c>
      <c r="D127" s="551">
        <f t="shared" ref="D127" si="161">MAX(D126-D123,0)</f>
        <v>0</v>
      </c>
      <c r="E127" s="551">
        <f t="shared" ref="E127" si="162">MAX(E126-E123,0)</f>
        <v>0</v>
      </c>
      <c r="F127" s="551">
        <f t="shared" ref="F127" si="163">MAX(F126-F123,0)</f>
        <v>0</v>
      </c>
      <c r="G127" s="551">
        <f t="shared" ref="G127" si="164">MAX(G126-G123,0)</f>
        <v>0</v>
      </c>
      <c r="H127" s="551">
        <f t="shared" ref="H127" si="165">MAX(H126-H123,0)</f>
        <v>0</v>
      </c>
      <c r="I127" s="551">
        <f t="shared" ref="I127" si="166">MAX(I126-I123,0)</f>
        <v>0</v>
      </c>
      <c r="J127" s="551">
        <f t="shared" ref="J127" si="167">MAX(J126-J123,0)</f>
        <v>0</v>
      </c>
      <c r="K127" s="551">
        <f t="shared" ref="K127" si="168">MAX(K126-K123,0)</f>
        <v>0</v>
      </c>
      <c r="L127" s="551">
        <f t="shared" ref="L127" si="169">MAX(L126-L123,0)</f>
        <v>0</v>
      </c>
      <c r="M127" s="551">
        <f t="shared" ref="M127" si="170">MAX(M126-M123,0)</f>
        <v>0</v>
      </c>
      <c r="N127" s="551">
        <f t="shared" ref="N127" si="171">MAX(N126-N123,0)</f>
        <v>0</v>
      </c>
      <c r="O127" s="551">
        <f t="shared" ref="O127" si="172">MAX(O126-O123,0)</f>
        <v>0</v>
      </c>
      <c r="P127" s="551">
        <f t="shared" ref="P127" si="173">MAX(P126-P123,0)</f>
        <v>0</v>
      </c>
      <c r="Q127" s="551">
        <f t="shared" ref="Q127:U127" si="174">MAX(Q126-Q123,0)</f>
        <v>0</v>
      </c>
      <c r="R127" s="551">
        <f t="shared" si="174"/>
        <v>0</v>
      </c>
      <c r="S127" s="551">
        <f t="shared" si="174"/>
        <v>0</v>
      </c>
      <c r="T127" s="551">
        <f t="shared" si="174"/>
        <v>0</v>
      </c>
      <c r="U127" s="551">
        <f t="shared" si="174"/>
        <v>0</v>
      </c>
      <c r="V127" s="552">
        <f>MAX(V126-V123,0)</f>
        <v>0</v>
      </c>
    </row>
    <row r="128" spans="1:22" s="547" customFormat="1" ht="19.5" customHeight="1">
      <c r="A128" s="550" t="s">
        <v>323</v>
      </c>
      <c r="B128" s="551">
        <f>MAX(B123-B126,0)</f>
        <v>0</v>
      </c>
      <c r="C128" s="551">
        <f t="shared" ref="C128:Q128" si="175">MAX(C123-C126,0)</f>
        <v>0</v>
      </c>
      <c r="D128" s="551">
        <f t="shared" si="175"/>
        <v>0</v>
      </c>
      <c r="E128" s="551">
        <f t="shared" si="175"/>
        <v>0</v>
      </c>
      <c r="F128" s="551">
        <f t="shared" si="175"/>
        <v>0</v>
      </c>
      <c r="G128" s="551">
        <f t="shared" si="175"/>
        <v>0</v>
      </c>
      <c r="H128" s="551">
        <f t="shared" si="175"/>
        <v>0</v>
      </c>
      <c r="I128" s="551">
        <f t="shared" si="175"/>
        <v>0</v>
      </c>
      <c r="J128" s="551">
        <f t="shared" si="175"/>
        <v>0</v>
      </c>
      <c r="K128" s="551">
        <f t="shared" si="175"/>
        <v>0</v>
      </c>
      <c r="L128" s="551">
        <f t="shared" si="175"/>
        <v>0</v>
      </c>
      <c r="M128" s="551">
        <f t="shared" si="175"/>
        <v>0</v>
      </c>
      <c r="N128" s="551">
        <f t="shared" si="175"/>
        <v>0</v>
      </c>
      <c r="O128" s="551">
        <f t="shared" si="175"/>
        <v>0</v>
      </c>
      <c r="P128" s="551">
        <f t="shared" si="175"/>
        <v>0</v>
      </c>
      <c r="Q128" s="551">
        <f t="shared" si="175"/>
        <v>0</v>
      </c>
      <c r="R128" s="551">
        <f t="shared" ref="R128:U128" si="176">MAX(R123-R126,0)</f>
        <v>0</v>
      </c>
      <c r="S128" s="551">
        <f t="shared" si="176"/>
        <v>0</v>
      </c>
      <c r="T128" s="551">
        <f t="shared" si="176"/>
        <v>6</v>
      </c>
      <c r="U128" s="551">
        <f t="shared" si="176"/>
        <v>0</v>
      </c>
      <c r="V128" s="552">
        <f>MAX(V123-V126,0)</f>
        <v>8</v>
      </c>
    </row>
    <row r="129" spans="1:22" ht="18" customHeight="1">
      <c r="A129" s="541" t="s">
        <v>326</v>
      </c>
      <c r="B129" s="542">
        <f t="shared" ref="B129:Q129" si="177">IF(B123=0,"-",(B124+B125+B126)/(B123*3))</f>
        <v>1</v>
      </c>
      <c r="C129" s="542" t="str">
        <f t="shared" si="177"/>
        <v>-</v>
      </c>
      <c r="D129" s="542" t="str">
        <f t="shared" si="177"/>
        <v>-</v>
      </c>
      <c r="E129" s="542" t="str">
        <f t="shared" si="177"/>
        <v>-</v>
      </c>
      <c r="F129" s="542" t="str">
        <f t="shared" si="177"/>
        <v>-</v>
      </c>
      <c r="G129" s="542" t="str">
        <f t="shared" si="177"/>
        <v>-</v>
      </c>
      <c r="H129" s="542" t="str">
        <f t="shared" si="177"/>
        <v>-</v>
      </c>
      <c r="I129" s="542" t="str">
        <f t="shared" si="177"/>
        <v>-</v>
      </c>
      <c r="J129" s="542" t="str">
        <f t="shared" si="177"/>
        <v>-</v>
      </c>
      <c r="K129" s="542" t="str">
        <f t="shared" si="177"/>
        <v>-</v>
      </c>
      <c r="L129" s="542" t="str">
        <f t="shared" si="177"/>
        <v>-</v>
      </c>
      <c r="M129" s="542" t="str">
        <f t="shared" si="177"/>
        <v>-</v>
      </c>
      <c r="N129" s="542" t="str">
        <f t="shared" si="177"/>
        <v>-</v>
      </c>
      <c r="O129" s="542" t="str">
        <f t="shared" si="177"/>
        <v>-</v>
      </c>
      <c r="P129" s="542" t="str">
        <f t="shared" si="177"/>
        <v>-</v>
      </c>
      <c r="Q129" s="542" t="str">
        <f t="shared" si="177"/>
        <v>-</v>
      </c>
      <c r="R129" s="542" t="str">
        <f t="shared" ref="R129:U129" si="178">IF(R123=0,"-",(R124+R125+R126)/(R123*3))</f>
        <v>-</v>
      </c>
      <c r="S129" s="542" t="str">
        <f t="shared" si="178"/>
        <v>-</v>
      </c>
      <c r="T129" s="542">
        <f t="shared" si="178"/>
        <v>0</v>
      </c>
      <c r="U129" s="542" t="str">
        <f t="shared" si="178"/>
        <v>-</v>
      </c>
      <c r="V129" s="530">
        <f t="shared" ref="V129" si="179">IF(V123=0,"-",(V124+V125+V126)/(V123*3))</f>
        <v>0</v>
      </c>
    </row>
    <row r="130" spans="1:22" ht="18" customHeight="1">
      <c r="A130" s="597" t="s">
        <v>920</v>
      </c>
      <c r="B130" s="598">
        <f>SUM($B126:B126)</f>
        <v>2</v>
      </c>
      <c r="C130" s="598">
        <f>SUM($B126:C126)</f>
        <v>2</v>
      </c>
      <c r="D130" s="598">
        <f>SUM($B126:D126)</f>
        <v>2</v>
      </c>
      <c r="E130" s="598">
        <f>SUM($B126:E126)</f>
        <v>2</v>
      </c>
      <c r="F130" s="598">
        <f>SUM($B126:F126)</f>
        <v>2</v>
      </c>
      <c r="G130" s="598">
        <f>SUM($B126:G126)</f>
        <v>2</v>
      </c>
      <c r="H130" s="598">
        <f>SUM($B126:H126)</f>
        <v>2</v>
      </c>
      <c r="I130" s="598">
        <f>SUM($B126:I126)</f>
        <v>2</v>
      </c>
      <c r="J130" s="598">
        <f>SUM($B126:J126)</f>
        <v>2</v>
      </c>
      <c r="K130" s="598">
        <f>SUM($B126:K126)</f>
        <v>2</v>
      </c>
      <c r="L130" s="598">
        <f>SUM($B126:L126)</f>
        <v>2</v>
      </c>
      <c r="M130" s="598">
        <f>SUM($B126:M126)</f>
        <v>2</v>
      </c>
      <c r="N130" s="598">
        <f>SUM($B126:N126)</f>
        <v>2</v>
      </c>
      <c r="O130" s="598">
        <f>SUM($B126:O126)</f>
        <v>2</v>
      </c>
      <c r="P130" s="598">
        <f>SUM($B126:P126)</f>
        <v>2</v>
      </c>
      <c r="Q130" s="598">
        <f>SUM($B126:Q126)</f>
        <v>2</v>
      </c>
      <c r="R130" s="598">
        <f>SUM($B126:R126)</f>
        <v>2</v>
      </c>
      <c r="S130" s="598">
        <f>SUM($B126:S126)</f>
        <v>2</v>
      </c>
      <c r="T130" s="598">
        <f>SUM($B126:T126)</f>
        <v>2</v>
      </c>
      <c r="U130" s="598">
        <f>SUM($B126:U126)</f>
        <v>2</v>
      </c>
      <c r="V130" s="529">
        <f>V126</f>
        <v>0</v>
      </c>
    </row>
    <row r="131" spans="1:22" ht="18" customHeight="1">
      <c r="A131" s="599" t="s">
        <v>318</v>
      </c>
      <c r="B131" s="600">
        <f>IF(B123=0,IF(B124=0,"-","100%"),B124/B123)</f>
        <v>1</v>
      </c>
      <c r="C131" s="600" t="str">
        <f t="shared" ref="C131:Q131" si="180">IF(C123=0,IF(C124=0,"-","100%"),C124/C123)</f>
        <v>-</v>
      </c>
      <c r="D131" s="600" t="str">
        <f t="shared" si="180"/>
        <v>-</v>
      </c>
      <c r="E131" s="600" t="str">
        <f t="shared" si="180"/>
        <v>-</v>
      </c>
      <c r="F131" s="600" t="str">
        <f t="shared" si="180"/>
        <v>-</v>
      </c>
      <c r="G131" s="600" t="str">
        <f t="shared" si="180"/>
        <v>-</v>
      </c>
      <c r="H131" s="600" t="str">
        <f t="shared" si="180"/>
        <v>-</v>
      </c>
      <c r="I131" s="600" t="str">
        <f t="shared" si="180"/>
        <v>-</v>
      </c>
      <c r="J131" s="600" t="str">
        <f t="shared" si="180"/>
        <v>-</v>
      </c>
      <c r="K131" s="600" t="str">
        <f t="shared" si="180"/>
        <v>-</v>
      </c>
      <c r="L131" s="600" t="str">
        <f t="shared" si="180"/>
        <v>-</v>
      </c>
      <c r="M131" s="600" t="str">
        <f t="shared" si="180"/>
        <v>-</v>
      </c>
      <c r="N131" s="600" t="str">
        <f t="shared" si="180"/>
        <v>-</v>
      </c>
      <c r="O131" s="600" t="str">
        <f t="shared" si="180"/>
        <v>-</v>
      </c>
      <c r="P131" s="600" t="str">
        <f t="shared" si="180"/>
        <v>-</v>
      </c>
      <c r="Q131" s="600" t="str">
        <f t="shared" si="180"/>
        <v>-</v>
      </c>
      <c r="R131" s="600" t="str">
        <f t="shared" ref="R131:U131" si="181">IF(R123=0,IF(R124=0,"-","100%"),R124/R123)</f>
        <v>-</v>
      </c>
      <c r="S131" s="600" t="str">
        <f t="shared" si="181"/>
        <v>-</v>
      </c>
      <c r="T131" s="600">
        <f t="shared" si="181"/>
        <v>0</v>
      </c>
      <c r="U131" s="600" t="str">
        <f t="shared" si="181"/>
        <v>-</v>
      </c>
      <c r="V131" s="601">
        <f>IF(V123=0,"-",V124/V123)</f>
        <v>0</v>
      </c>
    </row>
    <row r="132" spans="1:22" ht="18" customHeight="1">
      <c r="A132" s="599" t="s">
        <v>320</v>
      </c>
      <c r="B132" s="600">
        <f>IF(B123=0,IF(B125=0,"-","100%"),B125/B123)</f>
        <v>1</v>
      </c>
      <c r="C132" s="600" t="str">
        <f t="shared" ref="C132:Q132" si="182">IF(C123=0,IF(C125=0,"-","100%"),C125/C123)</f>
        <v>-</v>
      </c>
      <c r="D132" s="600" t="str">
        <f t="shared" si="182"/>
        <v>-</v>
      </c>
      <c r="E132" s="600" t="str">
        <f t="shared" si="182"/>
        <v>-</v>
      </c>
      <c r="F132" s="600" t="str">
        <f t="shared" si="182"/>
        <v>-</v>
      </c>
      <c r="G132" s="600" t="str">
        <f t="shared" si="182"/>
        <v>-</v>
      </c>
      <c r="H132" s="600" t="str">
        <f t="shared" si="182"/>
        <v>-</v>
      </c>
      <c r="I132" s="600" t="str">
        <f t="shared" si="182"/>
        <v>-</v>
      </c>
      <c r="J132" s="600" t="str">
        <f t="shared" si="182"/>
        <v>-</v>
      </c>
      <c r="K132" s="600" t="str">
        <f t="shared" si="182"/>
        <v>-</v>
      </c>
      <c r="L132" s="600" t="str">
        <f t="shared" si="182"/>
        <v>-</v>
      </c>
      <c r="M132" s="600" t="str">
        <f t="shared" si="182"/>
        <v>-</v>
      </c>
      <c r="N132" s="600" t="str">
        <f t="shared" si="182"/>
        <v>-</v>
      </c>
      <c r="O132" s="600" t="str">
        <f t="shared" si="182"/>
        <v>-</v>
      </c>
      <c r="P132" s="600" t="str">
        <f t="shared" si="182"/>
        <v>-</v>
      </c>
      <c r="Q132" s="600" t="str">
        <f t="shared" si="182"/>
        <v>-</v>
      </c>
      <c r="R132" s="600" t="str">
        <f t="shared" ref="R132:U132" si="183">IF(R123=0,IF(R125=0,"-","100%"),R125/R123)</f>
        <v>-</v>
      </c>
      <c r="S132" s="600" t="str">
        <f t="shared" si="183"/>
        <v>-</v>
      </c>
      <c r="T132" s="600">
        <f t="shared" si="183"/>
        <v>0</v>
      </c>
      <c r="U132" s="600" t="str">
        <f t="shared" si="183"/>
        <v>-</v>
      </c>
      <c r="V132" s="601">
        <f>IF(V123=0,"-",V125/V123)</f>
        <v>0</v>
      </c>
    </row>
    <row r="133" spans="1:22" ht="18" customHeight="1">
      <c r="A133" s="599" t="s">
        <v>324</v>
      </c>
      <c r="B133" s="600">
        <f>IF(B123=0,IF(B126=0,"-","100%"),B126/B123)</f>
        <v>1</v>
      </c>
      <c r="C133" s="600" t="str">
        <f t="shared" ref="C133:Q133" si="184">IF(C123=0,IF(C126=0,"-","100%"),C126/C123)</f>
        <v>-</v>
      </c>
      <c r="D133" s="600" t="str">
        <f t="shared" si="184"/>
        <v>-</v>
      </c>
      <c r="E133" s="600" t="str">
        <f t="shared" si="184"/>
        <v>-</v>
      </c>
      <c r="F133" s="600" t="str">
        <f t="shared" si="184"/>
        <v>-</v>
      </c>
      <c r="G133" s="600" t="str">
        <f t="shared" si="184"/>
        <v>-</v>
      </c>
      <c r="H133" s="600" t="str">
        <f t="shared" si="184"/>
        <v>-</v>
      </c>
      <c r="I133" s="600" t="str">
        <f t="shared" si="184"/>
        <v>-</v>
      </c>
      <c r="J133" s="600" t="str">
        <f t="shared" si="184"/>
        <v>-</v>
      </c>
      <c r="K133" s="600" t="str">
        <f t="shared" si="184"/>
        <v>-</v>
      </c>
      <c r="L133" s="600" t="str">
        <f t="shared" si="184"/>
        <v>-</v>
      </c>
      <c r="M133" s="600" t="str">
        <f t="shared" si="184"/>
        <v>-</v>
      </c>
      <c r="N133" s="600" t="str">
        <f t="shared" si="184"/>
        <v>-</v>
      </c>
      <c r="O133" s="600" t="str">
        <f t="shared" si="184"/>
        <v>-</v>
      </c>
      <c r="P133" s="600" t="str">
        <f t="shared" si="184"/>
        <v>-</v>
      </c>
      <c r="Q133" s="600" t="str">
        <f t="shared" si="184"/>
        <v>-</v>
      </c>
      <c r="R133" s="600" t="str">
        <f t="shared" ref="R133:U133" si="185">IF(R123=0,IF(R126=0,"-","100%"),R126/R123)</f>
        <v>-</v>
      </c>
      <c r="S133" s="600" t="str">
        <f t="shared" si="185"/>
        <v>-</v>
      </c>
      <c r="T133" s="600">
        <f t="shared" si="185"/>
        <v>0</v>
      </c>
      <c r="U133" s="600" t="str">
        <f t="shared" si="185"/>
        <v>-</v>
      </c>
      <c r="V133" s="601">
        <f>IF(V123=0,"-",V126/V123)</f>
        <v>0</v>
      </c>
    </row>
    <row r="134" spans="1:22" s="547" customFormat="1" ht="19.5" customHeight="1">
      <c r="A134" s="550" t="s">
        <v>327</v>
      </c>
      <c r="B134" s="551">
        <f>SUM($B123:B123)</f>
        <v>2</v>
      </c>
      <c r="C134" s="551">
        <f>SUM($B123:C123)</f>
        <v>2</v>
      </c>
      <c r="D134" s="551">
        <f>SUM($B123:D123)</f>
        <v>2</v>
      </c>
      <c r="E134" s="551">
        <f>SUM($B123:E123)</f>
        <v>2</v>
      </c>
      <c r="F134" s="551">
        <f>SUM($B123:F123)</f>
        <v>2</v>
      </c>
      <c r="G134" s="551">
        <f>SUM($B123:G123)</f>
        <v>2</v>
      </c>
      <c r="H134" s="551">
        <f>SUM($B123:H123)</f>
        <v>2</v>
      </c>
      <c r="I134" s="551">
        <f>SUM($B123:I123)</f>
        <v>2</v>
      </c>
      <c r="J134" s="551">
        <f>SUM($B123:J123)</f>
        <v>2</v>
      </c>
      <c r="K134" s="551">
        <f>SUM($B123:K123)</f>
        <v>2</v>
      </c>
      <c r="L134" s="551">
        <f>SUM($B123:L123)</f>
        <v>2</v>
      </c>
      <c r="M134" s="551">
        <f>SUM($B123:M123)</f>
        <v>2</v>
      </c>
      <c r="N134" s="551">
        <f>SUM($B123:N123)</f>
        <v>2</v>
      </c>
      <c r="O134" s="551">
        <f>SUM($B123:O123)</f>
        <v>2</v>
      </c>
      <c r="P134" s="551">
        <f>SUM($B123:P123)</f>
        <v>2</v>
      </c>
      <c r="Q134" s="551">
        <f>SUM($B123:Q123)</f>
        <v>2</v>
      </c>
      <c r="R134" s="551">
        <f>SUM($B123:R123)</f>
        <v>2</v>
      </c>
      <c r="S134" s="551">
        <f>SUM($B123:S123)</f>
        <v>2</v>
      </c>
      <c r="T134" s="551">
        <f>SUM($B123:T123)</f>
        <v>8</v>
      </c>
      <c r="U134" s="551">
        <f>SUM($B123:U123)</f>
        <v>8</v>
      </c>
      <c r="V134" s="552">
        <f>V123</f>
        <v>8</v>
      </c>
    </row>
    <row r="135" spans="1:22" s="547" customFormat="1" ht="19.5" customHeight="1">
      <c r="A135" s="550" t="s">
        <v>328</v>
      </c>
      <c r="B135" s="551">
        <f>SUM($B126:B126)</f>
        <v>2</v>
      </c>
      <c r="C135" s="551">
        <f>SUM($B126:C126)</f>
        <v>2</v>
      </c>
      <c r="D135" s="551">
        <f>SUM($B126:D126)</f>
        <v>2</v>
      </c>
      <c r="E135" s="551">
        <f>SUM($B126:E126)</f>
        <v>2</v>
      </c>
      <c r="F135" s="551">
        <f>SUM($B126:F126)</f>
        <v>2</v>
      </c>
      <c r="G135" s="551">
        <f>SUM($B126:G126)</f>
        <v>2</v>
      </c>
      <c r="H135" s="551">
        <f>SUM($B126:H126)</f>
        <v>2</v>
      </c>
      <c r="I135" s="551">
        <f>SUM($B126:I126)</f>
        <v>2</v>
      </c>
      <c r="J135" s="551">
        <f>SUM($B126:J126)</f>
        <v>2</v>
      </c>
      <c r="K135" s="551">
        <f>SUM($B126:K126)</f>
        <v>2</v>
      </c>
      <c r="L135" s="551">
        <f>SUM($B126:L126)</f>
        <v>2</v>
      </c>
      <c r="M135" s="551">
        <f>SUM($B126:M126)</f>
        <v>2</v>
      </c>
      <c r="N135" s="551">
        <f>SUM($B126:N126)</f>
        <v>2</v>
      </c>
      <c r="O135" s="551">
        <f>SUM($B126:O126)</f>
        <v>2</v>
      </c>
      <c r="P135" s="551">
        <f>SUM($B126:P126)</f>
        <v>2</v>
      </c>
      <c r="Q135" s="551">
        <f>SUM($B126:Q126)</f>
        <v>2</v>
      </c>
      <c r="R135" s="551">
        <f>SUM($B126:R126)</f>
        <v>2</v>
      </c>
      <c r="S135" s="551">
        <f>SUM($B126:S126)</f>
        <v>2</v>
      </c>
      <c r="T135" s="551">
        <f>SUM($B126:T126)</f>
        <v>2</v>
      </c>
      <c r="U135" s="551">
        <f>SUM($B126:U126)</f>
        <v>2</v>
      </c>
      <c r="V135" s="552">
        <f>V126</f>
        <v>0</v>
      </c>
    </row>
    <row r="136" spans="1:22" s="547" customFormat="1" ht="19.5" customHeight="1">
      <c r="A136" s="544" t="s">
        <v>329</v>
      </c>
      <c r="B136" s="545" t="e">
        <f>IF(#REF!=0,"-",B135/#REF!)</f>
        <v>#REF!</v>
      </c>
      <c r="C136" s="545" t="e">
        <f>IF(#REF!=0,"-",C135/#REF!)</f>
        <v>#REF!</v>
      </c>
      <c r="D136" s="545" t="e">
        <f>IF(#REF!=0,"-",D135/#REF!)</f>
        <v>#REF!</v>
      </c>
      <c r="E136" s="545" t="e">
        <f>IF(#REF!=0,"-",E135/#REF!)</f>
        <v>#REF!</v>
      </c>
      <c r="F136" s="545" t="e">
        <f>IF(#REF!=0,"-",F135/#REF!)</f>
        <v>#REF!</v>
      </c>
      <c r="G136" s="545" t="e">
        <f>IF(#REF!=0,"-",G135/#REF!)</f>
        <v>#REF!</v>
      </c>
      <c r="H136" s="545" t="e">
        <f>IF(#REF!=0,"-",H135/#REF!)</f>
        <v>#REF!</v>
      </c>
      <c r="I136" s="545" t="e">
        <f>IF(#REF!=0,"-",I135/#REF!)</f>
        <v>#REF!</v>
      </c>
      <c r="J136" s="545" t="e">
        <f>IF(#REF!=0,"-",J135/#REF!)</f>
        <v>#REF!</v>
      </c>
      <c r="K136" s="545" t="e">
        <f>IF(#REF!=0,"-",K135/#REF!)</f>
        <v>#REF!</v>
      </c>
      <c r="L136" s="545" t="e">
        <f>IF(#REF!=0,"-",L135/#REF!)</f>
        <v>#REF!</v>
      </c>
      <c r="M136" s="545" t="e">
        <f>IF(#REF!=0,"-",M135/#REF!)</f>
        <v>#REF!</v>
      </c>
      <c r="N136" s="545" t="e">
        <f>IF(#REF!=0,"-",N135/#REF!)</f>
        <v>#REF!</v>
      </c>
      <c r="O136" s="545" t="e">
        <f>IF(#REF!=0,"-",O135/#REF!)</f>
        <v>#REF!</v>
      </c>
      <c r="P136" s="545" t="e">
        <f>IF(#REF!=0,"-",P135/#REF!)</f>
        <v>#REF!</v>
      </c>
      <c r="Q136" s="545" t="e">
        <f>IF(#REF!=0,"-",Q135/#REF!)</f>
        <v>#REF!</v>
      </c>
      <c r="R136" s="545" t="e">
        <f>IF(#REF!=0,"-",R135/#REF!)</f>
        <v>#REF!</v>
      </c>
      <c r="S136" s="545" t="e">
        <f>IF(#REF!=0,"-",S135/#REF!)</f>
        <v>#REF!</v>
      </c>
      <c r="T136" s="545" t="e">
        <f>IF(#REF!=0,"-",T135/#REF!)</f>
        <v>#REF!</v>
      </c>
      <c r="U136" s="545" t="e">
        <f>IF(#REF!=0,"-",U135/#REF!)</f>
        <v>#REF!</v>
      </c>
      <c r="V136" s="546" t="e">
        <f>IF(#REF!=0,"-",V135/#REF!)</f>
        <v>#REF!</v>
      </c>
    </row>
    <row r="137" spans="1:22" s="547" customFormat="1" ht="19.5" customHeight="1">
      <c r="A137" s="548" t="s">
        <v>330</v>
      </c>
      <c r="B137" s="549" t="e">
        <f>IF(#REF!=0,"-",B134/#REF!)</f>
        <v>#REF!</v>
      </c>
      <c r="C137" s="549" t="e">
        <f>IF(#REF!=0,"-",C134/#REF!)</f>
        <v>#REF!</v>
      </c>
      <c r="D137" s="549" t="e">
        <f>IF(#REF!=0,"-",D134/#REF!)</f>
        <v>#REF!</v>
      </c>
      <c r="E137" s="549" t="e">
        <f>IF(#REF!=0,"-",E134/#REF!)</f>
        <v>#REF!</v>
      </c>
      <c r="F137" s="549" t="e">
        <f>IF(#REF!=0,"-",F134/#REF!)</f>
        <v>#REF!</v>
      </c>
      <c r="G137" s="549" t="e">
        <f>IF(#REF!=0,"-",G134/#REF!)</f>
        <v>#REF!</v>
      </c>
      <c r="H137" s="549" t="e">
        <f>IF(#REF!=0,"-",H134/#REF!)</f>
        <v>#REF!</v>
      </c>
      <c r="I137" s="549" t="e">
        <f>IF(#REF!=0,"-",I134/#REF!)</f>
        <v>#REF!</v>
      </c>
      <c r="J137" s="549" t="e">
        <f>IF(#REF!=0,"-",J134/#REF!)</f>
        <v>#REF!</v>
      </c>
      <c r="K137" s="549" t="e">
        <f>IF(#REF!=0,"-",K134/#REF!)</f>
        <v>#REF!</v>
      </c>
      <c r="L137" s="549" t="e">
        <f>IF(#REF!=0,"-",L134/#REF!)</f>
        <v>#REF!</v>
      </c>
      <c r="M137" s="549" t="e">
        <f>IF(#REF!=0,"-",M134/#REF!)</f>
        <v>#REF!</v>
      </c>
      <c r="N137" s="549" t="e">
        <f>IF(#REF!=0,"-",N134/#REF!)</f>
        <v>#REF!</v>
      </c>
      <c r="O137" s="549" t="e">
        <f>IF(#REF!=0,"-",O134/#REF!)</f>
        <v>#REF!</v>
      </c>
      <c r="P137" s="549" t="e">
        <f>IF(#REF!=0,"-",P134/#REF!)</f>
        <v>#REF!</v>
      </c>
      <c r="Q137" s="549" t="e">
        <f>IF(#REF!=0,"-",Q134/#REF!)</f>
        <v>#REF!</v>
      </c>
      <c r="R137" s="549" t="e">
        <f>IF(#REF!=0,"-",R134/#REF!)</f>
        <v>#REF!</v>
      </c>
      <c r="S137" s="549" t="e">
        <f>IF(#REF!=0,"-",S134/#REF!)</f>
        <v>#REF!</v>
      </c>
      <c r="T137" s="549" t="e">
        <f>IF(#REF!=0,"-",T134/#REF!)</f>
        <v>#REF!</v>
      </c>
      <c r="U137" s="549" t="e">
        <f>IF(#REF!=0,"-",U134/#REF!)</f>
        <v>#REF!</v>
      </c>
      <c r="V137" s="546" t="e">
        <f>IF(#REF!=0,"-",V134/#REF!)</f>
        <v>#REF!</v>
      </c>
    </row>
    <row r="138" spans="1:22" s="543" customFormat="1" ht="4.5" customHeight="1"/>
    <row r="139" spans="1:22" ht="24" customHeight="1">
      <c r="A139" s="1174" t="s">
        <v>936</v>
      </c>
      <c r="B139" s="1175"/>
      <c r="C139" s="1175"/>
      <c r="D139" s="1175"/>
      <c r="E139" s="1175"/>
      <c r="F139" s="1175"/>
      <c r="G139" s="1175"/>
      <c r="H139" s="1175"/>
      <c r="I139" s="1175"/>
      <c r="J139" s="1175"/>
      <c r="K139" s="1175"/>
      <c r="L139" s="1175"/>
      <c r="M139" s="1175"/>
      <c r="N139" s="1175"/>
      <c r="O139" s="1175"/>
      <c r="P139" s="1175"/>
      <c r="Q139" s="1175"/>
      <c r="R139" s="1175"/>
      <c r="S139" s="1175"/>
      <c r="T139" s="1175"/>
      <c r="U139" s="1175"/>
      <c r="V139" s="1175"/>
    </row>
    <row r="140" spans="1:22" ht="18" customHeight="1">
      <c r="A140" s="527" t="s">
        <v>313</v>
      </c>
      <c r="B140" s="528" cm="1">
        <f t="array" ref="B140">SUMPRODUCT((SVB!$R$2:$R$740&gt;=B311)*(SVB!$R$2:$R$740&lt;=B312)*(SVB!$B$2:$B$740="RFF")*(ISNUMBER(SVB!$F$2:$F$740))*(SVB!$F$2:$F$740))</f>
        <v>2</v>
      </c>
      <c r="C140" s="528" cm="1">
        <f t="array" ref="C140">SUMPRODUCT((SVB!$R$2:$R$740&gt;=C311)*(SVB!$R$2:$R$740&lt;=C312)*(SVB!$B$2:$B$740="RFF")*(ISNUMBER(SVB!$F$2:$F$740))*(SVB!$F$2:$F$740))</f>
        <v>0</v>
      </c>
      <c r="D140" s="528" cm="1">
        <f t="array" ref="D140">SUMPRODUCT((SVB!$R$2:$R$740&gt;=D311)*(SVB!$R$2:$R$740&lt;=D312)*(SVB!$B$2:$B$740="RFF")*(ISNUMBER(SVB!$F$2:$F$740))*(SVB!$F$2:$F$740))</f>
        <v>0</v>
      </c>
      <c r="E140" s="528" cm="1">
        <f t="array" ref="E140">SUMPRODUCT((SVB!$R$2:$R$740&gt;=E311)*(SVB!$R$2:$R$740&lt;=E312)*(SVB!$B$2:$B$740="RFF")*(ISNUMBER(SVB!$F$2:$F$740))*(SVB!$F$2:$F$740))</f>
        <v>0</v>
      </c>
      <c r="F140" s="528" cm="1">
        <f t="array" ref="F140">SUMPRODUCT((SVB!$R$2:$R$740&gt;=F311)*(SVB!$R$2:$R$740&lt;=F312)*(SVB!$B$2:$B$740="RFF")*(ISNUMBER(SVB!$F$2:$F$740))*(SVB!$F$2:$F$740))</f>
        <v>0</v>
      </c>
      <c r="G140" s="528" cm="1">
        <f t="array" ref="G140">SUMPRODUCT((SVB!$R$2:$R$740&gt;=G311)*(SVB!$R$2:$R$740&lt;=G312)*(SVB!$B$2:$B$740="RFF")*(ISNUMBER(SVB!$F$2:$F$740))*(SVB!$F$2:$F$740))</f>
        <v>0</v>
      </c>
      <c r="H140" s="528" cm="1">
        <f t="array" ref="H140">SUMPRODUCT((SVB!$R$2:$R$740&gt;=H311)*(SVB!$R$2:$R$740&lt;=H312)*(SVB!$B$2:$B$740="RFF")*(ISNUMBER(SVB!$F$2:$F$740))*(SVB!$F$2:$F$740))</f>
        <v>0</v>
      </c>
      <c r="I140" s="528" cm="1">
        <f t="array" ref="I140">SUMPRODUCT((SVB!$R$2:$R$740&gt;=I311)*(SVB!$R$2:$R$740&lt;=I312)*(SVB!$B$2:$B$740="RFF")*(ISNUMBER(SVB!$F$2:$F$740))*(SVB!$F$2:$F$740))</f>
        <v>0</v>
      </c>
      <c r="J140" s="528" cm="1">
        <f t="array" ref="J140">SUMPRODUCT((SVB!$R$2:$R$740&gt;=J311)*(SVB!$R$2:$R$740&lt;=J312)*(SVB!$B$2:$B$740="RFF")*(ISNUMBER(SVB!$F$2:$F$740))*(SVB!$F$2:$F$740))</f>
        <v>0</v>
      </c>
      <c r="K140" s="528" cm="1">
        <f t="array" ref="K140">SUMPRODUCT((SVB!$R$2:$R$740&gt;=K311)*(SVB!$R$2:$R$740&lt;=K312)*(SVB!$B$2:$B$740="RFF")*(ISNUMBER(SVB!$F$2:$F$740))*(SVB!$F$2:$F$740))</f>
        <v>0</v>
      </c>
      <c r="L140" s="528" cm="1">
        <f t="array" ref="L140">SUMPRODUCT((SVB!$R$2:$R$740&gt;=L311)*(SVB!$R$2:$R$740&lt;=L312)*(SVB!$B$2:$B$740="RFF")*(ISNUMBER(SVB!$F$2:$F$740))*(SVB!$F$2:$F$740))</f>
        <v>0</v>
      </c>
      <c r="M140" s="528" cm="1">
        <f t="array" ref="M140">SUMPRODUCT((SVB!$R$2:$R$740&gt;=M311)*(SVB!$R$2:$R$740&lt;=M312)*(SVB!$B$2:$B$740="RFF")*(ISNUMBER(SVB!$F$2:$F$740))*(SVB!$F$2:$F$740))</f>
        <v>0</v>
      </c>
      <c r="N140" s="528" cm="1">
        <f t="array" ref="N140">SUMPRODUCT((SVB!$R$2:$R$740&gt;=N311)*(SVB!$R$2:$R$740&lt;=N312)*(SVB!$B$2:$B$740="RFF")*(ISNUMBER(SVB!$F$2:$F$740))*(SVB!$F$2:$F$740))</f>
        <v>0</v>
      </c>
      <c r="O140" s="528" cm="1">
        <f t="array" ref="O140">SUMPRODUCT((SVB!$R$2:$R$740&gt;=O311)*(SVB!$R$2:$R$740&lt;=O312)*(SVB!$B$2:$B$740="RFF")*(ISNUMBER(SVB!$F$2:$F$740))*(SVB!$F$2:$F$740))</f>
        <v>0</v>
      </c>
      <c r="P140" s="528" cm="1">
        <f t="array" ref="P140">SUMPRODUCT((SVB!$R$2:$R$740&gt;=P311)*(SVB!$R$2:$R$740&lt;=P312)*(SVB!$B$2:$B$740="RFF")*(ISNUMBER(SVB!$F$2:$F$740))*(SVB!$F$2:$F$740))</f>
        <v>0</v>
      </c>
      <c r="Q140" s="528" cm="1">
        <f t="array" ref="Q140">SUMPRODUCT((SVB!$R$2:$R$740&gt;=Q311)*(SVB!$R$2:$R$740&lt;=Q312)*(SVB!$B$2:$B$740="RFF")*(ISNUMBER(SVB!$F$2:$F$740))*(SVB!$F$2:$F$740))</f>
        <v>0</v>
      </c>
      <c r="R140" s="528" cm="1">
        <f t="array" ref="R140">SUMPRODUCT((SVB!$R$2:$R$740&gt;=R311)*(SVB!$R$2:$R$740&lt;=R312)*(SVB!$B$2:$B$740="RFF")*(ISNUMBER(SVB!$F$2:$F$740))*(SVB!$F$2:$F$740))</f>
        <v>95</v>
      </c>
      <c r="S140" s="528" cm="1">
        <f t="array" ref="S140">SUMPRODUCT((SVB!$R$2:$R$740&gt;=S311)*(SVB!$R$2:$R$740&lt;=S312)*(SVB!$B$2:$B$740="RFF")*(ISNUMBER(SVB!$F$2:$F$740))*(SVB!$F$2:$F$740))</f>
        <v>2</v>
      </c>
      <c r="T140" s="528" cm="1">
        <f t="array" ref="T140">SUMPRODUCT((SVB!$R$2:$R$740&gt;=T311)*(SVB!$R$2:$R$740&lt;=T312)*(SVB!$B$2:$B$740="RFF")*(ISNUMBER(SVB!$F$2:$F$740))*(SVB!$F$2:$F$740))</f>
        <v>0</v>
      </c>
      <c r="U140" s="528" cm="1">
        <f t="array" ref="U140">SUMPRODUCT((SVB!$R$2:$R$740&gt;=U311)*(SVB!$R$2:$R$740&lt;=U312)*(SVB!$B$2:$B$740="RFF")*(ISNUMBER(SVB!$F$2:$F$740))*(SVB!$F$2:$F$740))</f>
        <v>0</v>
      </c>
      <c r="V140" s="529" cm="1">
        <f t="array" ref="V140">SUMPRODUCT((SVB!$B$2:$B$740="RFF")*(ISNUMBER(SVB!$F$2:$F$740))*(SVB!$F$2:$F$740))</f>
        <v>99</v>
      </c>
    </row>
    <row r="141" spans="1:22" ht="18" customHeight="1">
      <c r="A141" s="442" t="s">
        <v>917</v>
      </c>
      <c r="B141" s="443" cm="1">
        <f t="array" ref="B141">SUMPRODUCT((SVB!$S$2:$S$740&gt;=B311)*(SVB!$S$2:$S$740&lt;=B312)*(SVB!$B$2:$B$740="RFF")*(ISNUMBER(SVB!$M$2:$M$740))*(SVB!$M$2:$M$740))</f>
        <v>2</v>
      </c>
      <c r="C141" s="443" cm="1">
        <f t="array" ref="C141">SUMPRODUCT((SVB!$S$2:$S$740&gt;=C311)*(SVB!$S$2:$S$740&lt;=C312)*(SVB!$B$2:$B$740="RFF")*(ISNUMBER(SVB!$M$2:$M$740))*(SVB!$M$2:$M$740))</f>
        <v>0</v>
      </c>
      <c r="D141" s="443" cm="1">
        <f t="array" ref="D141">SUMPRODUCT((SVB!$S$2:$S$740&gt;=D311)*(SVB!$S$2:$S$740&lt;=D312)*(SVB!$B$2:$B$740="RFF")*(ISNUMBER(SVB!$M$2:$M$740))*(SVB!$M$2:$M$740))</f>
        <v>0</v>
      </c>
      <c r="E141" s="443" cm="1">
        <f t="array" ref="E141">SUMPRODUCT((SVB!$S$2:$S$740&gt;=E311)*(SVB!$S$2:$S$740&lt;=E312)*(SVB!$B$2:$B$740="RFF")*(ISNUMBER(SVB!$M$2:$M$740))*(SVB!$M$2:$M$740))</f>
        <v>0</v>
      </c>
      <c r="F141" s="443" cm="1">
        <f t="array" ref="F141">SUMPRODUCT((SVB!$S$2:$S$740&gt;=F311)*(SVB!$S$2:$S$740&lt;=F312)*(SVB!$B$2:$B$740="RFF")*(ISNUMBER(SVB!$M$2:$M$740))*(SVB!$M$2:$M$740))</f>
        <v>0</v>
      </c>
      <c r="G141" s="443" cm="1">
        <f t="array" ref="G141">SUMPRODUCT((SVB!$S$2:$S$740&gt;=G311)*(SVB!$S$2:$S$740&lt;=G312)*(SVB!$B$2:$B$740="RFF")*(ISNUMBER(SVB!$M$2:$M$740))*(SVB!$M$2:$M$740))</f>
        <v>0</v>
      </c>
      <c r="H141" s="443" cm="1">
        <f t="array" ref="H141">SUMPRODUCT((SVB!$S$2:$S$740&gt;=H311)*(SVB!$S$2:$S$740&lt;=H312)*(SVB!$B$2:$B$740="RFF")*(ISNUMBER(SVB!$M$2:$M$740))*(SVB!$M$2:$M$740))</f>
        <v>0</v>
      </c>
      <c r="I141" s="443" cm="1">
        <f t="array" ref="I141">SUMPRODUCT((SVB!$S$2:$S$740&gt;=I311)*(SVB!$S$2:$S$740&lt;=I312)*(SVB!$B$2:$B$740="RFF")*(ISNUMBER(SVB!$M$2:$M$740))*(SVB!$M$2:$M$740))</f>
        <v>0</v>
      </c>
      <c r="J141" s="443" cm="1">
        <f t="array" ref="J141">SUMPRODUCT((SVB!$S$2:$S$740&gt;=J311)*(SVB!$S$2:$S$740&lt;=J312)*(SVB!$B$2:$B$740="RFF")*(ISNUMBER(SVB!$M$2:$M$740))*(SVB!$M$2:$M$740))</f>
        <v>0</v>
      </c>
      <c r="K141" s="443" cm="1">
        <f t="array" ref="K141">SUMPRODUCT((SVB!$S$2:$S$740&gt;=K311)*(SVB!$S$2:$S$740&lt;=K312)*(SVB!$B$2:$B$740="RFF")*(ISNUMBER(SVB!$M$2:$M$740))*(SVB!$M$2:$M$740))</f>
        <v>0</v>
      </c>
      <c r="L141" s="443" cm="1">
        <f t="array" ref="L141">SUMPRODUCT((SVB!$S$2:$S$740&gt;=L311)*(SVB!$S$2:$S$740&lt;=L312)*(SVB!$B$2:$B$740="RFF")*(ISNUMBER(SVB!$M$2:$M$740))*(SVB!$M$2:$M$740))</f>
        <v>0</v>
      </c>
      <c r="M141" s="443" cm="1">
        <f t="array" ref="M141">SUMPRODUCT((SVB!$S$2:$S$740&gt;=M311)*(SVB!$S$2:$S$740&lt;=M312)*(SVB!$B$2:$B$740="RFF")*(ISNUMBER(SVB!$M$2:$M$740))*(SVB!$M$2:$M$740))</f>
        <v>0</v>
      </c>
      <c r="N141" s="443" cm="1">
        <f t="array" ref="N141">SUMPRODUCT((SVB!$S$2:$S$740&gt;=N311)*(SVB!$S$2:$S$740&lt;=N312)*(SVB!$B$2:$B$740="RFF")*(ISNUMBER(SVB!$M$2:$M$740))*(SVB!$M$2:$M$740))</f>
        <v>0</v>
      </c>
      <c r="O141" s="443" cm="1">
        <f t="array" ref="O141">SUMPRODUCT((SVB!$S$2:$S$740&gt;=O311)*(SVB!$S$2:$S$740&lt;=O312)*(SVB!$B$2:$B$740="RFF")*(ISNUMBER(SVB!$M$2:$M$740))*(SVB!$M$2:$M$740))</f>
        <v>0</v>
      </c>
      <c r="P141" s="443" cm="1">
        <f t="array" ref="P141">SUMPRODUCT((SVB!$S$2:$S$740&gt;=P311)*(SVB!$S$2:$S$740&lt;=P312)*(SVB!$B$2:$B$740="RFF")*(ISNUMBER(SVB!$M$2:$M$740))*(SVB!$M$2:$M$740))</f>
        <v>0</v>
      </c>
      <c r="Q141" s="443" cm="1">
        <f t="array" ref="Q141">SUMPRODUCT((SVB!$S$2:$S$740&gt;=Q311)*(SVB!$S$2:$S$740&lt;=Q312)*(SVB!$B$2:$B$740="RFF")*(ISNUMBER(SVB!$M$2:$M$740))*(SVB!$M$2:$M$740))</f>
        <v>0</v>
      </c>
      <c r="R141" s="443" cm="1">
        <f t="array" ref="R141">SUMPRODUCT((SVB!$S$2:$S$740&gt;=R311)*(SVB!$S$2:$S$740&lt;=R312)*(SVB!$B$2:$B$740="RFF")*(ISNUMBER(SVB!$M$2:$M$740))*(SVB!$M$2:$M$740))</f>
        <v>0</v>
      </c>
      <c r="S141" s="443" cm="1">
        <f t="array" ref="S141">SUMPRODUCT((SVB!$S$2:$S$740&gt;=S311)*(SVB!$S$2:$S$740&lt;=S312)*(SVB!$B$2:$B$740="RFF")*(ISNUMBER(SVB!$M$2:$M$740))*(SVB!$M$2:$M$740))</f>
        <v>0</v>
      </c>
      <c r="T141" s="443" cm="1">
        <f t="array" ref="T141">SUMPRODUCT((SVB!$S$2:$S$740&gt;=T311)*(SVB!$S$2:$S$740&lt;=T312)*(SVB!$B$2:$B$740="RFF")*(ISNUMBER(SVB!$M$2:$M$740))*(SVB!$M$2:$M$740))</f>
        <v>0</v>
      </c>
      <c r="U141" s="443" cm="1">
        <f t="array" ref="U141">SUMPRODUCT((SVB!$S$2:$S$740&gt;=U311)*(SVB!$S$2:$S$740&lt;=U312)*(SVB!$B$2:$B$740="RFF")*(ISNUMBER(SVB!$M$2:$M$740))*(SVB!$M$2:$M$740))</f>
        <v>0</v>
      </c>
      <c r="V141" s="529">
        <f>SUM(F141:U141)</f>
        <v>0</v>
      </c>
    </row>
    <row r="142" spans="1:22" ht="18" customHeight="1">
      <c r="A142" s="442" t="s">
        <v>918</v>
      </c>
      <c r="B142" s="443" cm="1">
        <f t="array" ref="B142">SUMPRODUCT((SVB!$S$2:$S$740&gt;=B311)*(SVB!$S$2:$S$740&lt;=B312)*(SVB!$B$2:$B$740="RFF")*(ISNUMBER(SVB!$N$2:$N$740))*(SVB!$N$2:$N$740))</f>
        <v>2</v>
      </c>
      <c r="C142" s="443" cm="1">
        <f t="array" ref="C142">SUMPRODUCT((SVB!$S$2:$S$740&gt;=C311)*(SVB!$S$2:$S$740&lt;=C312)*(SVB!$B$2:$B$740="RFF")*(ISNUMBER(SVB!$N$2:$N$740))*(SVB!$N$2:$N$740))</f>
        <v>0</v>
      </c>
      <c r="D142" s="443" cm="1">
        <f t="array" ref="D142">SUMPRODUCT((SVB!$S$2:$S$740&gt;=D311)*(SVB!$S$2:$S$740&lt;=D312)*(SVB!$B$2:$B$740="RFF")*(ISNUMBER(SVB!$N$2:$N$740))*(SVB!$N$2:$N$740))</f>
        <v>0</v>
      </c>
      <c r="E142" s="443" cm="1">
        <f t="array" ref="E142">SUMPRODUCT((SVB!$S$2:$S$740&gt;=E311)*(SVB!$S$2:$S$740&lt;=E312)*(SVB!$B$2:$B$740="RFF")*(ISNUMBER(SVB!$N$2:$N$740))*(SVB!$N$2:$N$740))</f>
        <v>0</v>
      </c>
      <c r="F142" s="443" cm="1">
        <f t="array" ref="F142">SUMPRODUCT((SVB!$S$2:$S$740&gt;=F311)*(SVB!$S$2:$S$740&lt;=F312)*(SVB!$B$2:$B$740="RFF")*(ISNUMBER(SVB!$N$2:$N$740))*(SVB!$N$2:$N$740))</f>
        <v>0</v>
      </c>
      <c r="G142" s="443" cm="1">
        <f t="array" ref="G142">SUMPRODUCT((SVB!$S$2:$S$740&gt;=G311)*(SVB!$S$2:$S$740&lt;=G312)*(SVB!$B$2:$B$740="RFF")*(ISNUMBER(SVB!$N$2:$N$740))*(SVB!$N$2:$N$740))</f>
        <v>0</v>
      </c>
      <c r="H142" s="443" cm="1">
        <f t="array" ref="H142">SUMPRODUCT((SVB!$S$2:$S$740&gt;=H311)*(SVB!$S$2:$S$740&lt;=H312)*(SVB!$B$2:$B$740="RFF")*(ISNUMBER(SVB!$N$2:$N$740))*(SVB!$N$2:$N$740))</f>
        <v>0</v>
      </c>
      <c r="I142" s="443" cm="1">
        <f t="array" ref="I142">SUMPRODUCT((SVB!$S$2:$S$740&gt;=I311)*(SVB!$S$2:$S$740&lt;=I312)*(SVB!$B$2:$B$740="RFF")*(ISNUMBER(SVB!$N$2:$N$740))*(SVB!$N$2:$N$740))</f>
        <v>0</v>
      </c>
      <c r="J142" s="443" cm="1">
        <f t="array" ref="J142">SUMPRODUCT((SVB!$S$2:$S$740&gt;=J311)*(SVB!$S$2:$S$740&lt;=J312)*(SVB!$B$2:$B$740="RFF")*(ISNUMBER(SVB!$N$2:$N$740))*(SVB!$N$2:$N$740))</f>
        <v>0</v>
      </c>
      <c r="K142" s="443" cm="1">
        <f t="array" ref="K142">SUMPRODUCT((SVB!$S$2:$S$740&gt;=K311)*(SVB!$S$2:$S$740&lt;=K312)*(SVB!$B$2:$B$740="RFF")*(ISNUMBER(SVB!$N$2:$N$740))*(SVB!$N$2:$N$740))</f>
        <v>0</v>
      </c>
      <c r="L142" s="443" cm="1">
        <f t="array" ref="L142">SUMPRODUCT((SVB!$S$2:$S$740&gt;=L311)*(SVB!$S$2:$S$740&lt;=L312)*(SVB!$B$2:$B$740="RFF")*(ISNUMBER(SVB!$N$2:$N$740))*(SVB!$N$2:$N$740))</f>
        <v>0</v>
      </c>
      <c r="M142" s="443" cm="1">
        <f t="array" ref="M142">SUMPRODUCT((SVB!$S$2:$S$740&gt;=M311)*(SVB!$S$2:$S$740&lt;=M312)*(SVB!$B$2:$B$740="RFF")*(ISNUMBER(SVB!$N$2:$N$740))*(SVB!$N$2:$N$740))</f>
        <v>0</v>
      </c>
      <c r="N142" s="443" cm="1">
        <f t="array" ref="N142">SUMPRODUCT((SVB!$S$2:$S$740&gt;=N311)*(SVB!$S$2:$S$740&lt;=N312)*(SVB!$B$2:$B$740="RFF")*(ISNUMBER(SVB!$N$2:$N$740))*(SVB!$N$2:$N$740))</f>
        <v>0</v>
      </c>
      <c r="O142" s="443" cm="1">
        <f t="array" ref="O142">SUMPRODUCT((SVB!$S$2:$S$740&gt;=O311)*(SVB!$S$2:$S$740&lt;=O312)*(SVB!$B$2:$B$740="RFF")*(ISNUMBER(SVB!$N$2:$N$740))*(SVB!$N$2:$N$740))</f>
        <v>0</v>
      </c>
      <c r="P142" s="443" cm="1">
        <f t="array" ref="P142">SUMPRODUCT((SVB!$S$2:$S$740&gt;=P311)*(SVB!$S$2:$S$740&lt;=P312)*(SVB!$B$2:$B$740="RFF")*(ISNUMBER(SVB!$N$2:$N$740))*(SVB!$N$2:$N$740))</f>
        <v>0</v>
      </c>
      <c r="Q142" s="443" cm="1">
        <f t="array" ref="Q142">SUMPRODUCT((SVB!$S$2:$S$740&gt;=Q311)*(SVB!$S$2:$S$740&lt;=Q312)*(SVB!$B$2:$B$740="RFF")*(ISNUMBER(SVB!$N$2:$N$740))*(SVB!$N$2:$N$740))</f>
        <v>0</v>
      </c>
      <c r="R142" s="443" cm="1">
        <f t="array" ref="R142">SUMPRODUCT((SVB!$S$2:$S$740&gt;=R311)*(SVB!$S$2:$S$740&lt;=R312)*(SVB!$B$2:$B$740="RFF")*(ISNUMBER(SVB!$N$2:$N$740))*(SVB!$N$2:$N$740))</f>
        <v>0</v>
      </c>
      <c r="S142" s="443" cm="1">
        <f t="array" ref="S142">SUMPRODUCT((SVB!$S$2:$S$740&gt;=S311)*(SVB!$S$2:$S$740&lt;=S312)*(SVB!$B$2:$B$740="RFF")*(ISNUMBER(SVB!$N$2:$N$740))*(SVB!$N$2:$N$740))</f>
        <v>0</v>
      </c>
      <c r="T142" s="443" cm="1">
        <f t="array" ref="T142">SUMPRODUCT((SVB!$S$2:$S$740&gt;=T311)*(SVB!$S$2:$S$740&lt;=T312)*(SVB!$B$2:$B$740="RFF")*(ISNUMBER(SVB!$N$2:$N$740))*(SVB!$N$2:$N$740))</f>
        <v>0</v>
      </c>
      <c r="U142" s="443" cm="1">
        <f t="array" ref="U142">SUMPRODUCT((SVB!$S$2:$S$740&gt;=U311)*(SVB!$S$2:$S$740&lt;=U312)*(SVB!$B$2:$B$740="RFF")*(ISNUMBER(SVB!$N$2:$N$740))*(SVB!$N$2:$N$740))</f>
        <v>0</v>
      </c>
      <c r="V142" s="529">
        <f>SUM(F142:U142)</f>
        <v>0</v>
      </c>
    </row>
    <row r="143" spans="1:22" ht="18" customHeight="1">
      <c r="A143" s="442" t="s">
        <v>919</v>
      </c>
      <c r="B143" s="443" cm="1">
        <f t="array" ref="B143">SUMPRODUCT((SVB!$S$2:$S$740&gt;=B311)*(SVB!$S$2:$S$740&lt;=B312)*(SVB!$B$2:$B$740="RFF")*(ISNUMBER(SVB!$O$2:$O$740))*(SVB!$O$2:$O$740))</f>
        <v>2</v>
      </c>
      <c r="C143" s="443" cm="1">
        <f t="array" ref="C143">SUMPRODUCT((SVB!$S$2:$S$740&gt;=C311)*(SVB!$S$2:$S$740&lt;=C312)*(SVB!$B$2:$B$740="RFF")*(ISNUMBER(SVB!$O$2:$O$740))*(SVB!$O$2:$O$740))</f>
        <v>0</v>
      </c>
      <c r="D143" s="443" cm="1">
        <f t="array" ref="D143">SUMPRODUCT((SVB!$S$2:$S$740&gt;=D311)*(SVB!$S$2:$S$740&lt;=D312)*(SVB!$B$2:$B$740="RFF")*(ISNUMBER(SVB!$O$2:$O$740))*(SVB!$O$2:$O$740))</f>
        <v>0</v>
      </c>
      <c r="E143" s="443" cm="1">
        <f t="array" ref="E143">SUMPRODUCT((SVB!$S$2:$S$740&gt;=E311)*(SVB!$S$2:$S$740&lt;=E312)*(SVB!$B$2:$B$740="RFF")*(ISNUMBER(SVB!$O$2:$O$740))*(SVB!$O$2:$O$740))</f>
        <v>0</v>
      </c>
      <c r="F143" s="443" cm="1">
        <f t="array" ref="F143">SUMPRODUCT((SVB!$S$2:$S$740&gt;=F311)*(SVB!$S$2:$S$740&lt;=F312)*(SVB!$B$2:$B$740="RFF")*(ISNUMBER(SVB!$O$2:$O$740))*(SVB!$O$2:$O$740))</f>
        <v>0</v>
      </c>
      <c r="G143" s="443" cm="1">
        <f t="array" ref="G143">SUMPRODUCT((SVB!$S$2:$S$740&gt;=G311)*(SVB!$S$2:$S$740&lt;=G312)*(SVB!$B$2:$B$740="RFF")*(ISNUMBER(SVB!$O$2:$O$740))*(SVB!$O$2:$O$740))</f>
        <v>0</v>
      </c>
      <c r="H143" s="443" cm="1">
        <f t="array" ref="H143">SUMPRODUCT((SVB!$S$2:$S$740&gt;=H311)*(SVB!$S$2:$S$740&lt;=H312)*(SVB!$B$2:$B$740="RFF")*(ISNUMBER(SVB!$O$2:$O$740))*(SVB!$O$2:$O$740))</f>
        <v>0</v>
      </c>
      <c r="I143" s="443" cm="1">
        <f t="array" ref="I143">SUMPRODUCT((SVB!$S$2:$S$740&gt;=I311)*(SVB!$S$2:$S$740&lt;=I312)*(SVB!$B$2:$B$740="RFF")*(ISNUMBER(SVB!$O$2:$O$740))*(SVB!$O$2:$O$740))</f>
        <v>0</v>
      </c>
      <c r="J143" s="443" cm="1">
        <f t="array" ref="J143">SUMPRODUCT((SVB!$S$2:$S$740&gt;=J311)*(SVB!$S$2:$S$740&lt;=J312)*(SVB!$B$2:$B$740="RFF")*(ISNUMBER(SVB!$O$2:$O$740))*(SVB!$O$2:$O$740))</f>
        <v>0</v>
      </c>
      <c r="K143" s="443" cm="1">
        <f t="array" ref="K143">SUMPRODUCT((SVB!$S$2:$S$740&gt;=K311)*(SVB!$S$2:$S$740&lt;=K312)*(SVB!$B$2:$B$740="RFF")*(ISNUMBER(SVB!$O$2:$O$740))*(SVB!$O$2:$O$740))</f>
        <v>0</v>
      </c>
      <c r="L143" s="443" cm="1">
        <f t="array" ref="L143">SUMPRODUCT((SVB!$S$2:$S$740&gt;=L311)*(SVB!$S$2:$S$740&lt;=L312)*(SVB!$B$2:$B$740="RFF")*(ISNUMBER(SVB!$O$2:$O$740))*(SVB!$O$2:$O$740))</f>
        <v>0</v>
      </c>
      <c r="M143" s="443" cm="1">
        <f t="array" ref="M143">SUMPRODUCT((SVB!$S$2:$S$740&gt;=M311)*(SVB!$S$2:$S$740&lt;=M312)*(SVB!$B$2:$B$740="RFF")*(ISNUMBER(SVB!$O$2:$O$740))*(SVB!$O$2:$O$740))</f>
        <v>0</v>
      </c>
      <c r="N143" s="443" cm="1">
        <f t="array" ref="N143">SUMPRODUCT((SVB!$S$2:$S$740&gt;=N311)*(SVB!$S$2:$S$740&lt;=N312)*(SVB!$B$2:$B$740="RFF")*(ISNUMBER(SVB!$O$2:$O$740))*(SVB!$O$2:$O$740))</f>
        <v>0</v>
      </c>
      <c r="O143" s="443" cm="1">
        <f t="array" ref="O143">SUMPRODUCT((SVB!$S$2:$S$740&gt;=O311)*(SVB!$S$2:$S$740&lt;=O312)*(SVB!$B$2:$B$740="RFF")*(ISNUMBER(SVB!$O$2:$O$740))*(SVB!$O$2:$O$740))</f>
        <v>0</v>
      </c>
      <c r="P143" s="443" cm="1">
        <f t="array" ref="P143">SUMPRODUCT((SVB!$S$2:$S$740&gt;=P311)*(SVB!$S$2:$S$740&lt;=P312)*(SVB!$B$2:$B$740="RFF")*(ISNUMBER(SVB!$O$2:$O$740))*(SVB!$O$2:$O$740))</f>
        <v>0</v>
      </c>
      <c r="Q143" s="443" cm="1">
        <f t="array" ref="Q143">SUMPRODUCT((SVB!$S$2:$S$740&gt;=Q311)*(SVB!$S$2:$S$740&lt;=Q312)*(SVB!$B$2:$B$740="RFF")*(ISNUMBER(SVB!$O$2:$O$740))*(SVB!$O$2:$O$740))</f>
        <v>0</v>
      </c>
      <c r="R143" s="443" cm="1">
        <f t="array" ref="R143">SUMPRODUCT((SVB!$S$2:$S$740&gt;=R311)*(SVB!$S$2:$S$740&lt;=R312)*(SVB!$B$2:$B$740="RFF")*(ISNUMBER(SVB!$O$2:$O$740))*(SVB!$O$2:$O$740))</f>
        <v>0</v>
      </c>
      <c r="S143" s="443" cm="1">
        <f t="array" ref="S143">SUMPRODUCT((SVB!$S$2:$S$740&gt;=S311)*(SVB!$S$2:$S$740&lt;=S312)*(SVB!$B$2:$B$740="RFF")*(ISNUMBER(SVB!$O$2:$O$740))*(SVB!$O$2:$O$740))</f>
        <v>0</v>
      </c>
      <c r="T143" s="443" cm="1">
        <f t="array" ref="T143">SUMPRODUCT((SVB!$S$2:$S$740&gt;=T311)*(SVB!$S$2:$S$740&lt;=T312)*(SVB!$B$2:$B$740="RFF")*(ISNUMBER(SVB!$O$2:$O$740))*(SVB!$O$2:$O$740))</f>
        <v>0</v>
      </c>
      <c r="U143" s="443" cm="1">
        <f t="array" ref="U143">SUMPRODUCT((SVB!$S$2:$S$740&gt;=U311)*(SVB!$S$2:$S$740&lt;=U312)*(SVB!$B$2:$B$740="RFF")*(ISNUMBER(SVB!$O$2:$O$740))*(SVB!$O$2:$O$740))</f>
        <v>0</v>
      </c>
      <c r="V143" s="529">
        <f>SUM(F143:U143)</f>
        <v>0</v>
      </c>
    </row>
    <row r="144" spans="1:22" s="547" customFormat="1" ht="19.5" customHeight="1">
      <c r="A144" s="550" t="s">
        <v>322</v>
      </c>
      <c r="B144" s="551">
        <f>MAX(B143-B140,0)</f>
        <v>0</v>
      </c>
      <c r="C144" s="551">
        <f t="shared" ref="C144" si="186">MAX(C143-C140,0)</f>
        <v>0</v>
      </c>
      <c r="D144" s="551">
        <f t="shared" ref="D144" si="187">MAX(D143-D140,0)</f>
        <v>0</v>
      </c>
      <c r="E144" s="551">
        <f t="shared" ref="E144" si="188">MAX(E143-E140,0)</f>
        <v>0</v>
      </c>
      <c r="F144" s="551">
        <f t="shared" ref="F144" si="189">MAX(F143-F140,0)</f>
        <v>0</v>
      </c>
      <c r="G144" s="551">
        <f t="shared" ref="G144" si="190">MAX(G143-G140,0)</f>
        <v>0</v>
      </c>
      <c r="H144" s="551">
        <f t="shared" ref="H144" si="191">MAX(H143-H140,0)</f>
        <v>0</v>
      </c>
      <c r="I144" s="551">
        <f t="shared" ref="I144" si="192">MAX(I143-I140,0)</f>
        <v>0</v>
      </c>
      <c r="J144" s="551">
        <f t="shared" ref="J144" si="193">MAX(J143-J140,0)</f>
        <v>0</v>
      </c>
      <c r="K144" s="551">
        <f t="shared" ref="K144" si="194">MAX(K143-K140,0)</f>
        <v>0</v>
      </c>
      <c r="L144" s="551">
        <f t="shared" ref="L144" si="195">MAX(L143-L140,0)</f>
        <v>0</v>
      </c>
      <c r="M144" s="551">
        <f t="shared" ref="M144" si="196">MAX(M143-M140,0)</f>
        <v>0</v>
      </c>
      <c r="N144" s="551">
        <f t="shared" ref="N144" si="197">MAX(N143-N140,0)</f>
        <v>0</v>
      </c>
      <c r="O144" s="551">
        <f t="shared" ref="O144" si="198">MAX(O143-O140,0)</f>
        <v>0</v>
      </c>
      <c r="P144" s="551">
        <f t="shared" ref="P144" si="199">MAX(P143-P140,0)</f>
        <v>0</v>
      </c>
      <c r="Q144" s="551">
        <f t="shared" ref="Q144:U144" si="200">MAX(Q143-Q140,0)</f>
        <v>0</v>
      </c>
      <c r="R144" s="551">
        <f t="shared" si="200"/>
        <v>0</v>
      </c>
      <c r="S144" s="551">
        <f t="shared" si="200"/>
        <v>0</v>
      </c>
      <c r="T144" s="551">
        <f t="shared" si="200"/>
        <v>0</v>
      </c>
      <c r="U144" s="551">
        <f t="shared" si="200"/>
        <v>0</v>
      </c>
      <c r="V144" s="552">
        <f>MAX(V143-V140,0)</f>
        <v>0</v>
      </c>
    </row>
    <row r="145" spans="1:22" s="547" customFormat="1" ht="19.5" customHeight="1">
      <c r="A145" s="550" t="s">
        <v>323</v>
      </c>
      <c r="B145" s="551">
        <f>MAX(B140-B143,0)</f>
        <v>0</v>
      </c>
      <c r="C145" s="551">
        <f t="shared" ref="C145:Q145" si="201">MAX(C140-C143,0)</f>
        <v>0</v>
      </c>
      <c r="D145" s="551">
        <f t="shared" si="201"/>
        <v>0</v>
      </c>
      <c r="E145" s="551">
        <f t="shared" si="201"/>
        <v>0</v>
      </c>
      <c r="F145" s="551">
        <f t="shared" si="201"/>
        <v>0</v>
      </c>
      <c r="G145" s="551">
        <f t="shared" si="201"/>
        <v>0</v>
      </c>
      <c r="H145" s="551">
        <f t="shared" si="201"/>
        <v>0</v>
      </c>
      <c r="I145" s="551">
        <f t="shared" si="201"/>
        <v>0</v>
      </c>
      <c r="J145" s="551">
        <f t="shared" si="201"/>
        <v>0</v>
      </c>
      <c r="K145" s="551">
        <f t="shared" si="201"/>
        <v>0</v>
      </c>
      <c r="L145" s="551">
        <f t="shared" si="201"/>
        <v>0</v>
      </c>
      <c r="M145" s="551">
        <f t="shared" si="201"/>
        <v>0</v>
      </c>
      <c r="N145" s="551">
        <f t="shared" si="201"/>
        <v>0</v>
      </c>
      <c r="O145" s="551">
        <f t="shared" si="201"/>
        <v>0</v>
      </c>
      <c r="P145" s="551">
        <f t="shared" si="201"/>
        <v>0</v>
      </c>
      <c r="Q145" s="551">
        <f t="shared" si="201"/>
        <v>0</v>
      </c>
      <c r="R145" s="551">
        <f t="shared" ref="R145:U145" si="202">MAX(R140-R143,0)</f>
        <v>95</v>
      </c>
      <c r="S145" s="551">
        <f t="shared" si="202"/>
        <v>2</v>
      </c>
      <c r="T145" s="551">
        <f t="shared" si="202"/>
        <v>0</v>
      </c>
      <c r="U145" s="551">
        <f t="shared" si="202"/>
        <v>0</v>
      </c>
      <c r="V145" s="552">
        <f>MAX(V140-V143,0)</f>
        <v>99</v>
      </c>
    </row>
    <row r="146" spans="1:22" ht="18" customHeight="1">
      <c r="A146" s="541" t="s">
        <v>326</v>
      </c>
      <c r="B146" s="542">
        <f t="shared" ref="B146:Q146" si="203">IF(B140=0,"-",(B141+B142+B143)/(B140*3))</f>
        <v>1</v>
      </c>
      <c r="C146" s="542" t="str">
        <f t="shared" si="203"/>
        <v>-</v>
      </c>
      <c r="D146" s="542" t="str">
        <f t="shared" si="203"/>
        <v>-</v>
      </c>
      <c r="E146" s="542" t="str">
        <f t="shared" si="203"/>
        <v>-</v>
      </c>
      <c r="F146" s="542" t="str">
        <f t="shared" si="203"/>
        <v>-</v>
      </c>
      <c r="G146" s="542" t="str">
        <f t="shared" si="203"/>
        <v>-</v>
      </c>
      <c r="H146" s="542" t="str">
        <f t="shared" si="203"/>
        <v>-</v>
      </c>
      <c r="I146" s="542" t="str">
        <f t="shared" si="203"/>
        <v>-</v>
      </c>
      <c r="J146" s="542" t="str">
        <f t="shared" si="203"/>
        <v>-</v>
      </c>
      <c r="K146" s="542" t="str">
        <f t="shared" si="203"/>
        <v>-</v>
      </c>
      <c r="L146" s="542" t="str">
        <f t="shared" si="203"/>
        <v>-</v>
      </c>
      <c r="M146" s="542" t="str">
        <f t="shared" si="203"/>
        <v>-</v>
      </c>
      <c r="N146" s="542" t="str">
        <f t="shared" si="203"/>
        <v>-</v>
      </c>
      <c r="O146" s="542" t="str">
        <f t="shared" si="203"/>
        <v>-</v>
      </c>
      <c r="P146" s="542" t="str">
        <f t="shared" si="203"/>
        <v>-</v>
      </c>
      <c r="Q146" s="542" t="str">
        <f t="shared" si="203"/>
        <v>-</v>
      </c>
      <c r="R146" s="542">
        <f t="shared" ref="R146:U146" si="204">IF(R140=0,"-",(R141+R142+R143)/(R140*3))</f>
        <v>0</v>
      </c>
      <c r="S146" s="542">
        <f t="shared" si="204"/>
        <v>0</v>
      </c>
      <c r="T146" s="542" t="str">
        <f t="shared" si="204"/>
        <v>-</v>
      </c>
      <c r="U146" s="542" t="str">
        <f t="shared" si="204"/>
        <v>-</v>
      </c>
      <c r="V146" s="530">
        <f t="shared" ref="V146" si="205">IF(V140=0,"-",(V141+V142+V143)/(V140*3))</f>
        <v>0</v>
      </c>
    </row>
    <row r="147" spans="1:22" ht="18" customHeight="1">
      <c r="A147" s="597" t="s">
        <v>920</v>
      </c>
      <c r="B147" s="598">
        <f>SUM($B143:B143)</f>
        <v>2</v>
      </c>
      <c r="C147" s="598">
        <f>SUM($B143:C143)</f>
        <v>2</v>
      </c>
      <c r="D147" s="598">
        <f>SUM($B143:D143)</f>
        <v>2</v>
      </c>
      <c r="E147" s="598">
        <f>SUM($B143:E143)</f>
        <v>2</v>
      </c>
      <c r="F147" s="598">
        <f>SUM($B143:F143)</f>
        <v>2</v>
      </c>
      <c r="G147" s="598">
        <f>SUM($B143:G143)</f>
        <v>2</v>
      </c>
      <c r="H147" s="598">
        <f>SUM($B143:H143)</f>
        <v>2</v>
      </c>
      <c r="I147" s="598">
        <f>SUM($B143:I143)</f>
        <v>2</v>
      </c>
      <c r="J147" s="598">
        <f>SUM($B143:J143)</f>
        <v>2</v>
      </c>
      <c r="K147" s="598">
        <f>SUM($B143:K143)</f>
        <v>2</v>
      </c>
      <c r="L147" s="598">
        <f>SUM($B143:L143)</f>
        <v>2</v>
      </c>
      <c r="M147" s="598">
        <f>SUM($B143:M143)</f>
        <v>2</v>
      </c>
      <c r="N147" s="598">
        <f>SUM($B143:N143)</f>
        <v>2</v>
      </c>
      <c r="O147" s="598">
        <f>SUM($B143:O143)</f>
        <v>2</v>
      </c>
      <c r="P147" s="598">
        <f>SUM($B143:P143)</f>
        <v>2</v>
      </c>
      <c r="Q147" s="598">
        <f>SUM($B143:Q143)</f>
        <v>2</v>
      </c>
      <c r="R147" s="598">
        <f>SUM($B143:R143)</f>
        <v>2</v>
      </c>
      <c r="S147" s="598">
        <f>SUM($B143:S143)</f>
        <v>2</v>
      </c>
      <c r="T147" s="598">
        <f>SUM($B143:T143)</f>
        <v>2</v>
      </c>
      <c r="U147" s="598">
        <f>SUM($B143:U143)</f>
        <v>2</v>
      </c>
      <c r="V147" s="529">
        <f>V143</f>
        <v>0</v>
      </c>
    </row>
    <row r="148" spans="1:22" ht="18" customHeight="1">
      <c r="A148" s="599" t="s">
        <v>318</v>
      </c>
      <c r="B148" s="600">
        <f>IF(B140=0,IF(B141=0,"-","100%"),B141/B140)</f>
        <v>1</v>
      </c>
      <c r="C148" s="600" t="str">
        <f t="shared" ref="C148:Q148" si="206">IF(C140=0,IF(C141=0,"-","100%"),C141/C140)</f>
        <v>-</v>
      </c>
      <c r="D148" s="600" t="str">
        <f t="shared" si="206"/>
        <v>-</v>
      </c>
      <c r="E148" s="600" t="str">
        <f t="shared" si="206"/>
        <v>-</v>
      </c>
      <c r="F148" s="600" t="str">
        <f t="shared" si="206"/>
        <v>-</v>
      </c>
      <c r="G148" s="600" t="str">
        <f t="shared" si="206"/>
        <v>-</v>
      </c>
      <c r="H148" s="600" t="str">
        <f t="shared" si="206"/>
        <v>-</v>
      </c>
      <c r="I148" s="600" t="str">
        <f t="shared" si="206"/>
        <v>-</v>
      </c>
      <c r="J148" s="600" t="str">
        <f t="shared" si="206"/>
        <v>-</v>
      </c>
      <c r="K148" s="600" t="str">
        <f t="shared" si="206"/>
        <v>-</v>
      </c>
      <c r="L148" s="600" t="str">
        <f t="shared" si="206"/>
        <v>-</v>
      </c>
      <c r="M148" s="600" t="str">
        <f t="shared" si="206"/>
        <v>-</v>
      </c>
      <c r="N148" s="600" t="str">
        <f t="shared" si="206"/>
        <v>-</v>
      </c>
      <c r="O148" s="600" t="str">
        <f t="shared" si="206"/>
        <v>-</v>
      </c>
      <c r="P148" s="600" t="str">
        <f t="shared" si="206"/>
        <v>-</v>
      </c>
      <c r="Q148" s="600" t="str">
        <f t="shared" si="206"/>
        <v>-</v>
      </c>
      <c r="R148" s="600">
        <f t="shared" ref="R148:U148" si="207">IF(R140=0,IF(R141=0,"-","100%"),R141/R140)</f>
        <v>0</v>
      </c>
      <c r="S148" s="600">
        <f t="shared" si="207"/>
        <v>0</v>
      </c>
      <c r="T148" s="600" t="str">
        <f t="shared" si="207"/>
        <v>-</v>
      </c>
      <c r="U148" s="600" t="str">
        <f t="shared" si="207"/>
        <v>-</v>
      </c>
      <c r="V148" s="601">
        <f>IF(V140=0,"-",V141/V140)</f>
        <v>0</v>
      </c>
    </row>
    <row r="149" spans="1:22" ht="18" customHeight="1">
      <c r="A149" s="599" t="s">
        <v>320</v>
      </c>
      <c r="B149" s="600">
        <f>IF(B140=0,IF(B142=0,"-","100%"),B142/B140)</f>
        <v>1</v>
      </c>
      <c r="C149" s="600" t="str">
        <f t="shared" ref="C149:Q149" si="208">IF(C140=0,IF(C142=0,"-","100%"),C142/C140)</f>
        <v>-</v>
      </c>
      <c r="D149" s="600" t="str">
        <f t="shared" si="208"/>
        <v>-</v>
      </c>
      <c r="E149" s="600" t="str">
        <f t="shared" si="208"/>
        <v>-</v>
      </c>
      <c r="F149" s="600" t="str">
        <f t="shared" si="208"/>
        <v>-</v>
      </c>
      <c r="G149" s="600" t="str">
        <f t="shared" si="208"/>
        <v>-</v>
      </c>
      <c r="H149" s="600" t="str">
        <f t="shared" si="208"/>
        <v>-</v>
      </c>
      <c r="I149" s="600" t="str">
        <f t="shared" si="208"/>
        <v>-</v>
      </c>
      <c r="J149" s="600" t="str">
        <f t="shared" si="208"/>
        <v>-</v>
      </c>
      <c r="K149" s="600" t="str">
        <f t="shared" si="208"/>
        <v>-</v>
      </c>
      <c r="L149" s="600" t="str">
        <f t="shared" si="208"/>
        <v>-</v>
      </c>
      <c r="M149" s="600" t="str">
        <f t="shared" si="208"/>
        <v>-</v>
      </c>
      <c r="N149" s="600" t="str">
        <f t="shared" si="208"/>
        <v>-</v>
      </c>
      <c r="O149" s="600" t="str">
        <f t="shared" si="208"/>
        <v>-</v>
      </c>
      <c r="P149" s="600" t="str">
        <f t="shared" si="208"/>
        <v>-</v>
      </c>
      <c r="Q149" s="600" t="str">
        <f t="shared" si="208"/>
        <v>-</v>
      </c>
      <c r="R149" s="600">
        <f t="shared" ref="R149:U149" si="209">IF(R140=0,IF(R142=0,"-","100%"),R142/R140)</f>
        <v>0</v>
      </c>
      <c r="S149" s="600">
        <f t="shared" si="209"/>
        <v>0</v>
      </c>
      <c r="T149" s="600" t="str">
        <f t="shared" si="209"/>
        <v>-</v>
      </c>
      <c r="U149" s="600" t="str">
        <f t="shared" si="209"/>
        <v>-</v>
      </c>
      <c r="V149" s="601">
        <f>IF(V140=0,"-",V142/V140)</f>
        <v>0</v>
      </c>
    </row>
    <row r="150" spans="1:22" ht="18" customHeight="1">
      <c r="A150" s="599" t="s">
        <v>324</v>
      </c>
      <c r="B150" s="600">
        <f>IF(B140=0,IF(B143=0,"-","100%"),B143/B140)</f>
        <v>1</v>
      </c>
      <c r="C150" s="600" t="str">
        <f t="shared" ref="C150:Q150" si="210">IF(C140=0,IF(C143=0,"-","100%"),C143/C140)</f>
        <v>-</v>
      </c>
      <c r="D150" s="600" t="str">
        <f t="shared" si="210"/>
        <v>-</v>
      </c>
      <c r="E150" s="600" t="str">
        <f t="shared" si="210"/>
        <v>-</v>
      </c>
      <c r="F150" s="600" t="str">
        <f t="shared" si="210"/>
        <v>-</v>
      </c>
      <c r="G150" s="600" t="str">
        <f t="shared" si="210"/>
        <v>-</v>
      </c>
      <c r="H150" s="600" t="str">
        <f t="shared" si="210"/>
        <v>-</v>
      </c>
      <c r="I150" s="600" t="str">
        <f t="shared" si="210"/>
        <v>-</v>
      </c>
      <c r="J150" s="600" t="str">
        <f t="shared" si="210"/>
        <v>-</v>
      </c>
      <c r="K150" s="600" t="str">
        <f t="shared" si="210"/>
        <v>-</v>
      </c>
      <c r="L150" s="600" t="str">
        <f t="shared" si="210"/>
        <v>-</v>
      </c>
      <c r="M150" s="600" t="str">
        <f t="shared" si="210"/>
        <v>-</v>
      </c>
      <c r="N150" s="600" t="str">
        <f t="shared" si="210"/>
        <v>-</v>
      </c>
      <c r="O150" s="600" t="str">
        <f t="shared" si="210"/>
        <v>-</v>
      </c>
      <c r="P150" s="600" t="str">
        <f t="shared" si="210"/>
        <v>-</v>
      </c>
      <c r="Q150" s="600" t="str">
        <f t="shared" si="210"/>
        <v>-</v>
      </c>
      <c r="R150" s="600">
        <f t="shared" ref="R150:U150" si="211">IF(R140=0,IF(R143=0,"-","100%"),R143/R140)</f>
        <v>0</v>
      </c>
      <c r="S150" s="600">
        <f t="shared" si="211"/>
        <v>0</v>
      </c>
      <c r="T150" s="600" t="str">
        <f t="shared" si="211"/>
        <v>-</v>
      </c>
      <c r="U150" s="600" t="str">
        <f t="shared" si="211"/>
        <v>-</v>
      </c>
      <c r="V150" s="601">
        <f>IF(V140=0,"-",V143/V140)</f>
        <v>0</v>
      </c>
    </row>
    <row r="151" spans="1:22" s="547" customFormat="1" ht="19.5" customHeight="1">
      <c r="A151" s="550" t="s">
        <v>327</v>
      </c>
      <c r="B151" s="551">
        <f>SUM($B140:B140)</f>
        <v>2</v>
      </c>
      <c r="C151" s="551">
        <f>SUM($B140:C140)</f>
        <v>2</v>
      </c>
      <c r="D151" s="551">
        <f>SUM($B140:D140)</f>
        <v>2</v>
      </c>
      <c r="E151" s="551">
        <f>SUM($B140:E140)</f>
        <v>2</v>
      </c>
      <c r="F151" s="551">
        <f>SUM($B140:F140)</f>
        <v>2</v>
      </c>
      <c r="G151" s="551">
        <f>SUM($B140:G140)</f>
        <v>2</v>
      </c>
      <c r="H151" s="551">
        <f>SUM($B140:H140)</f>
        <v>2</v>
      </c>
      <c r="I151" s="551">
        <f>SUM($B140:I140)</f>
        <v>2</v>
      </c>
      <c r="J151" s="551">
        <f>SUM($B140:J140)</f>
        <v>2</v>
      </c>
      <c r="K151" s="551">
        <f>SUM($B140:K140)</f>
        <v>2</v>
      </c>
      <c r="L151" s="551">
        <f>SUM($B140:L140)</f>
        <v>2</v>
      </c>
      <c r="M151" s="551">
        <f>SUM($B140:M140)</f>
        <v>2</v>
      </c>
      <c r="N151" s="551">
        <f>SUM($B140:N140)</f>
        <v>2</v>
      </c>
      <c r="O151" s="551">
        <f>SUM($B140:O140)</f>
        <v>2</v>
      </c>
      <c r="P151" s="551">
        <f>SUM($B140:P140)</f>
        <v>2</v>
      </c>
      <c r="Q151" s="551">
        <f>SUM($B140:Q140)</f>
        <v>2</v>
      </c>
      <c r="R151" s="551">
        <f>SUM($B140:R140)</f>
        <v>97</v>
      </c>
      <c r="S151" s="551">
        <f>SUM($B140:S140)</f>
        <v>99</v>
      </c>
      <c r="T151" s="551">
        <f>SUM($B140:T140)</f>
        <v>99</v>
      </c>
      <c r="U151" s="551">
        <f>SUM($B140:U140)</f>
        <v>99</v>
      </c>
      <c r="V151" s="552">
        <f>V140</f>
        <v>99</v>
      </c>
    </row>
    <row r="152" spans="1:22" s="547" customFormat="1" ht="19.5" customHeight="1">
      <c r="A152" s="550" t="s">
        <v>328</v>
      </c>
      <c r="B152" s="551">
        <f>SUM($B143:B143)</f>
        <v>2</v>
      </c>
      <c r="C152" s="551">
        <f>SUM($B143:C143)</f>
        <v>2</v>
      </c>
      <c r="D152" s="551">
        <f>SUM($B143:D143)</f>
        <v>2</v>
      </c>
      <c r="E152" s="551">
        <f>SUM($B143:E143)</f>
        <v>2</v>
      </c>
      <c r="F152" s="551">
        <f>SUM($B143:F143)</f>
        <v>2</v>
      </c>
      <c r="G152" s="551">
        <f>SUM($B143:G143)</f>
        <v>2</v>
      </c>
      <c r="H152" s="551">
        <f>SUM($B143:H143)</f>
        <v>2</v>
      </c>
      <c r="I152" s="551">
        <f>SUM($B143:I143)</f>
        <v>2</v>
      </c>
      <c r="J152" s="551">
        <f>SUM($B143:J143)</f>
        <v>2</v>
      </c>
      <c r="K152" s="551">
        <f>SUM($B143:K143)</f>
        <v>2</v>
      </c>
      <c r="L152" s="551">
        <f>SUM($B143:L143)</f>
        <v>2</v>
      </c>
      <c r="M152" s="551">
        <f>SUM($B143:M143)</f>
        <v>2</v>
      </c>
      <c r="N152" s="551">
        <f>SUM($B143:N143)</f>
        <v>2</v>
      </c>
      <c r="O152" s="551">
        <f>SUM($B143:O143)</f>
        <v>2</v>
      </c>
      <c r="P152" s="551">
        <f>SUM($B143:P143)</f>
        <v>2</v>
      </c>
      <c r="Q152" s="551">
        <f>SUM($B143:Q143)</f>
        <v>2</v>
      </c>
      <c r="R152" s="551">
        <f>SUM($B143:R143)</f>
        <v>2</v>
      </c>
      <c r="S152" s="551">
        <f>SUM($B143:S143)</f>
        <v>2</v>
      </c>
      <c r="T152" s="551">
        <f>SUM($B143:T143)</f>
        <v>2</v>
      </c>
      <c r="U152" s="551">
        <f>SUM($B143:U143)</f>
        <v>2</v>
      </c>
      <c r="V152" s="552">
        <f>V143</f>
        <v>0</v>
      </c>
    </row>
    <row r="153" spans="1:22" s="547" customFormat="1" ht="19.5" customHeight="1">
      <c r="A153" s="544" t="s">
        <v>329</v>
      </c>
      <c r="B153" s="545" t="e">
        <f>IF(#REF!=0,"-",B152/#REF!)</f>
        <v>#REF!</v>
      </c>
      <c r="C153" s="545" t="e">
        <f>IF(#REF!=0,"-",C152/#REF!)</f>
        <v>#REF!</v>
      </c>
      <c r="D153" s="545" t="e">
        <f>IF(#REF!=0,"-",D152/#REF!)</f>
        <v>#REF!</v>
      </c>
      <c r="E153" s="545" t="e">
        <f>IF(#REF!=0,"-",E152/#REF!)</f>
        <v>#REF!</v>
      </c>
      <c r="F153" s="545" t="e">
        <f>IF(#REF!=0,"-",F152/#REF!)</f>
        <v>#REF!</v>
      </c>
      <c r="G153" s="545" t="e">
        <f>IF(#REF!=0,"-",G152/#REF!)</f>
        <v>#REF!</v>
      </c>
      <c r="H153" s="545" t="e">
        <f>IF(#REF!=0,"-",H152/#REF!)</f>
        <v>#REF!</v>
      </c>
      <c r="I153" s="545" t="e">
        <f>IF(#REF!=0,"-",I152/#REF!)</f>
        <v>#REF!</v>
      </c>
      <c r="J153" s="545" t="e">
        <f>IF(#REF!=0,"-",J152/#REF!)</f>
        <v>#REF!</v>
      </c>
      <c r="K153" s="545" t="e">
        <f>IF(#REF!=0,"-",K152/#REF!)</f>
        <v>#REF!</v>
      </c>
      <c r="L153" s="545" t="e">
        <f>IF(#REF!=0,"-",L152/#REF!)</f>
        <v>#REF!</v>
      </c>
      <c r="M153" s="545" t="e">
        <f>IF(#REF!=0,"-",M152/#REF!)</f>
        <v>#REF!</v>
      </c>
      <c r="N153" s="545" t="e">
        <f>IF(#REF!=0,"-",N152/#REF!)</f>
        <v>#REF!</v>
      </c>
      <c r="O153" s="545" t="e">
        <f>IF(#REF!=0,"-",O152/#REF!)</f>
        <v>#REF!</v>
      </c>
      <c r="P153" s="545" t="e">
        <f>IF(#REF!=0,"-",P152/#REF!)</f>
        <v>#REF!</v>
      </c>
      <c r="Q153" s="545" t="e">
        <f>IF(#REF!=0,"-",Q152/#REF!)</f>
        <v>#REF!</v>
      </c>
      <c r="R153" s="545" t="e">
        <f>IF(#REF!=0,"-",R152/#REF!)</f>
        <v>#REF!</v>
      </c>
      <c r="S153" s="545" t="e">
        <f>IF(#REF!=0,"-",S152/#REF!)</f>
        <v>#REF!</v>
      </c>
      <c r="T153" s="545" t="e">
        <f>IF(#REF!=0,"-",T152/#REF!)</f>
        <v>#REF!</v>
      </c>
      <c r="U153" s="545" t="e">
        <f>IF(#REF!=0,"-",U152/#REF!)</f>
        <v>#REF!</v>
      </c>
      <c r="V153" s="546" t="e">
        <f>IF(#REF!=0,"-",V152/#REF!)</f>
        <v>#REF!</v>
      </c>
    </row>
    <row r="154" spans="1:22" s="547" customFormat="1" ht="19.5" customHeight="1">
      <c r="A154" s="548" t="s">
        <v>330</v>
      </c>
      <c r="B154" s="549" t="e">
        <f>IF(#REF!=0,"-",B151/#REF!)</f>
        <v>#REF!</v>
      </c>
      <c r="C154" s="549" t="e">
        <f>IF(#REF!=0,"-",C151/#REF!)</f>
        <v>#REF!</v>
      </c>
      <c r="D154" s="549" t="e">
        <f>IF(#REF!=0,"-",D151/#REF!)</f>
        <v>#REF!</v>
      </c>
      <c r="E154" s="549" t="e">
        <f>IF(#REF!=0,"-",E151/#REF!)</f>
        <v>#REF!</v>
      </c>
      <c r="F154" s="549" t="e">
        <f>IF(#REF!=0,"-",F151/#REF!)</f>
        <v>#REF!</v>
      </c>
      <c r="G154" s="549" t="e">
        <f>IF(#REF!=0,"-",G151/#REF!)</f>
        <v>#REF!</v>
      </c>
      <c r="H154" s="549" t="e">
        <f>IF(#REF!=0,"-",H151/#REF!)</f>
        <v>#REF!</v>
      </c>
      <c r="I154" s="549" t="e">
        <f>IF(#REF!=0,"-",I151/#REF!)</f>
        <v>#REF!</v>
      </c>
      <c r="J154" s="549" t="e">
        <f>IF(#REF!=0,"-",J151/#REF!)</f>
        <v>#REF!</v>
      </c>
      <c r="K154" s="549" t="e">
        <f>IF(#REF!=0,"-",K151/#REF!)</f>
        <v>#REF!</v>
      </c>
      <c r="L154" s="549" t="e">
        <f>IF(#REF!=0,"-",L151/#REF!)</f>
        <v>#REF!</v>
      </c>
      <c r="M154" s="549" t="e">
        <f>IF(#REF!=0,"-",M151/#REF!)</f>
        <v>#REF!</v>
      </c>
      <c r="N154" s="549" t="e">
        <f>IF(#REF!=0,"-",N151/#REF!)</f>
        <v>#REF!</v>
      </c>
      <c r="O154" s="549" t="e">
        <f>IF(#REF!=0,"-",O151/#REF!)</f>
        <v>#REF!</v>
      </c>
      <c r="P154" s="549" t="e">
        <f>IF(#REF!=0,"-",P151/#REF!)</f>
        <v>#REF!</v>
      </c>
      <c r="Q154" s="549" t="e">
        <f>IF(#REF!=0,"-",Q151/#REF!)</f>
        <v>#REF!</v>
      </c>
      <c r="R154" s="549" t="e">
        <f>IF(#REF!=0,"-",R151/#REF!)</f>
        <v>#REF!</v>
      </c>
      <c r="S154" s="549" t="e">
        <f>IF(#REF!=0,"-",S151/#REF!)</f>
        <v>#REF!</v>
      </c>
      <c r="T154" s="549" t="e">
        <f>IF(#REF!=0,"-",T151/#REF!)</f>
        <v>#REF!</v>
      </c>
      <c r="U154" s="549" t="e">
        <f>IF(#REF!=0,"-",U151/#REF!)</f>
        <v>#REF!</v>
      </c>
      <c r="V154" s="546" t="e">
        <f>IF(#REF!=0,"-",V151/#REF!)</f>
        <v>#REF!</v>
      </c>
    </row>
    <row r="155" spans="1:22" ht="4.5" customHeight="1"/>
    <row r="156" spans="1:22" ht="24" customHeight="1">
      <c r="A156" s="1176" t="s">
        <v>937</v>
      </c>
      <c r="B156" s="1177"/>
      <c r="C156" s="1177"/>
      <c r="D156" s="1177"/>
      <c r="E156" s="1177"/>
      <c r="F156" s="1177"/>
      <c r="G156" s="1177"/>
      <c r="H156" s="1177"/>
      <c r="I156" s="1177"/>
      <c r="J156" s="1177"/>
      <c r="K156" s="1177"/>
      <c r="L156" s="1177"/>
      <c r="M156" s="1177"/>
      <c r="N156" s="1177"/>
      <c r="O156" s="1177"/>
      <c r="P156" s="1177"/>
      <c r="Q156" s="1177"/>
      <c r="R156" s="1177"/>
      <c r="S156" s="1177"/>
      <c r="T156" s="1177"/>
      <c r="U156" s="1177"/>
      <c r="V156" s="1177"/>
    </row>
    <row r="157" spans="1:22" ht="18" customHeight="1">
      <c r="A157" s="527" t="s">
        <v>313</v>
      </c>
      <c r="B157" s="528" cm="1">
        <f t="array" ref="B157">SUMPRODUCT((SVB!$R$2:$R$740&gt;=B311)*(SVB!$R$2:$R$740&lt;=B312)*(SVB!$B$2:$B$740="T1-015")*(ISNUMBER(SVB!$F$2:$F$740))*(SVB!$F$2:$F$740))</f>
        <v>2</v>
      </c>
      <c r="C157" s="528" cm="1">
        <f t="array" ref="C157">SUMPRODUCT((SVB!$R$2:$R$740&gt;=C311)*(SVB!$R$2:$R$740&lt;=C312)*(SVB!$B$2:$B$740="T1-015")*(ISNUMBER(SVB!$F$2:$F$740))*(SVB!$F$2:$F$740))</f>
        <v>0</v>
      </c>
      <c r="D157" s="528" cm="1">
        <f t="array" ref="D157">SUMPRODUCT((SVB!$R$2:$R$740&gt;=D311)*(SVB!$R$2:$R$740&lt;=D312)*(SVB!$B$2:$B$740="T1-015")*(ISNUMBER(SVB!$F$2:$F$740))*(SVB!$F$2:$F$740))</f>
        <v>0</v>
      </c>
      <c r="E157" s="528" cm="1">
        <f t="array" ref="E157">SUMPRODUCT((SVB!$R$2:$R$740&gt;=E311)*(SVB!$R$2:$R$740&lt;=E312)*(SVB!$B$2:$B$740="T1-015")*(ISNUMBER(SVB!$F$2:$F$740))*(SVB!$F$2:$F$740))</f>
        <v>0</v>
      </c>
      <c r="F157" s="528" cm="1">
        <f t="array" ref="F157">SUMPRODUCT((SVB!$R$2:$R$740&gt;=F311)*(SVB!$R$2:$R$740&lt;=F312)*(SVB!$B$2:$B$740="T1-015")*(ISNUMBER(SVB!$F$2:$F$740))*(SVB!$F$2:$F$740))</f>
        <v>0</v>
      </c>
      <c r="G157" s="528" cm="1">
        <f t="array" ref="G157">SUMPRODUCT((SVB!$R$2:$R$740&gt;=G311)*(SVB!$R$2:$R$740&lt;=G312)*(SVB!$B$2:$B$740="T1-015")*(ISNUMBER(SVB!$F$2:$F$740))*(SVB!$F$2:$F$740))</f>
        <v>0</v>
      </c>
      <c r="H157" s="528" cm="1">
        <f t="array" ref="H157">SUMPRODUCT((SVB!$R$2:$R$740&gt;=H311)*(SVB!$R$2:$R$740&lt;=H312)*(SVB!$B$2:$B$740="T1-015")*(ISNUMBER(SVB!$F$2:$F$740))*(SVB!$F$2:$F$740))</f>
        <v>0</v>
      </c>
      <c r="I157" s="528" cm="1">
        <f t="array" ref="I157">SUMPRODUCT((SVB!$R$2:$R$740&gt;=I311)*(SVB!$R$2:$R$740&lt;=I312)*(SVB!$B$2:$B$740="T1-015")*(ISNUMBER(SVB!$F$2:$F$740))*(SVB!$F$2:$F$740))</f>
        <v>0</v>
      </c>
      <c r="J157" s="528" cm="1">
        <f t="array" ref="J157">SUMPRODUCT((SVB!$R$2:$R$740&gt;=J311)*(SVB!$R$2:$R$740&lt;=J312)*(SVB!$B$2:$B$740="T1-015")*(ISNUMBER(SVB!$F$2:$F$740))*(SVB!$F$2:$F$740))</f>
        <v>0</v>
      </c>
      <c r="K157" s="528" cm="1">
        <f t="array" ref="K157">SUMPRODUCT((SVB!$R$2:$R$740&gt;=K311)*(SVB!$R$2:$R$740&lt;=K312)*(SVB!$B$2:$B$740="T1-015")*(ISNUMBER(SVB!$F$2:$F$740))*(SVB!$F$2:$F$740))</f>
        <v>0</v>
      </c>
      <c r="L157" s="528" cm="1">
        <f t="array" ref="L157">SUMPRODUCT((SVB!$R$2:$R$740&gt;=L311)*(SVB!$R$2:$R$740&lt;=L312)*(SVB!$B$2:$B$740="T1-015")*(ISNUMBER(SVB!$F$2:$F$740))*(SVB!$F$2:$F$740))</f>
        <v>93</v>
      </c>
      <c r="M157" s="528" cm="1">
        <f t="array" ref="M157">SUMPRODUCT((SVB!$R$2:$R$740&gt;=M311)*(SVB!$R$2:$R$740&lt;=M312)*(SVB!$B$2:$B$740="T1-015")*(ISNUMBER(SVB!$F$2:$F$740))*(SVB!$F$2:$F$740))</f>
        <v>97</v>
      </c>
      <c r="N157" s="528" cm="1">
        <f t="array" ref="N157">SUMPRODUCT((SVB!$R$2:$R$740&gt;=N311)*(SVB!$R$2:$R$740&lt;=N312)*(SVB!$B$2:$B$740="T1-015")*(ISNUMBER(SVB!$F$2:$F$740))*(SVB!$F$2:$F$740))</f>
        <v>50</v>
      </c>
      <c r="O157" s="528" cm="1">
        <f t="array" ref="O157">SUMPRODUCT((SVB!$R$2:$R$740&gt;=O311)*(SVB!$R$2:$R$740&lt;=O312)*(SVB!$B$2:$B$740="T1-015")*(ISNUMBER(SVB!$F$2:$F$740))*(SVB!$F$2:$F$740))</f>
        <v>58</v>
      </c>
      <c r="P157" s="528" cm="1">
        <f t="array" ref="P157">SUMPRODUCT((SVB!$R$2:$R$740&gt;=P311)*(SVB!$R$2:$R$740&lt;=P312)*(SVB!$B$2:$B$740="T1-015")*(ISNUMBER(SVB!$F$2:$F$740))*(SVB!$F$2:$F$740))</f>
        <v>27</v>
      </c>
      <c r="Q157" s="528" cm="1">
        <f t="array" ref="Q157">SUMPRODUCT((SVB!$R$2:$R$740&gt;=Q311)*(SVB!$R$2:$R$740&lt;=Q312)*(SVB!$B$2:$B$740="T1-015")*(ISNUMBER(SVB!$F$2:$F$740))*(SVB!$F$2:$F$740))</f>
        <v>0</v>
      </c>
      <c r="R157" s="528" cm="1">
        <f t="array" ref="R157">SUMPRODUCT((SVB!$R$2:$R$740&gt;=R311)*(SVB!$R$2:$R$740&lt;=R312)*(SVB!$B$2:$B$740="T1-015")*(ISNUMBER(SVB!$F$2:$F$740))*(SVB!$F$2:$F$740))</f>
        <v>0</v>
      </c>
      <c r="S157" s="528" cm="1">
        <f t="array" ref="S157">SUMPRODUCT((SVB!$R$2:$R$740&gt;=S311)*(SVB!$R$2:$R$740&lt;=S312)*(SVB!$B$2:$B$740="T1-015")*(ISNUMBER(SVB!$F$2:$F$740))*(SVB!$F$2:$F$740))</f>
        <v>0</v>
      </c>
      <c r="T157" s="528" cm="1">
        <f t="array" ref="T157">SUMPRODUCT((SVB!$R$2:$R$740&gt;=T311)*(SVB!$R$2:$R$740&lt;=T312)*(SVB!$B$2:$B$740="T1-015")*(ISNUMBER(SVB!$F$2:$F$740))*(SVB!$F$2:$F$740))</f>
        <v>0</v>
      </c>
      <c r="U157" s="528" cm="1">
        <f t="array" ref="U157">SUMPRODUCT((SVB!$R$2:$R$740&gt;=U311)*(SVB!$R$2:$R$740&lt;=U312)*(SVB!$B$2:$B$740="T1-015")*(ISNUMBER(SVB!$F$2:$F$740))*(SVB!$F$2:$F$740))</f>
        <v>0</v>
      </c>
      <c r="V157" s="529" cm="1">
        <f t="array" ref="V157">SUMPRODUCT((SVB!$B$2:$B$740="T1-015")*(ISNUMBER(SVB!$F$2:$F$740))*(SVB!$F$2:$F$740))</f>
        <v>327</v>
      </c>
    </row>
    <row r="158" spans="1:22" ht="18" customHeight="1">
      <c r="A158" s="442" t="s">
        <v>917</v>
      </c>
      <c r="B158" s="443" cm="1">
        <f t="array" ref="B158">SUMPRODUCT((SVB!$S$2:$S$740&gt;=B311)*(SVB!$S$2:$S$740&lt;=B312)*(SVB!$B$2:$B$740="T1-015")*(ISNUMBER(SVB!$M$2:$M$740))*(SVB!$M$2:$M$740))</f>
        <v>2</v>
      </c>
      <c r="C158" s="443" cm="1">
        <f t="array" ref="C158">SUMPRODUCT((SVB!$S$2:$S$740&gt;=C311)*(SVB!$S$2:$S$740&lt;=C312)*(SVB!$B$2:$B$740="T1-015")*(ISNUMBER(SVB!$M$2:$M$740))*(SVB!$M$2:$M$740))</f>
        <v>0</v>
      </c>
      <c r="D158" s="443" cm="1">
        <f t="array" ref="D158">SUMPRODUCT((SVB!$S$2:$S$740&gt;=D311)*(SVB!$S$2:$S$740&lt;=D312)*(SVB!$B$2:$B$740="T1-015")*(ISNUMBER(SVB!$M$2:$M$740))*(SVB!$M$2:$M$740))</f>
        <v>0</v>
      </c>
      <c r="E158" s="443" cm="1">
        <f t="array" ref="E158">SUMPRODUCT((SVB!$S$2:$S$740&gt;=E311)*(SVB!$S$2:$S$740&lt;=E312)*(SVB!$B$2:$B$740="T1-015")*(ISNUMBER(SVB!$M$2:$M$740))*(SVB!$M$2:$M$740))</f>
        <v>0</v>
      </c>
      <c r="F158" s="443" cm="1">
        <f t="array" ref="F158">SUMPRODUCT((SVB!$S$2:$S$740&gt;=F311)*(SVB!$S$2:$S$740&lt;=F312)*(SVB!$B$2:$B$740="T1-015")*(ISNUMBER(SVB!$M$2:$M$740))*(SVB!$M$2:$M$740))</f>
        <v>0</v>
      </c>
      <c r="G158" s="443" cm="1">
        <f t="array" ref="G158">SUMPRODUCT((SVB!$S$2:$S$740&gt;=G311)*(SVB!$S$2:$S$740&lt;=G312)*(SVB!$B$2:$B$740="T1-015")*(ISNUMBER(SVB!$M$2:$M$740))*(SVB!$M$2:$M$740))</f>
        <v>0</v>
      </c>
      <c r="H158" s="443" cm="1">
        <f t="array" ref="H158">SUMPRODUCT((SVB!$S$2:$S$740&gt;=H311)*(SVB!$S$2:$S$740&lt;=H312)*(SVB!$B$2:$B$740="T1-015")*(ISNUMBER(SVB!$M$2:$M$740))*(SVB!$M$2:$M$740))</f>
        <v>0</v>
      </c>
      <c r="I158" s="443" cm="1">
        <f t="array" ref="I158">SUMPRODUCT((SVB!$S$2:$S$740&gt;=I311)*(SVB!$S$2:$S$740&lt;=I312)*(SVB!$B$2:$B$740="T1-015")*(ISNUMBER(SVB!$M$2:$M$740))*(SVB!$M$2:$M$740))</f>
        <v>0</v>
      </c>
      <c r="J158" s="443" cm="1">
        <f t="array" ref="J158">SUMPRODUCT((SVB!$S$2:$S$740&gt;=J311)*(SVB!$S$2:$S$740&lt;=J312)*(SVB!$B$2:$B$740="T1-015")*(ISNUMBER(SVB!$M$2:$M$740))*(SVB!$M$2:$M$740))</f>
        <v>0</v>
      </c>
      <c r="K158" s="443" cm="1">
        <f t="array" ref="K158">SUMPRODUCT((SVB!$S$2:$S$740&gt;=K311)*(SVB!$S$2:$S$740&lt;=K312)*(SVB!$B$2:$B$740="T1-015")*(ISNUMBER(SVB!$M$2:$M$740))*(SVB!$M$2:$M$740))</f>
        <v>0</v>
      </c>
      <c r="L158" s="443" cm="1">
        <f t="array" ref="L158">SUMPRODUCT((SVB!$S$2:$S$740&gt;=L311)*(SVB!$S$2:$S$740&lt;=L312)*(SVB!$B$2:$B$740="T1-015")*(ISNUMBER(SVB!$M$2:$M$740))*(SVB!$M$2:$M$740))</f>
        <v>0</v>
      </c>
      <c r="M158" s="443" cm="1">
        <f t="array" ref="M158">SUMPRODUCT((SVB!$S$2:$S$740&gt;=M311)*(SVB!$S$2:$S$740&lt;=M312)*(SVB!$B$2:$B$740="T1-015")*(ISNUMBER(SVB!$M$2:$M$740))*(SVB!$M$2:$M$740))</f>
        <v>0</v>
      </c>
      <c r="N158" s="443" cm="1">
        <f t="array" ref="N158">SUMPRODUCT((SVB!$S$2:$S$740&gt;=N311)*(SVB!$S$2:$S$740&lt;=N312)*(SVB!$B$2:$B$740="T1-015")*(ISNUMBER(SVB!$M$2:$M$740))*(SVB!$M$2:$M$740))</f>
        <v>0</v>
      </c>
      <c r="O158" s="443" cm="1">
        <f t="array" ref="O158">SUMPRODUCT((SVB!$S$2:$S$740&gt;=O311)*(SVB!$S$2:$S$740&lt;=O312)*(SVB!$B$2:$B$740="T1-015")*(ISNUMBER(SVB!$M$2:$M$740))*(SVB!$M$2:$M$740))</f>
        <v>0</v>
      </c>
      <c r="P158" s="443" cm="1">
        <f t="array" ref="P158">SUMPRODUCT((SVB!$S$2:$S$740&gt;=P311)*(SVB!$S$2:$S$740&lt;=P312)*(SVB!$B$2:$B$740="T1-015")*(ISNUMBER(SVB!$M$2:$M$740))*(SVB!$M$2:$M$740))</f>
        <v>0</v>
      </c>
      <c r="Q158" s="443" cm="1">
        <f t="array" ref="Q158">SUMPRODUCT((SVB!$S$2:$S$740&gt;=Q311)*(SVB!$S$2:$S$740&lt;=Q312)*(SVB!$B$2:$B$740="T1-015")*(ISNUMBER(SVB!$M$2:$M$740))*(SVB!$M$2:$M$740))</f>
        <v>0</v>
      </c>
      <c r="R158" s="443" cm="1">
        <f t="array" ref="R158">SUMPRODUCT((SVB!$S$2:$S$740&gt;=R311)*(SVB!$S$2:$S$740&lt;=R312)*(SVB!$B$2:$B$740="T1-015")*(ISNUMBER(SVB!$M$2:$M$740))*(SVB!$M$2:$M$740))</f>
        <v>0</v>
      </c>
      <c r="S158" s="443" cm="1">
        <f t="array" ref="S158">SUMPRODUCT((SVB!$S$2:$S$740&gt;=S311)*(SVB!$S$2:$S$740&lt;=S312)*(SVB!$B$2:$B$740="T1-015")*(ISNUMBER(SVB!$M$2:$M$740))*(SVB!$M$2:$M$740))</f>
        <v>0</v>
      </c>
      <c r="T158" s="443" cm="1">
        <f t="array" ref="T158">SUMPRODUCT((SVB!$S$2:$S$740&gt;=T311)*(SVB!$S$2:$S$740&lt;=T312)*(SVB!$B$2:$B$740="T1-015")*(ISNUMBER(SVB!$M$2:$M$740))*(SVB!$M$2:$M$740))</f>
        <v>0</v>
      </c>
      <c r="U158" s="443" cm="1">
        <f t="array" ref="U158">SUMPRODUCT((SVB!$S$2:$S$740&gt;=U311)*(SVB!$S$2:$S$740&lt;=U312)*(SVB!$B$2:$B$740="T1-015")*(ISNUMBER(SVB!$M$2:$M$740))*(SVB!$M$2:$M$740))</f>
        <v>0</v>
      </c>
      <c r="V158" s="529">
        <f>SUM(F158:U158)</f>
        <v>0</v>
      </c>
    </row>
    <row r="159" spans="1:22" ht="18" customHeight="1">
      <c r="A159" s="442" t="s">
        <v>918</v>
      </c>
      <c r="B159" s="443" cm="1">
        <f t="array" ref="B159">SUMPRODUCT((SVB!$S$2:$S$740&gt;=B311)*(SVB!$S$2:$S$740&lt;=B312)*(SVB!$B$2:$B$740="T1-015")*(ISNUMBER(SVB!$N$2:$N$740))*(SVB!$N$2:$N$740))</f>
        <v>2</v>
      </c>
      <c r="C159" s="443" cm="1">
        <f t="array" ref="C159">SUMPRODUCT((SVB!$S$2:$S$740&gt;=C311)*(SVB!$S$2:$S$740&lt;=C312)*(SVB!$B$2:$B$740="T1-015")*(ISNUMBER(SVB!$N$2:$N$740))*(SVB!$N$2:$N$740))</f>
        <v>0</v>
      </c>
      <c r="D159" s="443" cm="1">
        <f t="array" ref="D159">SUMPRODUCT((SVB!$S$2:$S$740&gt;=D311)*(SVB!$S$2:$S$740&lt;=D312)*(SVB!$B$2:$B$740="T1-015")*(ISNUMBER(SVB!$N$2:$N$740))*(SVB!$N$2:$N$740))</f>
        <v>0</v>
      </c>
      <c r="E159" s="443" cm="1">
        <f t="array" ref="E159">SUMPRODUCT((SVB!$S$2:$S$740&gt;=E311)*(SVB!$S$2:$S$740&lt;=E312)*(SVB!$B$2:$B$740="T1-015")*(ISNUMBER(SVB!$N$2:$N$740))*(SVB!$N$2:$N$740))</f>
        <v>0</v>
      </c>
      <c r="F159" s="443" cm="1">
        <f t="array" ref="F159">SUMPRODUCT((SVB!$S$2:$S$740&gt;=F311)*(SVB!$S$2:$S$740&lt;=F312)*(SVB!$B$2:$B$740="T1-015")*(ISNUMBER(SVB!$N$2:$N$740))*(SVB!$N$2:$N$740))</f>
        <v>0</v>
      </c>
      <c r="G159" s="443" cm="1">
        <f t="array" ref="G159">SUMPRODUCT((SVB!$S$2:$S$740&gt;=G311)*(SVB!$S$2:$S$740&lt;=G312)*(SVB!$B$2:$B$740="T1-015")*(ISNUMBER(SVB!$N$2:$N$740))*(SVB!$N$2:$N$740))</f>
        <v>0</v>
      </c>
      <c r="H159" s="443" cm="1">
        <f t="array" ref="H159">SUMPRODUCT((SVB!$S$2:$S$740&gt;=H311)*(SVB!$S$2:$S$740&lt;=H312)*(SVB!$B$2:$B$740="T1-015")*(ISNUMBER(SVB!$N$2:$N$740))*(SVB!$N$2:$N$740))</f>
        <v>0</v>
      </c>
      <c r="I159" s="443" cm="1">
        <f t="array" ref="I159">SUMPRODUCT((SVB!$S$2:$S$740&gt;=I311)*(SVB!$S$2:$S$740&lt;=I312)*(SVB!$B$2:$B$740="T1-015")*(ISNUMBER(SVB!$N$2:$N$740))*(SVB!$N$2:$N$740))</f>
        <v>0</v>
      </c>
      <c r="J159" s="443" cm="1">
        <f t="array" ref="J159">SUMPRODUCT((SVB!$S$2:$S$740&gt;=J311)*(SVB!$S$2:$S$740&lt;=J312)*(SVB!$B$2:$B$740="T1-015")*(ISNUMBER(SVB!$N$2:$N$740))*(SVB!$N$2:$N$740))</f>
        <v>0</v>
      </c>
      <c r="K159" s="443" cm="1">
        <f t="array" ref="K159">SUMPRODUCT((SVB!$S$2:$S$740&gt;=K311)*(SVB!$S$2:$S$740&lt;=K312)*(SVB!$B$2:$B$740="T1-015")*(ISNUMBER(SVB!$N$2:$N$740))*(SVB!$N$2:$N$740))</f>
        <v>0</v>
      </c>
      <c r="L159" s="443" cm="1">
        <f t="array" ref="L159">SUMPRODUCT((SVB!$S$2:$S$740&gt;=L311)*(SVB!$S$2:$S$740&lt;=L312)*(SVB!$B$2:$B$740="T1-015")*(ISNUMBER(SVB!$N$2:$N$740))*(SVB!$N$2:$N$740))</f>
        <v>0</v>
      </c>
      <c r="M159" s="443" cm="1">
        <f t="array" ref="M159">SUMPRODUCT((SVB!$S$2:$S$740&gt;=M311)*(SVB!$S$2:$S$740&lt;=M312)*(SVB!$B$2:$B$740="T1-015")*(ISNUMBER(SVB!$N$2:$N$740))*(SVB!$N$2:$N$740))</f>
        <v>0</v>
      </c>
      <c r="N159" s="443" cm="1">
        <f t="array" ref="N159">SUMPRODUCT((SVB!$S$2:$S$740&gt;=N311)*(SVB!$S$2:$S$740&lt;=N312)*(SVB!$B$2:$B$740="T1-015")*(ISNUMBER(SVB!$N$2:$N$740))*(SVB!$N$2:$N$740))</f>
        <v>0</v>
      </c>
      <c r="O159" s="443" cm="1">
        <f t="array" ref="O159">SUMPRODUCT((SVB!$S$2:$S$740&gt;=O311)*(SVB!$S$2:$S$740&lt;=O312)*(SVB!$B$2:$B$740="T1-015")*(ISNUMBER(SVB!$N$2:$N$740))*(SVB!$N$2:$N$740))</f>
        <v>0</v>
      </c>
      <c r="P159" s="443" cm="1">
        <f t="array" ref="P159">SUMPRODUCT((SVB!$S$2:$S$740&gt;=P311)*(SVB!$S$2:$S$740&lt;=P312)*(SVB!$B$2:$B$740="T1-015")*(ISNUMBER(SVB!$N$2:$N$740))*(SVB!$N$2:$N$740))</f>
        <v>0</v>
      </c>
      <c r="Q159" s="443" cm="1">
        <f t="array" ref="Q159">SUMPRODUCT((SVB!$S$2:$S$740&gt;=Q311)*(SVB!$S$2:$S$740&lt;=Q312)*(SVB!$B$2:$B$740="T1-015")*(ISNUMBER(SVB!$N$2:$N$740))*(SVB!$N$2:$N$740))</f>
        <v>0</v>
      </c>
      <c r="R159" s="443" cm="1">
        <f t="array" ref="R159">SUMPRODUCT((SVB!$S$2:$S$740&gt;=R311)*(SVB!$S$2:$S$740&lt;=R312)*(SVB!$B$2:$B$740="T1-015")*(ISNUMBER(SVB!$N$2:$N$740))*(SVB!$N$2:$N$740))</f>
        <v>0</v>
      </c>
      <c r="S159" s="443" cm="1">
        <f t="array" ref="S159">SUMPRODUCT((SVB!$S$2:$S$740&gt;=S311)*(SVB!$S$2:$S$740&lt;=S312)*(SVB!$B$2:$B$740="T1-015")*(ISNUMBER(SVB!$N$2:$N$740))*(SVB!$N$2:$N$740))</f>
        <v>0</v>
      </c>
      <c r="T159" s="443" cm="1">
        <f t="array" ref="T159">SUMPRODUCT((SVB!$S$2:$S$740&gt;=T311)*(SVB!$S$2:$S$740&lt;=T312)*(SVB!$B$2:$B$740="T1-015")*(ISNUMBER(SVB!$N$2:$N$740))*(SVB!$N$2:$N$740))</f>
        <v>0</v>
      </c>
      <c r="U159" s="443" cm="1">
        <f t="array" ref="U159">SUMPRODUCT((SVB!$S$2:$S$740&gt;=U311)*(SVB!$S$2:$S$740&lt;=U312)*(SVB!$B$2:$B$740="T1-015")*(ISNUMBER(SVB!$N$2:$N$740))*(SVB!$N$2:$N$740))</f>
        <v>0</v>
      </c>
      <c r="V159" s="529">
        <f>SUM(F159:U159)</f>
        <v>0</v>
      </c>
    </row>
    <row r="160" spans="1:22" ht="18" customHeight="1">
      <c r="A160" s="442" t="s">
        <v>919</v>
      </c>
      <c r="B160" s="443" cm="1">
        <f t="array" ref="B160">SUMPRODUCT((SVB!$S$2:$S$740&gt;=B311)*(SVB!$S$2:$S$740&lt;=B312)*(SVB!$B$2:$B$740="T1-015")*(ISNUMBER(SVB!$O$2:$O$740))*(SVB!$O$2:$O$740))</f>
        <v>2</v>
      </c>
      <c r="C160" s="443" cm="1">
        <f t="array" ref="C160">SUMPRODUCT((SVB!$S$2:$S$740&gt;=C311)*(SVB!$S$2:$S$740&lt;=C312)*(SVB!$B$2:$B$740="T1-015")*(ISNUMBER(SVB!$O$2:$O$740))*(SVB!$O$2:$O$740))</f>
        <v>0</v>
      </c>
      <c r="D160" s="443" cm="1">
        <f t="array" ref="D160">SUMPRODUCT((SVB!$S$2:$S$740&gt;=D311)*(SVB!$S$2:$S$740&lt;=D312)*(SVB!$B$2:$B$740="T1-015")*(ISNUMBER(SVB!$O$2:$O$740))*(SVB!$O$2:$O$740))</f>
        <v>0</v>
      </c>
      <c r="E160" s="443" cm="1">
        <f t="array" ref="E160">SUMPRODUCT((SVB!$S$2:$S$740&gt;=E311)*(SVB!$S$2:$S$740&lt;=E312)*(SVB!$B$2:$B$740="T1-015")*(ISNUMBER(SVB!$O$2:$O$740))*(SVB!$O$2:$O$740))</f>
        <v>0</v>
      </c>
      <c r="F160" s="443" cm="1">
        <f t="array" ref="F160">SUMPRODUCT((SVB!$S$2:$S$740&gt;=F311)*(SVB!$S$2:$S$740&lt;=F312)*(SVB!$B$2:$B$740="T1-015")*(ISNUMBER(SVB!$O$2:$O$740))*(SVB!$O$2:$O$740))</f>
        <v>0</v>
      </c>
      <c r="G160" s="443" cm="1">
        <f t="array" ref="G160">SUMPRODUCT((SVB!$S$2:$S$740&gt;=G311)*(SVB!$S$2:$S$740&lt;=G312)*(SVB!$B$2:$B$740="T1-015")*(ISNUMBER(SVB!$O$2:$O$740))*(SVB!$O$2:$O$740))</f>
        <v>0</v>
      </c>
      <c r="H160" s="443" cm="1">
        <f t="array" ref="H160">SUMPRODUCT((SVB!$S$2:$S$740&gt;=H311)*(SVB!$S$2:$S$740&lt;=H312)*(SVB!$B$2:$B$740="T1-015")*(ISNUMBER(SVB!$O$2:$O$740))*(SVB!$O$2:$O$740))</f>
        <v>0</v>
      </c>
      <c r="I160" s="443" cm="1">
        <f t="array" ref="I160">SUMPRODUCT((SVB!$S$2:$S$740&gt;=I311)*(SVB!$S$2:$S$740&lt;=I312)*(SVB!$B$2:$B$740="T1-015")*(ISNUMBER(SVB!$O$2:$O$740))*(SVB!$O$2:$O$740))</f>
        <v>0</v>
      </c>
      <c r="J160" s="443" cm="1">
        <f t="array" ref="J160">SUMPRODUCT((SVB!$S$2:$S$740&gt;=J311)*(SVB!$S$2:$S$740&lt;=J312)*(SVB!$B$2:$B$740="T1-015")*(ISNUMBER(SVB!$O$2:$O$740))*(SVB!$O$2:$O$740))</f>
        <v>0</v>
      </c>
      <c r="K160" s="443" cm="1">
        <f t="array" ref="K160">SUMPRODUCT((SVB!$S$2:$S$740&gt;=K311)*(SVB!$S$2:$S$740&lt;=K312)*(SVB!$B$2:$B$740="T1-015")*(ISNUMBER(SVB!$O$2:$O$740))*(SVB!$O$2:$O$740))</f>
        <v>0</v>
      </c>
      <c r="L160" s="443" cm="1">
        <f t="array" ref="L160">SUMPRODUCT((SVB!$S$2:$S$740&gt;=L311)*(SVB!$S$2:$S$740&lt;=L312)*(SVB!$B$2:$B$740="T1-015")*(ISNUMBER(SVB!$O$2:$O$740))*(SVB!$O$2:$O$740))</f>
        <v>0</v>
      </c>
      <c r="M160" s="443" cm="1">
        <f t="array" ref="M160">SUMPRODUCT((SVB!$S$2:$S$740&gt;=M311)*(SVB!$S$2:$S$740&lt;=M312)*(SVB!$B$2:$B$740="T1-015")*(ISNUMBER(SVB!$O$2:$O$740))*(SVB!$O$2:$O$740))</f>
        <v>0</v>
      </c>
      <c r="N160" s="443" cm="1">
        <f t="array" ref="N160">SUMPRODUCT((SVB!$S$2:$S$740&gt;=N311)*(SVB!$S$2:$S$740&lt;=N312)*(SVB!$B$2:$B$740="T1-015")*(ISNUMBER(SVB!$O$2:$O$740))*(SVB!$O$2:$O$740))</f>
        <v>0</v>
      </c>
      <c r="O160" s="443" cm="1">
        <f t="array" ref="O160">SUMPRODUCT((SVB!$S$2:$S$740&gt;=O311)*(SVB!$S$2:$S$740&lt;=O312)*(SVB!$B$2:$B$740="T1-015")*(ISNUMBER(SVB!$O$2:$O$740))*(SVB!$O$2:$O$740))</f>
        <v>0</v>
      </c>
      <c r="P160" s="443" cm="1">
        <f t="array" ref="P160">SUMPRODUCT((SVB!$S$2:$S$740&gt;=P311)*(SVB!$S$2:$S$740&lt;=P312)*(SVB!$B$2:$B$740="T1-015")*(ISNUMBER(SVB!$O$2:$O$740))*(SVB!$O$2:$O$740))</f>
        <v>0</v>
      </c>
      <c r="Q160" s="443" cm="1">
        <f t="array" ref="Q160">SUMPRODUCT((SVB!$S$2:$S$740&gt;=Q311)*(SVB!$S$2:$S$740&lt;=Q312)*(SVB!$B$2:$B$740="T1-015")*(ISNUMBER(SVB!$O$2:$O$740))*(SVB!$O$2:$O$740))</f>
        <v>0</v>
      </c>
      <c r="R160" s="443" cm="1">
        <f t="array" ref="R160">SUMPRODUCT((SVB!$S$2:$S$740&gt;=R311)*(SVB!$S$2:$S$740&lt;=R312)*(SVB!$B$2:$B$740="T1-015")*(ISNUMBER(SVB!$O$2:$O$740))*(SVB!$O$2:$O$740))</f>
        <v>0</v>
      </c>
      <c r="S160" s="443" cm="1">
        <f t="array" ref="S160">SUMPRODUCT((SVB!$S$2:$S$740&gt;=S311)*(SVB!$S$2:$S$740&lt;=S312)*(SVB!$B$2:$B$740="T1-015")*(ISNUMBER(SVB!$O$2:$O$740))*(SVB!$O$2:$O$740))</f>
        <v>0</v>
      </c>
      <c r="T160" s="443" cm="1">
        <f t="array" ref="T160">SUMPRODUCT((SVB!$S$2:$S$740&gt;=T311)*(SVB!$S$2:$S$740&lt;=T312)*(SVB!$B$2:$B$740="T1-015")*(ISNUMBER(SVB!$O$2:$O$740))*(SVB!$O$2:$O$740))</f>
        <v>0</v>
      </c>
      <c r="U160" s="443" cm="1">
        <f t="array" ref="U160">SUMPRODUCT((SVB!$S$2:$S$740&gt;=U311)*(SVB!$S$2:$S$740&lt;=U312)*(SVB!$B$2:$B$740="T1-015")*(ISNUMBER(SVB!$O$2:$O$740))*(SVB!$O$2:$O$740))</f>
        <v>0</v>
      </c>
      <c r="V160" s="529">
        <f>SUM(F160:U160)</f>
        <v>0</v>
      </c>
    </row>
    <row r="161" spans="1:22" s="547" customFormat="1" ht="19.5" customHeight="1">
      <c r="A161" s="550" t="s">
        <v>322</v>
      </c>
      <c r="B161" s="551">
        <f>MAX(B160-B157,0)</f>
        <v>0</v>
      </c>
      <c r="C161" s="551">
        <f t="shared" ref="C161" si="212">MAX(C160-C157,0)</f>
        <v>0</v>
      </c>
      <c r="D161" s="551">
        <f t="shared" ref="D161" si="213">MAX(D160-D157,0)</f>
        <v>0</v>
      </c>
      <c r="E161" s="551">
        <f t="shared" ref="E161" si="214">MAX(E160-E157,0)</f>
        <v>0</v>
      </c>
      <c r="F161" s="551">
        <f t="shared" ref="F161" si="215">MAX(F160-F157,0)</f>
        <v>0</v>
      </c>
      <c r="G161" s="551">
        <f t="shared" ref="G161" si="216">MAX(G160-G157,0)</f>
        <v>0</v>
      </c>
      <c r="H161" s="551">
        <f t="shared" ref="H161" si="217">MAX(H160-H157,0)</f>
        <v>0</v>
      </c>
      <c r="I161" s="551">
        <f t="shared" ref="I161" si="218">MAX(I160-I157,0)</f>
        <v>0</v>
      </c>
      <c r="J161" s="551">
        <f t="shared" ref="J161" si="219">MAX(J160-J157,0)</f>
        <v>0</v>
      </c>
      <c r="K161" s="551">
        <f t="shared" ref="K161" si="220">MAX(K160-K157,0)</f>
        <v>0</v>
      </c>
      <c r="L161" s="551">
        <f t="shared" ref="L161" si="221">MAX(L160-L157,0)</f>
        <v>0</v>
      </c>
      <c r="M161" s="551">
        <f t="shared" ref="M161" si="222">MAX(M160-M157,0)</f>
        <v>0</v>
      </c>
      <c r="N161" s="551">
        <f t="shared" ref="N161" si="223">MAX(N160-N157,0)</f>
        <v>0</v>
      </c>
      <c r="O161" s="551">
        <f t="shared" ref="O161" si="224">MAX(O160-O157,0)</f>
        <v>0</v>
      </c>
      <c r="P161" s="551">
        <f t="shared" ref="P161" si="225">MAX(P160-P157,0)</f>
        <v>0</v>
      </c>
      <c r="Q161" s="551">
        <f t="shared" ref="Q161:U161" si="226">MAX(Q160-Q157,0)</f>
        <v>0</v>
      </c>
      <c r="R161" s="551">
        <f t="shared" si="226"/>
        <v>0</v>
      </c>
      <c r="S161" s="551">
        <f t="shared" si="226"/>
        <v>0</v>
      </c>
      <c r="T161" s="551">
        <f t="shared" si="226"/>
        <v>0</v>
      </c>
      <c r="U161" s="551">
        <f t="shared" si="226"/>
        <v>0</v>
      </c>
      <c r="V161" s="552">
        <f>MAX(V160-V157,0)</f>
        <v>0</v>
      </c>
    </row>
    <row r="162" spans="1:22" s="547" customFormat="1" ht="19.5" customHeight="1">
      <c r="A162" s="550" t="s">
        <v>323</v>
      </c>
      <c r="B162" s="551">
        <f>MAX(B157-B160,0)</f>
        <v>0</v>
      </c>
      <c r="C162" s="551">
        <f t="shared" ref="C162:Q162" si="227">MAX(C157-C160,0)</f>
        <v>0</v>
      </c>
      <c r="D162" s="551">
        <f t="shared" si="227"/>
        <v>0</v>
      </c>
      <c r="E162" s="551">
        <f t="shared" si="227"/>
        <v>0</v>
      </c>
      <c r="F162" s="551">
        <f t="shared" si="227"/>
        <v>0</v>
      </c>
      <c r="G162" s="551">
        <f t="shared" si="227"/>
        <v>0</v>
      </c>
      <c r="H162" s="551">
        <f t="shared" si="227"/>
        <v>0</v>
      </c>
      <c r="I162" s="551">
        <f t="shared" si="227"/>
        <v>0</v>
      </c>
      <c r="J162" s="551">
        <f t="shared" si="227"/>
        <v>0</v>
      </c>
      <c r="K162" s="551">
        <f t="shared" si="227"/>
        <v>0</v>
      </c>
      <c r="L162" s="551">
        <f t="shared" si="227"/>
        <v>93</v>
      </c>
      <c r="M162" s="551">
        <f t="shared" si="227"/>
        <v>97</v>
      </c>
      <c r="N162" s="551">
        <f t="shared" si="227"/>
        <v>50</v>
      </c>
      <c r="O162" s="551">
        <f t="shared" si="227"/>
        <v>58</v>
      </c>
      <c r="P162" s="551">
        <f t="shared" si="227"/>
        <v>27</v>
      </c>
      <c r="Q162" s="551">
        <f t="shared" si="227"/>
        <v>0</v>
      </c>
      <c r="R162" s="551">
        <f t="shared" ref="R162:U162" si="228">MAX(R157-R160,0)</f>
        <v>0</v>
      </c>
      <c r="S162" s="551">
        <f t="shared" si="228"/>
        <v>0</v>
      </c>
      <c r="T162" s="551">
        <f t="shared" si="228"/>
        <v>0</v>
      </c>
      <c r="U162" s="551">
        <f t="shared" si="228"/>
        <v>0</v>
      </c>
      <c r="V162" s="552">
        <f>MAX(V157-V160,0)</f>
        <v>327</v>
      </c>
    </row>
    <row r="163" spans="1:22" ht="18" customHeight="1">
      <c r="A163" s="541" t="s">
        <v>326</v>
      </c>
      <c r="B163" s="542">
        <f t="shared" ref="B163:Q163" si="229">IF(B157=0,"-",(B158+B159+B160)/(B157*3))</f>
        <v>1</v>
      </c>
      <c r="C163" s="542" t="str">
        <f t="shared" si="229"/>
        <v>-</v>
      </c>
      <c r="D163" s="542" t="str">
        <f t="shared" si="229"/>
        <v>-</v>
      </c>
      <c r="E163" s="542" t="str">
        <f t="shared" si="229"/>
        <v>-</v>
      </c>
      <c r="F163" s="542" t="str">
        <f t="shared" si="229"/>
        <v>-</v>
      </c>
      <c r="G163" s="542" t="str">
        <f t="shared" si="229"/>
        <v>-</v>
      </c>
      <c r="H163" s="542" t="str">
        <f t="shared" si="229"/>
        <v>-</v>
      </c>
      <c r="I163" s="542" t="str">
        <f t="shared" si="229"/>
        <v>-</v>
      </c>
      <c r="J163" s="542" t="str">
        <f t="shared" si="229"/>
        <v>-</v>
      </c>
      <c r="K163" s="542" t="str">
        <f t="shared" si="229"/>
        <v>-</v>
      </c>
      <c r="L163" s="542">
        <f t="shared" si="229"/>
        <v>0</v>
      </c>
      <c r="M163" s="542">
        <f t="shared" si="229"/>
        <v>0</v>
      </c>
      <c r="N163" s="542">
        <f t="shared" si="229"/>
        <v>0</v>
      </c>
      <c r="O163" s="542">
        <f t="shared" si="229"/>
        <v>0</v>
      </c>
      <c r="P163" s="542">
        <f t="shared" si="229"/>
        <v>0</v>
      </c>
      <c r="Q163" s="542" t="str">
        <f t="shared" si="229"/>
        <v>-</v>
      </c>
      <c r="R163" s="542" t="str">
        <f t="shared" ref="R163:U163" si="230">IF(R157=0,"-",(R158+R159+R160)/(R157*3))</f>
        <v>-</v>
      </c>
      <c r="S163" s="542" t="str">
        <f t="shared" si="230"/>
        <v>-</v>
      </c>
      <c r="T163" s="542" t="str">
        <f t="shared" si="230"/>
        <v>-</v>
      </c>
      <c r="U163" s="542" t="str">
        <f t="shared" si="230"/>
        <v>-</v>
      </c>
      <c r="V163" s="530">
        <f t="shared" ref="V163" si="231">IF(V157=0,"-",(V158+V159+V160)/(V157*3))</f>
        <v>0</v>
      </c>
    </row>
    <row r="164" spans="1:22" ht="18" customHeight="1">
      <c r="A164" s="597" t="s">
        <v>920</v>
      </c>
      <c r="B164" s="598">
        <f>SUM($B160:B160)</f>
        <v>2</v>
      </c>
      <c r="C164" s="598">
        <f>SUM($B160:C160)</f>
        <v>2</v>
      </c>
      <c r="D164" s="598">
        <f>SUM($B160:D160)</f>
        <v>2</v>
      </c>
      <c r="E164" s="598">
        <f>SUM($B160:E160)</f>
        <v>2</v>
      </c>
      <c r="F164" s="598">
        <f>SUM($B160:F160)</f>
        <v>2</v>
      </c>
      <c r="G164" s="598">
        <f>SUM($B160:G160)</f>
        <v>2</v>
      </c>
      <c r="H164" s="598">
        <f>SUM($B160:H160)</f>
        <v>2</v>
      </c>
      <c r="I164" s="598">
        <f>SUM($B160:I160)</f>
        <v>2</v>
      </c>
      <c r="J164" s="598">
        <f>SUM($B160:J160)</f>
        <v>2</v>
      </c>
      <c r="K164" s="598">
        <f>SUM($B160:K160)</f>
        <v>2</v>
      </c>
      <c r="L164" s="598">
        <f>SUM($B160:L160)</f>
        <v>2</v>
      </c>
      <c r="M164" s="598">
        <f>SUM($B160:M160)</f>
        <v>2</v>
      </c>
      <c r="N164" s="598">
        <f>SUM($B160:N160)</f>
        <v>2</v>
      </c>
      <c r="O164" s="598">
        <f>SUM($B160:O160)</f>
        <v>2</v>
      </c>
      <c r="P164" s="598">
        <f>SUM($B160:P160)</f>
        <v>2</v>
      </c>
      <c r="Q164" s="598">
        <f>SUM($B160:Q160)</f>
        <v>2</v>
      </c>
      <c r="R164" s="598">
        <f>SUM($B160:R160)</f>
        <v>2</v>
      </c>
      <c r="S164" s="598">
        <f>SUM($B160:S160)</f>
        <v>2</v>
      </c>
      <c r="T164" s="598">
        <f>SUM($B160:T160)</f>
        <v>2</v>
      </c>
      <c r="U164" s="598">
        <f>SUM($B160:U160)</f>
        <v>2</v>
      </c>
      <c r="V164" s="529">
        <f>V160</f>
        <v>0</v>
      </c>
    </row>
    <row r="165" spans="1:22" ht="18" customHeight="1">
      <c r="A165" s="599" t="s">
        <v>318</v>
      </c>
      <c r="B165" s="600">
        <f>IF(B157=0,IF(B158=0,"-","100%"),B158/B157)</f>
        <v>1</v>
      </c>
      <c r="C165" s="600" t="str">
        <f t="shared" ref="C165:Q165" si="232">IF(C157=0,IF(C158=0,"-","100%"),C158/C157)</f>
        <v>-</v>
      </c>
      <c r="D165" s="600" t="str">
        <f t="shared" si="232"/>
        <v>-</v>
      </c>
      <c r="E165" s="600" t="str">
        <f t="shared" si="232"/>
        <v>-</v>
      </c>
      <c r="F165" s="600" t="str">
        <f t="shared" si="232"/>
        <v>-</v>
      </c>
      <c r="G165" s="600" t="str">
        <f t="shared" si="232"/>
        <v>-</v>
      </c>
      <c r="H165" s="600" t="str">
        <f t="shared" si="232"/>
        <v>-</v>
      </c>
      <c r="I165" s="600" t="str">
        <f t="shared" si="232"/>
        <v>-</v>
      </c>
      <c r="J165" s="600" t="str">
        <f t="shared" si="232"/>
        <v>-</v>
      </c>
      <c r="K165" s="600" t="str">
        <f t="shared" si="232"/>
        <v>-</v>
      </c>
      <c r="L165" s="600">
        <f t="shared" si="232"/>
        <v>0</v>
      </c>
      <c r="M165" s="600">
        <f t="shared" si="232"/>
        <v>0</v>
      </c>
      <c r="N165" s="600">
        <f t="shared" si="232"/>
        <v>0</v>
      </c>
      <c r="O165" s="600">
        <f t="shared" si="232"/>
        <v>0</v>
      </c>
      <c r="P165" s="600">
        <f t="shared" si="232"/>
        <v>0</v>
      </c>
      <c r="Q165" s="600" t="str">
        <f t="shared" si="232"/>
        <v>-</v>
      </c>
      <c r="R165" s="600" t="str">
        <f t="shared" ref="R165:U165" si="233">IF(R157=0,IF(R158=0,"-","100%"),R158/R157)</f>
        <v>-</v>
      </c>
      <c r="S165" s="600" t="str">
        <f t="shared" si="233"/>
        <v>-</v>
      </c>
      <c r="T165" s="600" t="str">
        <f t="shared" si="233"/>
        <v>-</v>
      </c>
      <c r="U165" s="600" t="str">
        <f t="shared" si="233"/>
        <v>-</v>
      </c>
      <c r="V165" s="601">
        <f>IF(V157=0,"-",V158/V157)</f>
        <v>0</v>
      </c>
    </row>
    <row r="166" spans="1:22" ht="18" customHeight="1">
      <c r="A166" s="599" t="s">
        <v>320</v>
      </c>
      <c r="B166" s="600">
        <f>IF(B157=0,IF(B159=0,"-","100%"),B159/B157)</f>
        <v>1</v>
      </c>
      <c r="C166" s="600" t="str">
        <f t="shared" ref="C166:Q166" si="234">IF(C157=0,IF(C159=0,"-","100%"),C159/C157)</f>
        <v>-</v>
      </c>
      <c r="D166" s="600" t="str">
        <f t="shared" si="234"/>
        <v>-</v>
      </c>
      <c r="E166" s="600" t="str">
        <f t="shared" si="234"/>
        <v>-</v>
      </c>
      <c r="F166" s="600" t="str">
        <f t="shared" si="234"/>
        <v>-</v>
      </c>
      <c r="G166" s="600" t="str">
        <f t="shared" si="234"/>
        <v>-</v>
      </c>
      <c r="H166" s="600" t="str">
        <f t="shared" si="234"/>
        <v>-</v>
      </c>
      <c r="I166" s="600" t="str">
        <f t="shared" si="234"/>
        <v>-</v>
      </c>
      <c r="J166" s="600" t="str">
        <f t="shared" si="234"/>
        <v>-</v>
      </c>
      <c r="K166" s="600" t="str">
        <f t="shared" si="234"/>
        <v>-</v>
      </c>
      <c r="L166" s="600">
        <f t="shared" si="234"/>
        <v>0</v>
      </c>
      <c r="M166" s="600">
        <f t="shared" si="234"/>
        <v>0</v>
      </c>
      <c r="N166" s="600">
        <f t="shared" si="234"/>
        <v>0</v>
      </c>
      <c r="O166" s="600">
        <f t="shared" si="234"/>
        <v>0</v>
      </c>
      <c r="P166" s="600">
        <f t="shared" si="234"/>
        <v>0</v>
      </c>
      <c r="Q166" s="600" t="str">
        <f t="shared" si="234"/>
        <v>-</v>
      </c>
      <c r="R166" s="600" t="str">
        <f t="shared" ref="R166:U166" si="235">IF(R157=0,IF(R159=0,"-","100%"),R159/R157)</f>
        <v>-</v>
      </c>
      <c r="S166" s="600" t="str">
        <f t="shared" si="235"/>
        <v>-</v>
      </c>
      <c r="T166" s="600" t="str">
        <f t="shared" si="235"/>
        <v>-</v>
      </c>
      <c r="U166" s="600" t="str">
        <f t="shared" si="235"/>
        <v>-</v>
      </c>
      <c r="V166" s="601">
        <f>IF(V157=0,"-",V159/V157)</f>
        <v>0</v>
      </c>
    </row>
    <row r="167" spans="1:22" ht="18" customHeight="1">
      <c r="A167" s="599" t="s">
        <v>324</v>
      </c>
      <c r="B167" s="600">
        <f>IF(B157=0,IF(B160=0,"-","100%"),B160/B157)</f>
        <v>1</v>
      </c>
      <c r="C167" s="600" t="str">
        <f t="shared" ref="C167:Q167" si="236">IF(C157=0,IF(C160=0,"-","100%"),C160/C157)</f>
        <v>-</v>
      </c>
      <c r="D167" s="600" t="str">
        <f t="shared" si="236"/>
        <v>-</v>
      </c>
      <c r="E167" s="600" t="str">
        <f t="shared" si="236"/>
        <v>-</v>
      </c>
      <c r="F167" s="600" t="str">
        <f t="shared" si="236"/>
        <v>-</v>
      </c>
      <c r="G167" s="600" t="str">
        <f t="shared" si="236"/>
        <v>-</v>
      </c>
      <c r="H167" s="600" t="str">
        <f t="shared" si="236"/>
        <v>-</v>
      </c>
      <c r="I167" s="600" t="str">
        <f t="shared" si="236"/>
        <v>-</v>
      </c>
      <c r="J167" s="600" t="str">
        <f t="shared" si="236"/>
        <v>-</v>
      </c>
      <c r="K167" s="600" t="str">
        <f t="shared" si="236"/>
        <v>-</v>
      </c>
      <c r="L167" s="600">
        <f t="shared" si="236"/>
        <v>0</v>
      </c>
      <c r="M167" s="600">
        <f t="shared" si="236"/>
        <v>0</v>
      </c>
      <c r="N167" s="600">
        <f t="shared" si="236"/>
        <v>0</v>
      </c>
      <c r="O167" s="600">
        <f t="shared" si="236"/>
        <v>0</v>
      </c>
      <c r="P167" s="600">
        <f t="shared" si="236"/>
        <v>0</v>
      </c>
      <c r="Q167" s="600" t="str">
        <f t="shared" si="236"/>
        <v>-</v>
      </c>
      <c r="R167" s="600" t="str">
        <f t="shared" ref="R167:U167" si="237">IF(R157=0,IF(R160=0,"-","100%"),R160/R157)</f>
        <v>-</v>
      </c>
      <c r="S167" s="600" t="str">
        <f t="shared" si="237"/>
        <v>-</v>
      </c>
      <c r="T167" s="600" t="str">
        <f t="shared" si="237"/>
        <v>-</v>
      </c>
      <c r="U167" s="600" t="str">
        <f t="shared" si="237"/>
        <v>-</v>
      </c>
      <c r="V167" s="601">
        <f>IF(V157=0,"-",V160/V157)</f>
        <v>0</v>
      </c>
    </row>
    <row r="168" spans="1:22" s="547" customFormat="1" ht="19.5" customHeight="1">
      <c r="A168" s="550" t="s">
        <v>327</v>
      </c>
      <c r="B168" s="551">
        <f>SUM($B157:B157)</f>
        <v>2</v>
      </c>
      <c r="C168" s="551">
        <f>SUM($B157:C157)</f>
        <v>2</v>
      </c>
      <c r="D168" s="551">
        <f>SUM($B157:D157)</f>
        <v>2</v>
      </c>
      <c r="E168" s="551">
        <f>SUM($B157:E157)</f>
        <v>2</v>
      </c>
      <c r="F168" s="551">
        <f>SUM($B157:F157)</f>
        <v>2</v>
      </c>
      <c r="G168" s="551">
        <f>SUM($B157:G157)</f>
        <v>2</v>
      </c>
      <c r="H168" s="551">
        <f>SUM($B157:H157)</f>
        <v>2</v>
      </c>
      <c r="I168" s="551">
        <f>SUM($B157:I157)</f>
        <v>2</v>
      </c>
      <c r="J168" s="551">
        <f>SUM($B157:J157)</f>
        <v>2</v>
      </c>
      <c r="K168" s="551">
        <f>SUM($B157:K157)</f>
        <v>2</v>
      </c>
      <c r="L168" s="551">
        <f>SUM($B157:L157)</f>
        <v>95</v>
      </c>
      <c r="M168" s="551">
        <f>SUM($B157:M157)</f>
        <v>192</v>
      </c>
      <c r="N168" s="551">
        <f>SUM($B157:N157)</f>
        <v>242</v>
      </c>
      <c r="O168" s="551">
        <f>SUM($B157:O157)</f>
        <v>300</v>
      </c>
      <c r="P168" s="551">
        <f>SUM($B157:P157)</f>
        <v>327</v>
      </c>
      <c r="Q168" s="551">
        <f>SUM($B157:Q157)</f>
        <v>327</v>
      </c>
      <c r="R168" s="551">
        <f>SUM($B157:R157)</f>
        <v>327</v>
      </c>
      <c r="S168" s="551">
        <f>SUM($B157:S157)</f>
        <v>327</v>
      </c>
      <c r="T168" s="551">
        <f>SUM($B157:T157)</f>
        <v>327</v>
      </c>
      <c r="U168" s="551">
        <f>SUM($B157:U157)</f>
        <v>327</v>
      </c>
      <c r="V168" s="552">
        <f>V157</f>
        <v>327</v>
      </c>
    </row>
    <row r="169" spans="1:22" s="547" customFormat="1" ht="19.5" customHeight="1">
      <c r="A169" s="550" t="s">
        <v>328</v>
      </c>
      <c r="B169" s="551">
        <f>SUM($B160:B160)</f>
        <v>2</v>
      </c>
      <c r="C169" s="551">
        <f>SUM($B160:C160)</f>
        <v>2</v>
      </c>
      <c r="D169" s="551">
        <f>SUM($B160:D160)</f>
        <v>2</v>
      </c>
      <c r="E169" s="551">
        <f>SUM($B160:E160)</f>
        <v>2</v>
      </c>
      <c r="F169" s="551">
        <f>SUM($B160:F160)</f>
        <v>2</v>
      </c>
      <c r="G169" s="551">
        <f>SUM($B160:G160)</f>
        <v>2</v>
      </c>
      <c r="H169" s="551">
        <f>SUM($B160:H160)</f>
        <v>2</v>
      </c>
      <c r="I169" s="551">
        <f>SUM($B160:I160)</f>
        <v>2</v>
      </c>
      <c r="J169" s="551">
        <f>SUM($B160:J160)</f>
        <v>2</v>
      </c>
      <c r="K169" s="551">
        <f>SUM($B160:K160)</f>
        <v>2</v>
      </c>
      <c r="L169" s="551">
        <f>SUM($B160:L160)</f>
        <v>2</v>
      </c>
      <c r="M169" s="551">
        <f>SUM($B160:M160)</f>
        <v>2</v>
      </c>
      <c r="N169" s="551">
        <f>SUM($B160:N160)</f>
        <v>2</v>
      </c>
      <c r="O169" s="551">
        <f>SUM($B160:O160)</f>
        <v>2</v>
      </c>
      <c r="P169" s="551">
        <f>SUM($B160:P160)</f>
        <v>2</v>
      </c>
      <c r="Q169" s="551">
        <f>SUM($B160:Q160)</f>
        <v>2</v>
      </c>
      <c r="R169" s="551">
        <f>SUM($B160:R160)</f>
        <v>2</v>
      </c>
      <c r="S169" s="551">
        <f>SUM($B160:S160)</f>
        <v>2</v>
      </c>
      <c r="T169" s="551">
        <f>SUM($B160:T160)</f>
        <v>2</v>
      </c>
      <c r="U169" s="551">
        <f>SUM($B160:U160)</f>
        <v>2</v>
      </c>
      <c r="V169" s="552">
        <f>V160</f>
        <v>0</v>
      </c>
    </row>
    <row r="170" spans="1:22" s="547" customFormat="1" ht="19.5" customHeight="1">
      <c r="A170" s="544" t="s">
        <v>329</v>
      </c>
      <c r="B170" s="545" t="e">
        <f>IF(#REF!=0,"-",B169/#REF!)</f>
        <v>#REF!</v>
      </c>
      <c r="C170" s="545" t="e">
        <f>IF(#REF!=0,"-",C169/#REF!)</f>
        <v>#REF!</v>
      </c>
      <c r="D170" s="545" t="e">
        <f>IF(#REF!=0,"-",D169/#REF!)</f>
        <v>#REF!</v>
      </c>
      <c r="E170" s="545" t="e">
        <f>IF(#REF!=0,"-",E169/#REF!)</f>
        <v>#REF!</v>
      </c>
      <c r="F170" s="545" t="e">
        <f>IF(#REF!=0,"-",F169/#REF!)</f>
        <v>#REF!</v>
      </c>
      <c r="G170" s="545" t="e">
        <f>IF(#REF!=0,"-",G169/#REF!)</f>
        <v>#REF!</v>
      </c>
      <c r="H170" s="545" t="e">
        <f>IF(#REF!=0,"-",H169/#REF!)</f>
        <v>#REF!</v>
      </c>
      <c r="I170" s="545" t="e">
        <f>IF(#REF!=0,"-",I169/#REF!)</f>
        <v>#REF!</v>
      </c>
      <c r="J170" s="545" t="e">
        <f>IF(#REF!=0,"-",J169/#REF!)</f>
        <v>#REF!</v>
      </c>
      <c r="K170" s="545" t="e">
        <f>IF(#REF!=0,"-",K169/#REF!)</f>
        <v>#REF!</v>
      </c>
      <c r="L170" s="545" t="e">
        <f>IF(#REF!=0,"-",L169/#REF!)</f>
        <v>#REF!</v>
      </c>
      <c r="M170" s="545" t="e">
        <f>IF(#REF!=0,"-",M169/#REF!)</f>
        <v>#REF!</v>
      </c>
      <c r="N170" s="545" t="e">
        <f>IF(#REF!=0,"-",N169/#REF!)</f>
        <v>#REF!</v>
      </c>
      <c r="O170" s="545" t="e">
        <f>IF(#REF!=0,"-",O169/#REF!)</f>
        <v>#REF!</v>
      </c>
      <c r="P170" s="545" t="e">
        <f>IF(#REF!=0,"-",P169/#REF!)</f>
        <v>#REF!</v>
      </c>
      <c r="Q170" s="545" t="e">
        <f>IF(#REF!=0,"-",Q169/#REF!)</f>
        <v>#REF!</v>
      </c>
      <c r="R170" s="545" t="e">
        <f>IF(#REF!=0,"-",R169/#REF!)</f>
        <v>#REF!</v>
      </c>
      <c r="S170" s="545" t="e">
        <f>IF(#REF!=0,"-",S169/#REF!)</f>
        <v>#REF!</v>
      </c>
      <c r="T170" s="545" t="e">
        <f>IF(#REF!=0,"-",T169/#REF!)</f>
        <v>#REF!</v>
      </c>
      <c r="U170" s="545" t="e">
        <f>IF(#REF!=0,"-",U169/#REF!)</f>
        <v>#REF!</v>
      </c>
      <c r="V170" s="546" t="e">
        <f>IF(#REF!=0,"-",V169/#REF!)</f>
        <v>#REF!</v>
      </c>
    </row>
    <row r="171" spans="1:22" s="547" customFormat="1" ht="19.5" customHeight="1">
      <c r="A171" s="548" t="s">
        <v>330</v>
      </c>
      <c r="B171" s="549" t="e">
        <f>IF(#REF!=0,"-",B168/#REF!)</f>
        <v>#REF!</v>
      </c>
      <c r="C171" s="549" t="e">
        <f>IF(#REF!=0,"-",C168/#REF!)</f>
        <v>#REF!</v>
      </c>
      <c r="D171" s="549" t="e">
        <f>IF(#REF!=0,"-",D168/#REF!)</f>
        <v>#REF!</v>
      </c>
      <c r="E171" s="549" t="e">
        <f>IF(#REF!=0,"-",E168/#REF!)</f>
        <v>#REF!</v>
      </c>
      <c r="F171" s="549" t="e">
        <f>IF(#REF!=0,"-",F168/#REF!)</f>
        <v>#REF!</v>
      </c>
      <c r="G171" s="549" t="e">
        <f>IF(#REF!=0,"-",G168/#REF!)</f>
        <v>#REF!</v>
      </c>
      <c r="H171" s="549" t="e">
        <f>IF(#REF!=0,"-",H168/#REF!)</f>
        <v>#REF!</v>
      </c>
      <c r="I171" s="549" t="e">
        <f>IF(#REF!=0,"-",I168/#REF!)</f>
        <v>#REF!</v>
      </c>
      <c r="J171" s="549" t="e">
        <f>IF(#REF!=0,"-",J168/#REF!)</f>
        <v>#REF!</v>
      </c>
      <c r="K171" s="549" t="e">
        <f>IF(#REF!=0,"-",K168/#REF!)</f>
        <v>#REF!</v>
      </c>
      <c r="L171" s="549" t="e">
        <f>IF(#REF!=0,"-",L168/#REF!)</f>
        <v>#REF!</v>
      </c>
      <c r="M171" s="549" t="e">
        <f>IF(#REF!=0,"-",M168/#REF!)</f>
        <v>#REF!</v>
      </c>
      <c r="N171" s="549" t="e">
        <f>IF(#REF!=0,"-",N168/#REF!)</f>
        <v>#REF!</v>
      </c>
      <c r="O171" s="549" t="e">
        <f>IF(#REF!=0,"-",O168/#REF!)</f>
        <v>#REF!</v>
      </c>
      <c r="P171" s="549" t="e">
        <f>IF(#REF!=0,"-",P168/#REF!)</f>
        <v>#REF!</v>
      </c>
      <c r="Q171" s="549" t="e">
        <f>IF(#REF!=0,"-",Q168/#REF!)</f>
        <v>#REF!</v>
      </c>
      <c r="R171" s="549" t="e">
        <f>IF(#REF!=0,"-",R168/#REF!)</f>
        <v>#REF!</v>
      </c>
      <c r="S171" s="549" t="e">
        <f>IF(#REF!=0,"-",S168/#REF!)</f>
        <v>#REF!</v>
      </c>
      <c r="T171" s="549" t="e">
        <f>IF(#REF!=0,"-",T168/#REF!)</f>
        <v>#REF!</v>
      </c>
      <c r="U171" s="549" t="e">
        <f>IF(#REF!=0,"-",U168/#REF!)</f>
        <v>#REF!</v>
      </c>
      <c r="V171" s="546" t="e">
        <f>IF(#REF!=0,"-",V168/#REF!)</f>
        <v>#REF!</v>
      </c>
    </row>
    <row r="172" spans="1:22" ht="4.5" customHeight="1"/>
    <row r="173" spans="1:22" ht="19.5" customHeight="1">
      <c r="A173" s="1166" t="s">
        <v>938</v>
      </c>
      <c r="B173" s="1166"/>
      <c r="C173" s="1166"/>
      <c r="D173" s="1166"/>
      <c r="E173" s="1166"/>
      <c r="F173" s="1166"/>
      <c r="G173" s="1166"/>
      <c r="H173" s="1166"/>
      <c r="I173" s="1166"/>
      <c r="J173" s="1166"/>
      <c r="K173" s="1166"/>
      <c r="L173" s="1166"/>
      <c r="M173" s="1166"/>
      <c r="N173" s="1166"/>
      <c r="O173" s="1166"/>
      <c r="P173" s="1166"/>
      <c r="Q173" s="1166"/>
      <c r="R173" s="694"/>
    </row>
    <row r="309" spans="2:22" hidden="1"/>
    <row r="310" spans="2:22" hidden="1"/>
    <row r="311" spans="2:22" hidden="1">
      <c r="B311" s="439">
        <f>DATE(2026,2,1)</f>
        <v>46054</v>
      </c>
      <c r="C311" s="439">
        <f>DATE(2026,2,21)</f>
        <v>46074</v>
      </c>
      <c r="D311" s="439">
        <f>DATE(2026,2,28)</f>
        <v>46081</v>
      </c>
      <c r="E311" s="439">
        <f>DATE(2026,3,7)</f>
        <v>46088</v>
      </c>
      <c r="F311" s="439">
        <f>DATE(2026,3,14)</f>
        <v>46095</v>
      </c>
      <c r="G311" s="439">
        <f>DATE(2026,3,21)</f>
        <v>46102</v>
      </c>
      <c r="H311" s="439">
        <f>DATE(2026,3,28)</f>
        <v>46109</v>
      </c>
      <c r="I311" s="439">
        <f>DATE(2026,4,4)</f>
        <v>46116</v>
      </c>
      <c r="J311" s="439">
        <f>DATE(2026,4,11)</f>
        <v>46123</v>
      </c>
      <c r="K311" s="439">
        <f>DATE(2026,4,18)</f>
        <v>46130</v>
      </c>
      <c r="L311" s="439">
        <f>DATE(2026,4,25)</f>
        <v>46137</v>
      </c>
      <c r="M311" s="439">
        <f>DATE(2026,5,2)</f>
        <v>46144</v>
      </c>
      <c r="N311" s="439">
        <f>DATE(2026,5,9)</f>
        <v>46151</v>
      </c>
      <c r="O311" s="439">
        <f>DATE(2026,5,16)</f>
        <v>46158</v>
      </c>
      <c r="P311" s="439">
        <f>DATE(2026,5,23)</f>
        <v>46165</v>
      </c>
      <c r="Q311" s="439">
        <f>DATE(2026,5,30)</f>
        <v>46172</v>
      </c>
      <c r="R311" s="439">
        <f>Q311+7</f>
        <v>46179</v>
      </c>
      <c r="S311" s="439">
        <f t="shared" ref="S311:U311" si="238">R311+7</f>
        <v>46186</v>
      </c>
      <c r="T311" s="439">
        <f t="shared" si="238"/>
        <v>46193</v>
      </c>
      <c r="U311" s="439">
        <f t="shared" si="238"/>
        <v>46200</v>
      </c>
      <c r="V311" s="439"/>
    </row>
    <row r="312" spans="2:22" hidden="1">
      <c r="B312" s="439">
        <f>DATE(2026,2,20)</f>
        <v>46073</v>
      </c>
      <c r="C312" s="439">
        <f>DATE(2026,2,27)</f>
        <v>46080</v>
      </c>
      <c r="D312" s="439">
        <f>DATE(2026,3,6)</f>
        <v>46087</v>
      </c>
      <c r="E312" s="439">
        <f>DATE(2026,3,13)</f>
        <v>46094</v>
      </c>
      <c r="F312" s="439">
        <f>DATE(2026,3,20)</f>
        <v>46101</v>
      </c>
      <c r="G312" s="439">
        <f>DATE(2026,3,27)</f>
        <v>46108</v>
      </c>
      <c r="H312" s="439">
        <f>DATE(2026,4,3)</f>
        <v>46115</v>
      </c>
      <c r="I312" s="439">
        <f>DATE(2026,4,10)</f>
        <v>46122</v>
      </c>
      <c r="J312" s="439">
        <f>DATE(2026,4,17)</f>
        <v>46129</v>
      </c>
      <c r="K312" s="439">
        <f>DATE(2026,4,24)</f>
        <v>46136</v>
      </c>
      <c r="L312" s="439">
        <f>DATE(2026,5,1)</f>
        <v>46143</v>
      </c>
      <c r="M312" s="439">
        <f>DATE(2026,5,8)</f>
        <v>46150</v>
      </c>
      <c r="N312" s="439">
        <f>DATE(2026,5,15)</f>
        <v>46157</v>
      </c>
      <c r="O312" s="439">
        <f>DATE(2026,5,22)</f>
        <v>46164</v>
      </c>
      <c r="P312" s="439">
        <f>DATE(2026,5,29)</f>
        <v>46171</v>
      </c>
      <c r="Q312" s="439">
        <f>P312+7</f>
        <v>46178</v>
      </c>
      <c r="R312" s="439">
        <f>Q312+7</f>
        <v>46185</v>
      </c>
      <c r="S312" s="439">
        <f t="shared" ref="S312:U312" si="239">R312+7</f>
        <v>46192</v>
      </c>
      <c r="T312" s="439">
        <f t="shared" si="239"/>
        <v>46199</v>
      </c>
      <c r="U312" s="439">
        <f t="shared" si="239"/>
        <v>46206</v>
      </c>
      <c r="V312" s="439"/>
    </row>
    <row r="313" spans="2:22" hidden="1"/>
    <row r="314" spans="2:22" hidden="1"/>
    <row r="315" spans="2:22" hidden="1"/>
    <row r="316" spans="2:22" hidden="1"/>
  </sheetData>
  <mergeCells count="12">
    <mergeCell ref="A1:V1"/>
    <mergeCell ref="A2:V2"/>
    <mergeCell ref="A6:V6"/>
    <mergeCell ref="A23:V23"/>
    <mergeCell ref="A173:Q173"/>
    <mergeCell ref="A4:A5"/>
    <mergeCell ref="A63:V63"/>
    <mergeCell ref="A105:V105"/>
    <mergeCell ref="A122:V122"/>
    <mergeCell ref="A139:V139"/>
    <mergeCell ref="A156:V156"/>
    <mergeCell ref="V4:V5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C76:Q7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264F-9D81-437A-B574-27E73DB36431}">
  <dimension ref="A1:N82"/>
  <sheetViews>
    <sheetView zoomScale="80" zoomScaleNormal="80" workbookViewId="0">
      <pane ySplit="2" topLeftCell="A43" activePane="bottomLeft" state="frozen"/>
      <selection pane="bottomLeft" activeCell="J28" sqref="J28"/>
    </sheetView>
  </sheetViews>
  <sheetFormatPr defaultColWidth="71.44140625" defaultRowHeight="24" customHeight="1"/>
  <cols>
    <col min="1" max="1" width="33.88671875" style="66" customWidth="1"/>
    <col min="2" max="2" width="9" style="65" bestFit="1" customWidth="1"/>
    <col min="3" max="3" width="37" style="63" customWidth="1"/>
    <col min="4" max="4" width="12.33203125" style="64" bestFit="1" customWidth="1"/>
    <col min="5" max="5" width="10.44140625" style="64" customWidth="1"/>
    <col min="6" max="7" width="12.33203125" style="64" customWidth="1"/>
    <col min="8" max="8" width="11.6640625" style="64" bestFit="1" customWidth="1"/>
    <col min="9" max="9" width="14.109375" style="64" bestFit="1" customWidth="1"/>
    <col min="10" max="10" width="11.6640625" style="64" bestFit="1" customWidth="1"/>
    <col min="11" max="11" width="9.6640625" style="64" bestFit="1" customWidth="1"/>
    <col min="12" max="12" width="7.88671875" style="64" bestFit="1" customWidth="1"/>
    <col min="13" max="13" width="37.33203125" style="64" customWidth="1"/>
    <col min="14" max="14" width="12.33203125" style="64" customWidth="1"/>
    <col min="15" max="16384" width="71.44140625" style="62"/>
  </cols>
  <sheetData>
    <row r="1" spans="1:14" ht="21">
      <c r="A1" s="1192" t="s">
        <v>939</v>
      </c>
      <c r="B1" s="1193"/>
      <c r="C1" s="1194"/>
      <c r="D1" s="1195" t="s">
        <v>940</v>
      </c>
      <c r="E1" s="1196"/>
      <c r="F1" s="1196"/>
      <c r="G1" s="1197"/>
      <c r="H1" s="1185" t="s">
        <v>941</v>
      </c>
      <c r="I1" s="1186"/>
      <c r="J1" s="1186"/>
      <c r="K1" s="1187"/>
      <c r="L1" s="1188" t="s">
        <v>29</v>
      </c>
      <c r="M1" s="1178" t="s">
        <v>30</v>
      </c>
      <c r="N1" s="1180" t="s">
        <v>942</v>
      </c>
    </row>
    <row r="2" spans="1:14" s="305" customFormat="1" ht="21">
      <c r="A2" s="384" t="s">
        <v>15</v>
      </c>
      <c r="B2" s="884" t="s">
        <v>17</v>
      </c>
      <c r="C2" s="884" t="s">
        <v>16</v>
      </c>
      <c r="D2" s="485" t="s">
        <v>152</v>
      </c>
      <c r="E2" s="485" t="s">
        <v>153</v>
      </c>
      <c r="F2" s="485" t="s">
        <v>154</v>
      </c>
      <c r="G2" s="485" t="s">
        <v>155</v>
      </c>
      <c r="H2" s="385" t="s">
        <v>154</v>
      </c>
      <c r="I2" s="185" t="s">
        <v>26</v>
      </c>
      <c r="J2" s="185" t="s">
        <v>27</v>
      </c>
      <c r="K2" s="185" t="s">
        <v>28</v>
      </c>
      <c r="L2" s="1189"/>
      <c r="M2" s="1179"/>
      <c r="N2" s="1181"/>
    </row>
    <row r="3" spans="1:14" ht="21">
      <c r="A3" s="910" t="s">
        <v>943</v>
      </c>
      <c r="B3" s="386">
        <v>1</v>
      </c>
      <c r="C3" s="67" t="s">
        <v>944</v>
      </c>
      <c r="D3" s="380">
        <v>1</v>
      </c>
      <c r="E3" s="380">
        <v>1</v>
      </c>
      <c r="F3" s="380">
        <v>0</v>
      </c>
      <c r="G3" s="880"/>
      <c r="H3" s="8">
        <v>0</v>
      </c>
      <c r="I3" s="8">
        <v>0</v>
      </c>
      <c r="J3" s="8">
        <v>0</v>
      </c>
      <c r="K3" s="8">
        <v>0</v>
      </c>
      <c r="L3" s="7">
        <f t="shared" ref="L3:L66" si="0">IF(AND(E3=0,G3="In Progress"),0,ROUNDUP(((I3+J3+K3)/3)/N3*100%,2))</f>
        <v>0</v>
      </c>
      <c r="M3" s="378"/>
      <c r="N3" s="144">
        <f>E3+H3</f>
        <v>1</v>
      </c>
    </row>
    <row r="4" spans="1:14" ht="21">
      <c r="A4" s="910" t="s">
        <v>945</v>
      </c>
      <c r="B4" s="386">
        <v>1</v>
      </c>
      <c r="C4" s="67" t="s">
        <v>946</v>
      </c>
      <c r="D4" s="380">
        <v>1</v>
      </c>
      <c r="E4" s="380">
        <v>1</v>
      </c>
      <c r="F4" s="380">
        <v>0</v>
      </c>
      <c r="G4" s="880"/>
      <c r="H4" s="8">
        <v>0</v>
      </c>
      <c r="I4" s="8">
        <v>0</v>
      </c>
      <c r="J4" s="8">
        <v>0</v>
      </c>
      <c r="K4" s="8">
        <v>0</v>
      </c>
      <c r="L4" s="7">
        <f t="shared" si="0"/>
        <v>0</v>
      </c>
      <c r="M4" s="378"/>
      <c r="N4" s="144">
        <f t="shared" ref="N4:N67" si="1">E4+H4</f>
        <v>1</v>
      </c>
    </row>
    <row r="5" spans="1:14" ht="21">
      <c r="A5" s="1182" t="s">
        <v>947</v>
      </c>
      <c r="B5" s="386">
        <v>1</v>
      </c>
      <c r="C5" s="67" t="s">
        <v>948</v>
      </c>
      <c r="D5" s="380">
        <v>9</v>
      </c>
      <c r="E5" s="380">
        <v>9</v>
      </c>
      <c r="F5" s="380">
        <v>0</v>
      </c>
      <c r="G5" s="880"/>
      <c r="H5" s="8">
        <v>0</v>
      </c>
      <c r="I5" s="8">
        <v>0</v>
      </c>
      <c r="J5" s="8">
        <v>0</v>
      </c>
      <c r="K5" s="8">
        <v>0</v>
      </c>
      <c r="L5" s="7">
        <f t="shared" si="0"/>
        <v>0</v>
      </c>
      <c r="M5" s="378"/>
      <c r="N5" s="144">
        <f t="shared" si="1"/>
        <v>9</v>
      </c>
    </row>
    <row r="6" spans="1:14" ht="21">
      <c r="A6" s="1182"/>
      <c r="B6" s="386">
        <v>3</v>
      </c>
      <c r="C6" s="67" t="s">
        <v>949</v>
      </c>
      <c r="D6" s="380">
        <v>1</v>
      </c>
      <c r="E6" s="380">
        <v>1</v>
      </c>
      <c r="F6" s="380">
        <v>0</v>
      </c>
      <c r="G6" s="880"/>
      <c r="H6" s="8">
        <v>0</v>
      </c>
      <c r="I6" s="8">
        <v>0</v>
      </c>
      <c r="J6" s="8">
        <v>0</v>
      </c>
      <c r="K6" s="8">
        <v>0</v>
      </c>
      <c r="L6" s="7">
        <f t="shared" si="0"/>
        <v>0</v>
      </c>
      <c r="M6" s="378"/>
      <c r="N6" s="144">
        <f t="shared" si="1"/>
        <v>1</v>
      </c>
    </row>
    <row r="7" spans="1:14" ht="21">
      <c r="A7" s="1182"/>
      <c r="B7" s="386" t="s">
        <v>950</v>
      </c>
      <c r="C7" s="67" t="s">
        <v>951</v>
      </c>
      <c r="D7" s="380">
        <v>1</v>
      </c>
      <c r="E7" s="380">
        <v>1</v>
      </c>
      <c r="F7" s="380">
        <v>0</v>
      </c>
      <c r="G7" s="880"/>
      <c r="H7" s="8">
        <v>0</v>
      </c>
      <c r="I7" s="8">
        <v>0</v>
      </c>
      <c r="J7" s="8">
        <v>0</v>
      </c>
      <c r="K7" s="8">
        <v>0</v>
      </c>
      <c r="L7" s="7">
        <f t="shared" si="0"/>
        <v>0</v>
      </c>
      <c r="M7" s="378"/>
      <c r="N7" s="144">
        <f t="shared" si="1"/>
        <v>1</v>
      </c>
    </row>
    <row r="8" spans="1:14" ht="21">
      <c r="A8" s="910" t="s">
        <v>952</v>
      </c>
      <c r="B8" s="386" t="s">
        <v>953</v>
      </c>
      <c r="C8" s="67" t="s">
        <v>954</v>
      </c>
      <c r="D8" s="380">
        <v>1</v>
      </c>
      <c r="E8" s="380">
        <v>1</v>
      </c>
      <c r="F8" s="380">
        <v>0</v>
      </c>
      <c r="G8" s="880"/>
      <c r="H8" s="8">
        <v>0</v>
      </c>
      <c r="I8" s="8">
        <v>0</v>
      </c>
      <c r="J8" s="8">
        <v>0</v>
      </c>
      <c r="K8" s="8">
        <v>0</v>
      </c>
      <c r="L8" s="7">
        <f t="shared" si="0"/>
        <v>0</v>
      </c>
      <c r="M8" s="378"/>
      <c r="N8" s="144">
        <f t="shared" si="1"/>
        <v>1</v>
      </c>
    </row>
    <row r="9" spans="1:14" ht="21">
      <c r="A9" s="910" t="s">
        <v>955</v>
      </c>
      <c r="B9" s="386">
        <v>1</v>
      </c>
      <c r="C9" s="67" t="s">
        <v>956</v>
      </c>
      <c r="D9" s="380">
        <v>1</v>
      </c>
      <c r="E9" s="380">
        <v>1</v>
      </c>
      <c r="F9" s="380">
        <v>0</v>
      </c>
      <c r="G9" s="880"/>
      <c r="H9" s="8">
        <v>0</v>
      </c>
      <c r="I9" s="8">
        <v>0</v>
      </c>
      <c r="J9" s="8">
        <v>0</v>
      </c>
      <c r="K9" s="8">
        <v>0</v>
      </c>
      <c r="L9" s="7">
        <f t="shared" si="0"/>
        <v>0</v>
      </c>
      <c r="M9" s="378"/>
      <c r="N9" s="144">
        <f t="shared" si="1"/>
        <v>1</v>
      </c>
    </row>
    <row r="10" spans="1:14" ht="21">
      <c r="A10" s="910" t="s">
        <v>957</v>
      </c>
      <c r="B10" s="386">
        <v>1</v>
      </c>
      <c r="C10" s="67" t="s">
        <v>958</v>
      </c>
      <c r="D10" s="380">
        <v>2</v>
      </c>
      <c r="E10" s="380">
        <v>2</v>
      </c>
      <c r="F10" s="380">
        <v>0</v>
      </c>
      <c r="G10" s="880"/>
      <c r="H10" s="8">
        <v>0</v>
      </c>
      <c r="I10" s="8">
        <v>0</v>
      </c>
      <c r="J10" s="8">
        <v>0</v>
      </c>
      <c r="K10" s="8">
        <v>0</v>
      </c>
      <c r="L10" s="7">
        <f t="shared" si="0"/>
        <v>0</v>
      </c>
      <c r="M10" s="378"/>
      <c r="N10" s="144">
        <f t="shared" si="1"/>
        <v>2</v>
      </c>
    </row>
    <row r="11" spans="1:14" ht="21">
      <c r="A11" s="1182" t="s">
        <v>959</v>
      </c>
      <c r="B11" s="386">
        <v>1</v>
      </c>
      <c r="C11" s="67" t="s">
        <v>960</v>
      </c>
      <c r="D11" s="380">
        <v>6</v>
      </c>
      <c r="E11" s="380">
        <v>6</v>
      </c>
      <c r="F11" s="380">
        <v>0</v>
      </c>
      <c r="G11" s="880"/>
      <c r="H11" s="8">
        <v>0</v>
      </c>
      <c r="I11" s="8">
        <v>0</v>
      </c>
      <c r="J11" s="8">
        <v>0</v>
      </c>
      <c r="K11" s="8">
        <v>0</v>
      </c>
      <c r="L11" s="7">
        <f t="shared" si="0"/>
        <v>0</v>
      </c>
      <c r="M11" s="377"/>
      <c r="N11" s="144">
        <f t="shared" si="1"/>
        <v>6</v>
      </c>
    </row>
    <row r="12" spans="1:14" ht="21">
      <c r="A12" s="1182"/>
      <c r="B12" s="386">
        <v>2</v>
      </c>
      <c r="C12" s="67" t="s">
        <v>961</v>
      </c>
      <c r="D12" s="380">
        <v>4</v>
      </c>
      <c r="E12" s="380">
        <v>4</v>
      </c>
      <c r="F12" s="380">
        <v>0</v>
      </c>
      <c r="G12" s="880"/>
      <c r="H12" s="8">
        <v>0</v>
      </c>
      <c r="I12" s="8">
        <v>0</v>
      </c>
      <c r="J12" s="8">
        <v>0</v>
      </c>
      <c r="K12" s="8">
        <v>0</v>
      </c>
      <c r="L12" s="7">
        <f t="shared" si="0"/>
        <v>0</v>
      </c>
      <c r="M12" s="377"/>
      <c r="N12" s="144">
        <f t="shared" si="1"/>
        <v>4</v>
      </c>
    </row>
    <row r="13" spans="1:14" ht="21">
      <c r="A13" s="1182"/>
      <c r="B13" s="386">
        <v>3</v>
      </c>
      <c r="C13" s="67" t="s">
        <v>962</v>
      </c>
      <c r="D13" s="380">
        <v>3</v>
      </c>
      <c r="E13" s="380">
        <v>3</v>
      </c>
      <c r="F13" s="380">
        <v>0</v>
      </c>
      <c r="G13" s="880"/>
      <c r="H13" s="8">
        <v>0</v>
      </c>
      <c r="I13" s="8">
        <v>0</v>
      </c>
      <c r="J13" s="8">
        <v>0</v>
      </c>
      <c r="K13" s="8">
        <v>0</v>
      </c>
      <c r="L13" s="7">
        <f t="shared" si="0"/>
        <v>0</v>
      </c>
      <c r="M13" s="377"/>
      <c r="N13" s="144">
        <f t="shared" si="1"/>
        <v>3</v>
      </c>
    </row>
    <row r="14" spans="1:14" ht="21">
      <c r="A14" s="1182" t="s">
        <v>963</v>
      </c>
      <c r="B14" s="386">
        <v>1</v>
      </c>
      <c r="C14" s="67" t="s">
        <v>964</v>
      </c>
      <c r="D14" s="380">
        <v>8</v>
      </c>
      <c r="E14" s="380">
        <v>4</v>
      </c>
      <c r="F14" s="380">
        <v>4</v>
      </c>
      <c r="G14" s="880" t="s">
        <v>158</v>
      </c>
      <c r="H14" s="8">
        <v>4</v>
      </c>
      <c r="I14" s="8">
        <v>0</v>
      </c>
      <c r="J14" s="8">
        <v>4</v>
      </c>
      <c r="K14" s="8">
        <v>0</v>
      </c>
      <c r="L14" s="7">
        <f t="shared" si="0"/>
        <v>0.17</v>
      </c>
      <c r="M14" s="377"/>
      <c r="N14" s="144">
        <f t="shared" si="1"/>
        <v>8</v>
      </c>
    </row>
    <row r="15" spans="1:14" ht="21">
      <c r="A15" s="1182"/>
      <c r="B15" s="386">
        <v>2</v>
      </c>
      <c r="C15" s="67" t="s">
        <v>965</v>
      </c>
      <c r="D15" s="380">
        <v>2</v>
      </c>
      <c r="E15" s="380">
        <v>1</v>
      </c>
      <c r="F15" s="380">
        <v>1</v>
      </c>
      <c r="G15" s="880" t="s">
        <v>158</v>
      </c>
      <c r="H15" s="8">
        <v>1</v>
      </c>
      <c r="I15" s="8">
        <v>0</v>
      </c>
      <c r="J15" s="8">
        <v>1</v>
      </c>
      <c r="K15" s="8">
        <v>0</v>
      </c>
      <c r="L15" s="7">
        <f t="shared" si="0"/>
        <v>0.17</v>
      </c>
      <c r="M15" s="377"/>
      <c r="N15" s="144">
        <f t="shared" si="1"/>
        <v>2</v>
      </c>
    </row>
    <row r="16" spans="1:14" ht="21">
      <c r="A16" s="1182"/>
      <c r="B16" s="386">
        <v>3</v>
      </c>
      <c r="C16" s="67" t="s">
        <v>966</v>
      </c>
      <c r="D16" s="380">
        <v>2</v>
      </c>
      <c r="E16" s="380">
        <v>0</v>
      </c>
      <c r="F16" s="380">
        <v>2</v>
      </c>
      <c r="G16" s="880" t="s">
        <v>158</v>
      </c>
      <c r="H16" s="8">
        <v>1</v>
      </c>
      <c r="I16" s="8">
        <v>0</v>
      </c>
      <c r="J16" s="8">
        <v>1</v>
      </c>
      <c r="K16" s="8">
        <v>0</v>
      </c>
      <c r="L16" s="7">
        <f>IF(AND(E16=0,G16="In Progress"),0,ROUNDUP(((I16+J16+K16)/3)/N16*100%,2))</f>
        <v>0.34</v>
      </c>
      <c r="M16" s="377" t="s">
        <v>967</v>
      </c>
      <c r="N16" s="144">
        <f>E16+H16</f>
        <v>1</v>
      </c>
    </row>
    <row r="17" spans="1:14" ht="21">
      <c r="A17" s="1182" t="s">
        <v>968</v>
      </c>
      <c r="B17" s="386">
        <v>1</v>
      </c>
      <c r="C17" s="67" t="s">
        <v>969</v>
      </c>
      <c r="D17" s="380">
        <v>3</v>
      </c>
      <c r="E17" s="380">
        <v>2</v>
      </c>
      <c r="F17" s="380">
        <v>1</v>
      </c>
      <c r="G17" s="880" t="s">
        <v>158</v>
      </c>
      <c r="H17" s="8">
        <v>0</v>
      </c>
      <c r="I17" s="8">
        <v>0</v>
      </c>
      <c r="J17" s="8">
        <v>0</v>
      </c>
      <c r="K17" s="8">
        <v>0</v>
      </c>
      <c r="L17" s="7">
        <f t="shared" si="0"/>
        <v>0</v>
      </c>
      <c r="M17" s="377" t="s">
        <v>970</v>
      </c>
      <c r="N17" s="144">
        <f t="shared" si="1"/>
        <v>2</v>
      </c>
    </row>
    <row r="18" spans="1:14" ht="21">
      <c r="A18" s="1182"/>
      <c r="B18" s="386">
        <v>2</v>
      </c>
      <c r="C18" s="67" t="s">
        <v>971</v>
      </c>
      <c r="D18" s="380">
        <v>8</v>
      </c>
      <c r="E18" s="380">
        <v>3</v>
      </c>
      <c r="F18" s="380">
        <v>5</v>
      </c>
      <c r="G18" s="880" t="s">
        <v>158</v>
      </c>
      <c r="H18" s="8">
        <v>4</v>
      </c>
      <c r="I18" s="8">
        <v>0</v>
      </c>
      <c r="J18" s="8">
        <v>4</v>
      </c>
      <c r="K18" s="8">
        <v>0</v>
      </c>
      <c r="L18" s="7">
        <f t="shared" si="0"/>
        <v>0.2</v>
      </c>
      <c r="M18" s="377" t="s">
        <v>972</v>
      </c>
      <c r="N18" s="144">
        <f t="shared" si="1"/>
        <v>7</v>
      </c>
    </row>
    <row r="19" spans="1:14" ht="21">
      <c r="A19" s="1182"/>
      <c r="B19" s="386">
        <v>3</v>
      </c>
      <c r="C19" s="67" t="s">
        <v>973</v>
      </c>
      <c r="D19" s="380">
        <v>9</v>
      </c>
      <c r="E19" s="380">
        <v>2</v>
      </c>
      <c r="F19" s="380">
        <v>7</v>
      </c>
      <c r="G19" s="880" t="s">
        <v>158</v>
      </c>
      <c r="H19" s="8">
        <v>3</v>
      </c>
      <c r="I19" s="8">
        <v>0</v>
      </c>
      <c r="J19" s="8">
        <v>3</v>
      </c>
      <c r="K19" s="8">
        <v>0</v>
      </c>
      <c r="L19" s="7">
        <f t="shared" si="0"/>
        <v>0.2</v>
      </c>
      <c r="M19" s="377" t="s">
        <v>974</v>
      </c>
      <c r="N19" s="144">
        <f t="shared" si="1"/>
        <v>5</v>
      </c>
    </row>
    <row r="20" spans="1:14" ht="21">
      <c r="A20" s="1182"/>
      <c r="B20" s="386">
        <v>4</v>
      </c>
      <c r="C20" s="67" t="s">
        <v>975</v>
      </c>
      <c r="D20" s="380">
        <v>9</v>
      </c>
      <c r="E20" s="380">
        <v>4</v>
      </c>
      <c r="F20" s="380">
        <v>5</v>
      </c>
      <c r="G20" s="880" t="s">
        <v>158</v>
      </c>
      <c r="H20" s="8">
        <v>7</v>
      </c>
      <c r="I20" s="8">
        <v>0</v>
      </c>
      <c r="J20" s="8">
        <v>7</v>
      </c>
      <c r="K20" s="8">
        <v>0</v>
      </c>
      <c r="L20" s="7">
        <f t="shared" si="0"/>
        <v>0.22</v>
      </c>
      <c r="M20" s="377" t="s">
        <v>976</v>
      </c>
      <c r="N20" s="144">
        <f t="shared" si="1"/>
        <v>11</v>
      </c>
    </row>
    <row r="21" spans="1:14" ht="21">
      <c r="A21" s="1182"/>
      <c r="B21" s="386">
        <v>5</v>
      </c>
      <c r="C21" s="67" t="s">
        <v>977</v>
      </c>
      <c r="D21" s="380">
        <v>5</v>
      </c>
      <c r="E21" s="380">
        <v>4</v>
      </c>
      <c r="F21" s="380">
        <v>1</v>
      </c>
      <c r="G21" s="880" t="s">
        <v>158</v>
      </c>
      <c r="H21" s="8">
        <v>1</v>
      </c>
      <c r="I21" s="8">
        <v>0</v>
      </c>
      <c r="J21" s="8">
        <v>1</v>
      </c>
      <c r="K21" s="8">
        <v>0</v>
      </c>
      <c r="L21" s="7">
        <f t="shared" si="0"/>
        <v>6.9999999999999993E-2</v>
      </c>
      <c r="M21" s="377"/>
      <c r="N21" s="144">
        <f t="shared" si="1"/>
        <v>5</v>
      </c>
    </row>
    <row r="22" spans="1:14" ht="21">
      <c r="A22" s="1182" t="s">
        <v>978</v>
      </c>
      <c r="B22" s="386">
        <v>1</v>
      </c>
      <c r="C22" s="67" t="s">
        <v>979</v>
      </c>
      <c r="D22" s="380">
        <v>22</v>
      </c>
      <c r="E22" s="380">
        <v>18</v>
      </c>
      <c r="F22" s="380">
        <v>4</v>
      </c>
      <c r="G22" s="880" t="s">
        <v>158</v>
      </c>
      <c r="H22" s="8">
        <v>4</v>
      </c>
      <c r="I22" s="8">
        <v>0</v>
      </c>
      <c r="J22" s="8">
        <v>4</v>
      </c>
      <c r="K22" s="8">
        <v>0</v>
      </c>
      <c r="L22" s="7">
        <f t="shared" si="0"/>
        <v>6.9999999999999993E-2</v>
      </c>
      <c r="M22" s="377"/>
      <c r="N22" s="144">
        <f t="shared" si="1"/>
        <v>22</v>
      </c>
    </row>
    <row r="23" spans="1:14" ht="21">
      <c r="A23" s="1182"/>
      <c r="B23" s="386">
        <v>2</v>
      </c>
      <c r="C23" s="67" t="s">
        <v>980</v>
      </c>
      <c r="D23" s="380">
        <v>34</v>
      </c>
      <c r="E23" s="380">
        <v>24</v>
      </c>
      <c r="F23" s="380">
        <v>10</v>
      </c>
      <c r="G23" s="880" t="s">
        <v>158</v>
      </c>
      <c r="H23" s="8">
        <v>10</v>
      </c>
      <c r="I23" s="8">
        <v>12</v>
      </c>
      <c r="J23" s="8">
        <v>22</v>
      </c>
      <c r="K23" s="8">
        <v>12</v>
      </c>
      <c r="L23" s="7">
        <f t="shared" si="0"/>
        <v>0.46</v>
      </c>
      <c r="M23" s="377"/>
      <c r="N23" s="144">
        <f t="shared" si="1"/>
        <v>34</v>
      </c>
    </row>
    <row r="24" spans="1:14" ht="21">
      <c r="A24" s="1182"/>
      <c r="B24" s="386">
        <v>3</v>
      </c>
      <c r="C24" s="67" t="s">
        <v>981</v>
      </c>
      <c r="D24" s="380">
        <v>30</v>
      </c>
      <c r="E24" s="380">
        <v>19</v>
      </c>
      <c r="F24" s="380">
        <v>11</v>
      </c>
      <c r="G24" s="880" t="s">
        <v>158</v>
      </c>
      <c r="H24" s="8">
        <v>8</v>
      </c>
      <c r="I24" s="8">
        <v>9</v>
      </c>
      <c r="J24" s="8">
        <v>17</v>
      </c>
      <c r="K24" s="8">
        <v>9</v>
      </c>
      <c r="L24" s="7">
        <f t="shared" si="0"/>
        <v>0.44</v>
      </c>
      <c r="M24" s="377" t="s">
        <v>982</v>
      </c>
      <c r="N24" s="144">
        <f t="shared" si="1"/>
        <v>27</v>
      </c>
    </row>
    <row r="25" spans="1:14" ht="21">
      <c r="A25" s="1182"/>
      <c r="B25" s="386">
        <v>4</v>
      </c>
      <c r="C25" s="67" t="s">
        <v>983</v>
      </c>
      <c r="D25" s="380">
        <v>37</v>
      </c>
      <c r="E25" s="380">
        <v>27</v>
      </c>
      <c r="F25" s="380">
        <v>10</v>
      </c>
      <c r="G25" s="880" t="s">
        <v>158</v>
      </c>
      <c r="H25" s="8">
        <v>13</v>
      </c>
      <c r="I25" s="8">
        <v>5</v>
      </c>
      <c r="J25" s="8">
        <v>18</v>
      </c>
      <c r="K25" s="8">
        <v>5</v>
      </c>
      <c r="L25" s="7">
        <f t="shared" si="0"/>
        <v>0.24000000000000002</v>
      </c>
      <c r="M25" s="377" t="s">
        <v>984</v>
      </c>
      <c r="N25" s="144">
        <f t="shared" si="1"/>
        <v>40</v>
      </c>
    </row>
    <row r="26" spans="1:14" ht="21">
      <c r="A26" s="1182"/>
      <c r="B26" s="386">
        <v>5</v>
      </c>
      <c r="C26" s="67" t="s">
        <v>985</v>
      </c>
      <c r="D26" s="380">
        <v>34</v>
      </c>
      <c r="E26" s="380">
        <v>27</v>
      </c>
      <c r="F26" s="380">
        <v>7</v>
      </c>
      <c r="G26" s="880" t="s">
        <v>158</v>
      </c>
      <c r="H26" s="8">
        <v>6</v>
      </c>
      <c r="I26" s="8">
        <v>0</v>
      </c>
      <c r="J26" s="8">
        <v>6</v>
      </c>
      <c r="K26" s="8">
        <v>0</v>
      </c>
      <c r="L26" s="7">
        <f t="shared" si="0"/>
        <v>6.9999999999999993E-2</v>
      </c>
      <c r="M26" s="377" t="s">
        <v>986</v>
      </c>
      <c r="N26" s="144">
        <f t="shared" si="1"/>
        <v>33</v>
      </c>
    </row>
    <row r="27" spans="1:14" ht="21">
      <c r="A27" s="1182"/>
      <c r="B27" s="386">
        <v>6</v>
      </c>
      <c r="C27" s="67" t="s">
        <v>987</v>
      </c>
      <c r="D27" s="380">
        <v>14</v>
      </c>
      <c r="E27" s="380">
        <v>7</v>
      </c>
      <c r="F27" s="380">
        <v>7</v>
      </c>
      <c r="G27" s="880" t="s">
        <v>158</v>
      </c>
      <c r="H27" s="8">
        <v>0</v>
      </c>
      <c r="I27" s="8">
        <v>7</v>
      </c>
      <c r="J27" s="8">
        <v>7</v>
      </c>
      <c r="K27" s="8">
        <v>7</v>
      </c>
      <c r="L27" s="7">
        <f t="shared" si="0"/>
        <v>1</v>
      </c>
      <c r="M27" s="377" t="s">
        <v>988</v>
      </c>
      <c r="N27" s="144">
        <f t="shared" si="1"/>
        <v>7</v>
      </c>
    </row>
    <row r="28" spans="1:14" ht="21">
      <c r="A28" s="910" t="s">
        <v>989</v>
      </c>
      <c r="B28" s="386">
        <v>1</v>
      </c>
      <c r="C28" s="67" t="s">
        <v>990</v>
      </c>
      <c r="D28" s="380">
        <v>7</v>
      </c>
      <c r="E28" s="380">
        <v>4</v>
      </c>
      <c r="F28" s="380">
        <v>3</v>
      </c>
      <c r="G28" s="880" t="s">
        <v>158</v>
      </c>
      <c r="H28" s="8">
        <v>0</v>
      </c>
      <c r="I28" s="8">
        <v>0</v>
      </c>
      <c r="J28" s="8">
        <v>0</v>
      </c>
      <c r="K28" s="8">
        <v>0</v>
      </c>
      <c r="L28" s="7">
        <f t="shared" si="0"/>
        <v>0</v>
      </c>
      <c r="M28" s="377" t="s">
        <v>991</v>
      </c>
      <c r="N28" s="144">
        <f t="shared" si="1"/>
        <v>4</v>
      </c>
    </row>
    <row r="29" spans="1:14" ht="21">
      <c r="A29" s="1182" t="s">
        <v>992</v>
      </c>
      <c r="B29" s="386">
        <v>1</v>
      </c>
      <c r="C29" s="67" t="s">
        <v>993</v>
      </c>
      <c r="D29" s="380">
        <v>2</v>
      </c>
      <c r="E29" s="380">
        <v>2</v>
      </c>
      <c r="F29" s="380">
        <v>0</v>
      </c>
      <c r="G29" s="880"/>
      <c r="H29" s="8">
        <v>0</v>
      </c>
      <c r="I29" s="8">
        <v>0</v>
      </c>
      <c r="J29" s="8">
        <v>0</v>
      </c>
      <c r="K29" s="8">
        <v>0</v>
      </c>
      <c r="L29" s="7">
        <f t="shared" si="0"/>
        <v>0</v>
      </c>
      <c r="M29" s="377"/>
      <c r="N29" s="144">
        <f t="shared" si="1"/>
        <v>2</v>
      </c>
    </row>
    <row r="30" spans="1:14" ht="21">
      <c r="A30" s="1182"/>
      <c r="B30" s="386">
        <v>2</v>
      </c>
      <c r="C30" s="67" t="s">
        <v>994</v>
      </c>
      <c r="D30" s="380">
        <v>4</v>
      </c>
      <c r="E30" s="380">
        <v>4</v>
      </c>
      <c r="F30" s="380">
        <v>0</v>
      </c>
      <c r="G30" s="880"/>
      <c r="H30" s="8">
        <v>0</v>
      </c>
      <c r="I30" s="8">
        <v>0</v>
      </c>
      <c r="J30" s="8">
        <v>0</v>
      </c>
      <c r="K30" s="8">
        <v>0</v>
      </c>
      <c r="L30" s="7">
        <f t="shared" si="0"/>
        <v>0</v>
      </c>
      <c r="M30" s="377"/>
      <c r="N30" s="144">
        <f t="shared" si="1"/>
        <v>4</v>
      </c>
    </row>
    <row r="31" spans="1:14" ht="21">
      <c r="A31" s="1182"/>
      <c r="B31" s="386">
        <v>3</v>
      </c>
      <c r="C31" s="67" t="s">
        <v>995</v>
      </c>
      <c r="D31" s="380">
        <v>4</v>
      </c>
      <c r="E31" s="380">
        <v>4</v>
      </c>
      <c r="F31" s="380">
        <v>0</v>
      </c>
      <c r="G31" s="880"/>
      <c r="H31" s="8">
        <v>0</v>
      </c>
      <c r="I31" s="8">
        <v>0</v>
      </c>
      <c r="J31" s="8">
        <v>0</v>
      </c>
      <c r="K31" s="8">
        <v>0</v>
      </c>
      <c r="L31" s="7">
        <f t="shared" si="0"/>
        <v>0</v>
      </c>
      <c r="M31" s="377"/>
      <c r="N31" s="144">
        <f t="shared" si="1"/>
        <v>4</v>
      </c>
    </row>
    <row r="32" spans="1:14" ht="21">
      <c r="A32" s="1182"/>
      <c r="B32" s="386">
        <v>4</v>
      </c>
      <c r="C32" s="67" t="s">
        <v>996</v>
      </c>
      <c r="D32" s="380">
        <v>3</v>
      </c>
      <c r="E32" s="380">
        <v>3</v>
      </c>
      <c r="F32" s="380">
        <v>0</v>
      </c>
      <c r="G32" s="880"/>
      <c r="H32" s="8">
        <v>0</v>
      </c>
      <c r="I32" s="8">
        <v>0</v>
      </c>
      <c r="J32" s="8">
        <v>0</v>
      </c>
      <c r="K32" s="8">
        <v>0</v>
      </c>
      <c r="L32" s="7">
        <f t="shared" si="0"/>
        <v>0</v>
      </c>
      <c r="M32" s="377"/>
      <c r="N32" s="144">
        <f t="shared" si="1"/>
        <v>3</v>
      </c>
    </row>
    <row r="33" spans="1:14" ht="21">
      <c r="A33" s="910" t="s">
        <v>997</v>
      </c>
      <c r="B33" s="386">
        <v>1</v>
      </c>
      <c r="C33" s="67" t="s">
        <v>998</v>
      </c>
      <c r="D33" s="380">
        <v>2</v>
      </c>
      <c r="E33" s="380">
        <v>2</v>
      </c>
      <c r="F33" s="380">
        <v>0</v>
      </c>
      <c r="G33" s="880"/>
      <c r="H33" s="8">
        <v>0</v>
      </c>
      <c r="I33" s="8">
        <v>0</v>
      </c>
      <c r="J33" s="8">
        <v>0</v>
      </c>
      <c r="K33" s="8">
        <v>0</v>
      </c>
      <c r="L33" s="7">
        <f t="shared" si="0"/>
        <v>0</v>
      </c>
      <c r="M33" s="377"/>
      <c r="N33" s="144">
        <f t="shared" si="1"/>
        <v>2</v>
      </c>
    </row>
    <row r="34" spans="1:14" ht="21">
      <c r="A34" s="1182" t="s">
        <v>999</v>
      </c>
      <c r="B34" s="386">
        <v>1</v>
      </c>
      <c r="C34" s="67" t="s">
        <v>1000</v>
      </c>
      <c r="D34" s="380">
        <v>8</v>
      </c>
      <c r="E34" s="380">
        <v>4</v>
      </c>
      <c r="F34" s="380">
        <v>4</v>
      </c>
      <c r="G34" s="880" t="s">
        <v>158</v>
      </c>
      <c r="H34" s="8">
        <v>4</v>
      </c>
      <c r="I34" s="8">
        <v>0</v>
      </c>
      <c r="J34" s="8">
        <v>4</v>
      </c>
      <c r="K34" s="8">
        <v>0</v>
      </c>
      <c r="L34" s="7">
        <f t="shared" si="0"/>
        <v>0.17</v>
      </c>
      <c r="M34" s="377"/>
      <c r="N34" s="144">
        <f t="shared" si="1"/>
        <v>8</v>
      </c>
    </row>
    <row r="35" spans="1:14" ht="21">
      <c r="A35" s="1182"/>
      <c r="B35" s="386">
        <v>2</v>
      </c>
      <c r="C35" s="67" t="s">
        <v>1001</v>
      </c>
      <c r="D35" s="380">
        <v>2</v>
      </c>
      <c r="E35" s="380">
        <v>1</v>
      </c>
      <c r="F35" s="380">
        <v>1</v>
      </c>
      <c r="G35" s="880" t="s">
        <v>158</v>
      </c>
      <c r="H35" s="8">
        <v>1</v>
      </c>
      <c r="I35" s="8">
        <v>0</v>
      </c>
      <c r="J35" s="8">
        <v>1</v>
      </c>
      <c r="K35" s="8">
        <v>0</v>
      </c>
      <c r="L35" s="7">
        <f t="shared" si="0"/>
        <v>0.17</v>
      </c>
      <c r="M35" s="377"/>
      <c r="N35" s="144">
        <f t="shared" si="1"/>
        <v>2</v>
      </c>
    </row>
    <row r="36" spans="1:14" ht="21">
      <c r="A36" s="1182"/>
      <c r="B36" s="386">
        <v>3</v>
      </c>
      <c r="C36" s="67" t="s">
        <v>1002</v>
      </c>
      <c r="D36" s="380">
        <v>2</v>
      </c>
      <c r="E36" s="380">
        <v>0</v>
      </c>
      <c r="F36" s="380">
        <v>2</v>
      </c>
      <c r="G36" s="880" t="s">
        <v>158</v>
      </c>
      <c r="H36" s="8">
        <v>1</v>
      </c>
      <c r="I36" s="8">
        <v>0</v>
      </c>
      <c r="J36" s="8">
        <v>1</v>
      </c>
      <c r="K36" s="8">
        <v>0</v>
      </c>
      <c r="L36" s="7">
        <f t="shared" si="0"/>
        <v>0.34</v>
      </c>
      <c r="M36" s="377" t="s">
        <v>967</v>
      </c>
      <c r="N36" s="144">
        <f t="shared" si="1"/>
        <v>1</v>
      </c>
    </row>
    <row r="37" spans="1:14" ht="21">
      <c r="A37" s="910" t="s">
        <v>1003</v>
      </c>
      <c r="B37" s="386">
        <v>1</v>
      </c>
      <c r="C37" s="67" t="s">
        <v>1004</v>
      </c>
      <c r="D37" s="380">
        <v>6</v>
      </c>
      <c r="E37" s="380">
        <v>4</v>
      </c>
      <c r="F37" s="380">
        <v>2</v>
      </c>
      <c r="G37" s="880" t="s">
        <v>158</v>
      </c>
      <c r="H37" s="8">
        <v>2</v>
      </c>
      <c r="I37" s="8">
        <v>0</v>
      </c>
      <c r="J37" s="8">
        <v>2</v>
      </c>
      <c r="K37" s="8">
        <v>0</v>
      </c>
      <c r="L37" s="7">
        <f t="shared" si="0"/>
        <v>0.12</v>
      </c>
      <c r="M37" s="377"/>
      <c r="N37" s="144">
        <f t="shared" si="1"/>
        <v>6</v>
      </c>
    </row>
    <row r="38" spans="1:14" ht="21">
      <c r="A38" s="910" t="s">
        <v>1005</v>
      </c>
      <c r="B38" s="386">
        <v>1</v>
      </c>
      <c r="C38" s="67" t="s">
        <v>1006</v>
      </c>
      <c r="D38" s="380">
        <v>10</v>
      </c>
      <c r="E38" s="380">
        <v>5</v>
      </c>
      <c r="F38" s="380">
        <v>5</v>
      </c>
      <c r="G38" s="880" t="s">
        <v>158</v>
      </c>
      <c r="H38" s="8">
        <v>4</v>
      </c>
      <c r="I38" s="8">
        <v>0</v>
      </c>
      <c r="J38" s="8">
        <v>4</v>
      </c>
      <c r="K38" s="8">
        <v>0</v>
      </c>
      <c r="L38" s="7">
        <f t="shared" si="0"/>
        <v>0.15000000000000002</v>
      </c>
      <c r="M38" s="377" t="s">
        <v>1007</v>
      </c>
      <c r="N38" s="144">
        <f t="shared" si="1"/>
        <v>9</v>
      </c>
    </row>
    <row r="39" spans="1:14" ht="21">
      <c r="A39" s="910" t="s">
        <v>1008</v>
      </c>
      <c r="B39" s="386">
        <v>1</v>
      </c>
      <c r="C39" s="67" t="s">
        <v>1009</v>
      </c>
      <c r="D39" s="380">
        <v>10</v>
      </c>
      <c r="E39" s="380">
        <v>4</v>
      </c>
      <c r="F39" s="380">
        <v>6</v>
      </c>
      <c r="G39" s="880" t="s">
        <v>158</v>
      </c>
      <c r="H39" s="8">
        <v>5</v>
      </c>
      <c r="I39" s="8">
        <v>0</v>
      </c>
      <c r="J39" s="8">
        <v>5</v>
      </c>
      <c r="K39" s="8">
        <v>0</v>
      </c>
      <c r="L39" s="7">
        <f t="shared" si="0"/>
        <v>0.19</v>
      </c>
      <c r="M39" s="377" t="s">
        <v>1010</v>
      </c>
      <c r="N39" s="144">
        <f t="shared" si="1"/>
        <v>9</v>
      </c>
    </row>
    <row r="40" spans="1:14" ht="21">
      <c r="A40" s="910" t="s">
        <v>1011</v>
      </c>
      <c r="B40" s="386">
        <v>1</v>
      </c>
      <c r="C40" s="67" t="s">
        <v>1012</v>
      </c>
      <c r="D40" s="380">
        <v>3</v>
      </c>
      <c r="E40" s="380">
        <v>2</v>
      </c>
      <c r="F40" s="380">
        <v>1</v>
      </c>
      <c r="G40" s="880" t="s">
        <v>158</v>
      </c>
      <c r="H40" s="8">
        <v>1</v>
      </c>
      <c r="I40" s="8">
        <v>0</v>
      </c>
      <c r="J40" s="8">
        <v>1</v>
      </c>
      <c r="K40" s="8">
        <v>0</v>
      </c>
      <c r="L40" s="7">
        <f t="shared" si="0"/>
        <v>0.12</v>
      </c>
      <c r="M40" s="377"/>
      <c r="N40" s="144">
        <f t="shared" si="1"/>
        <v>3</v>
      </c>
    </row>
    <row r="41" spans="1:14" ht="21">
      <c r="A41" s="910" t="s">
        <v>1013</v>
      </c>
      <c r="B41" s="386">
        <v>1</v>
      </c>
      <c r="C41" s="67" t="s">
        <v>1014</v>
      </c>
      <c r="D41" s="380">
        <v>6</v>
      </c>
      <c r="E41" s="380">
        <v>2</v>
      </c>
      <c r="F41" s="380">
        <v>4</v>
      </c>
      <c r="G41" s="880" t="s">
        <v>158</v>
      </c>
      <c r="H41" s="8">
        <v>2</v>
      </c>
      <c r="I41" s="8">
        <v>0</v>
      </c>
      <c r="J41" s="8">
        <v>2</v>
      </c>
      <c r="K41" s="8">
        <v>0</v>
      </c>
      <c r="L41" s="7">
        <f t="shared" si="0"/>
        <v>0.17</v>
      </c>
      <c r="M41" s="377" t="s">
        <v>1015</v>
      </c>
      <c r="N41" s="144">
        <f t="shared" si="1"/>
        <v>4</v>
      </c>
    </row>
    <row r="42" spans="1:14" ht="21">
      <c r="A42" s="910" t="s">
        <v>1016</v>
      </c>
      <c r="B42" s="386">
        <v>1</v>
      </c>
      <c r="C42" s="67" t="s">
        <v>1017</v>
      </c>
      <c r="D42" s="380">
        <v>3</v>
      </c>
      <c r="E42" s="380">
        <v>3</v>
      </c>
      <c r="F42" s="380">
        <v>0</v>
      </c>
      <c r="G42" s="880"/>
      <c r="H42" s="8">
        <v>0</v>
      </c>
      <c r="I42" s="8">
        <v>0</v>
      </c>
      <c r="J42" s="8">
        <v>0</v>
      </c>
      <c r="K42" s="8">
        <v>0</v>
      </c>
      <c r="L42" s="7">
        <f t="shared" si="0"/>
        <v>0</v>
      </c>
      <c r="M42" s="377"/>
      <c r="N42" s="144">
        <f t="shared" si="1"/>
        <v>3</v>
      </c>
    </row>
    <row r="43" spans="1:14" ht="21">
      <c r="A43" s="910" t="s">
        <v>1018</v>
      </c>
      <c r="B43" s="386">
        <v>1</v>
      </c>
      <c r="C43" s="67" t="s">
        <v>1019</v>
      </c>
      <c r="D43" s="380">
        <v>2</v>
      </c>
      <c r="E43" s="380">
        <v>2</v>
      </c>
      <c r="F43" s="380">
        <v>0</v>
      </c>
      <c r="G43" s="880"/>
      <c r="H43" s="8">
        <v>0</v>
      </c>
      <c r="I43" s="8">
        <v>0</v>
      </c>
      <c r="J43" s="8">
        <v>0</v>
      </c>
      <c r="K43" s="8">
        <v>0</v>
      </c>
      <c r="L43" s="7">
        <f t="shared" si="0"/>
        <v>0</v>
      </c>
      <c r="M43" s="377"/>
      <c r="N43" s="144">
        <f t="shared" si="1"/>
        <v>2</v>
      </c>
    </row>
    <row r="44" spans="1:14" ht="21">
      <c r="A44" s="910" t="s">
        <v>1020</v>
      </c>
      <c r="B44" s="386">
        <v>1</v>
      </c>
      <c r="C44" s="67" t="s">
        <v>1021</v>
      </c>
      <c r="D44" s="380">
        <v>1</v>
      </c>
      <c r="E44" s="380">
        <v>1</v>
      </c>
      <c r="F44" s="380">
        <v>0</v>
      </c>
      <c r="G44" s="880"/>
      <c r="H44" s="8">
        <v>0</v>
      </c>
      <c r="I44" s="8">
        <v>0</v>
      </c>
      <c r="J44" s="8">
        <v>0</v>
      </c>
      <c r="K44" s="8">
        <v>0</v>
      </c>
      <c r="L44" s="7">
        <f t="shared" si="0"/>
        <v>0</v>
      </c>
      <c r="M44" s="377"/>
      <c r="N44" s="144">
        <f t="shared" si="1"/>
        <v>1</v>
      </c>
    </row>
    <row r="45" spans="1:14" ht="21">
      <c r="A45" s="1182" t="s">
        <v>1022</v>
      </c>
      <c r="B45" s="386">
        <v>1</v>
      </c>
      <c r="C45" s="67" t="s">
        <v>1023</v>
      </c>
      <c r="D45" s="380">
        <v>11</v>
      </c>
      <c r="E45" s="380">
        <v>9</v>
      </c>
      <c r="F45" s="380">
        <v>2</v>
      </c>
      <c r="G45" s="880" t="s">
        <v>48</v>
      </c>
      <c r="H45" s="8">
        <v>0</v>
      </c>
      <c r="I45" s="8">
        <v>0</v>
      </c>
      <c r="J45" s="8">
        <v>0</v>
      </c>
      <c r="K45" s="8">
        <v>0</v>
      </c>
      <c r="L45" s="7">
        <f t="shared" si="0"/>
        <v>0</v>
      </c>
      <c r="M45" s="377"/>
      <c r="N45" s="144">
        <f t="shared" si="1"/>
        <v>9</v>
      </c>
    </row>
    <row r="46" spans="1:14" ht="21">
      <c r="A46" s="1182"/>
      <c r="B46" s="386">
        <v>2</v>
      </c>
      <c r="C46" s="67" t="s">
        <v>1024</v>
      </c>
      <c r="D46" s="380">
        <v>17</v>
      </c>
      <c r="E46" s="380">
        <v>15</v>
      </c>
      <c r="F46" s="380">
        <v>2</v>
      </c>
      <c r="G46" s="880" t="s">
        <v>48</v>
      </c>
      <c r="H46" s="8">
        <v>0</v>
      </c>
      <c r="I46" s="8">
        <v>0</v>
      </c>
      <c r="J46" s="8">
        <v>0</v>
      </c>
      <c r="K46" s="8">
        <v>0</v>
      </c>
      <c r="L46" s="7">
        <f t="shared" si="0"/>
        <v>0</v>
      </c>
      <c r="M46" s="377"/>
      <c r="N46" s="144">
        <f t="shared" si="1"/>
        <v>15</v>
      </c>
    </row>
    <row r="47" spans="1:14" ht="21">
      <c r="A47" s="1182"/>
      <c r="B47" s="386">
        <v>3</v>
      </c>
      <c r="C47" s="67" t="s">
        <v>1025</v>
      </c>
      <c r="D47" s="380">
        <v>1</v>
      </c>
      <c r="E47" s="380">
        <v>1</v>
      </c>
      <c r="F47" s="380">
        <v>0</v>
      </c>
      <c r="G47" s="880"/>
      <c r="H47" s="8">
        <v>0</v>
      </c>
      <c r="I47" s="8">
        <v>0</v>
      </c>
      <c r="J47" s="8">
        <v>0</v>
      </c>
      <c r="K47" s="8">
        <v>0</v>
      </c>
      <c r="L47" s="7">
        <f t="shared" si="0"/>
        <v>0</v>
      </c>
      <c r="M47" s="377"/>
      <c r="N47" s="144">
        <f t="shared" si="1"/>
        <v>1</v>
      </c>
    </row>
    <row r="48" spans="1:14" ht="21">
      <c r="A48" s="910" t="s">
        <v>1026</v>
      </c>
      <c r="B48" s="386">
        <v>1</v>
      </c>
      <c r="C48" s="67" t="s">
        <v>1027</v>
      </c>
      <c r="D48" s="380">
        <v>1</v>
      </c>
      <c r="E48" s="380">
        <v>1</v>
      </c>
      <c r="F48" s="380">
        <v>0</v>
      </c>
      <c r="G48" s="880"/>
      <c r="H48" s="8">
        <v>0</v>
      </c>
      <c r="I48" s="8">
        <v>0</v>
      </c>
      <c r="J48" s="8">
        <v>0</v>
      </c>
      <c r="K48" s="8">
        <v>0</v>
      </c>
      <c r="L48" s="7">
        <f t="shared" si="0"/>
        <v>0</v>
      </c>
      <c r="M48" s="377"/>
      <c r="N48" s="144">
        <f t="shared" si="1"/>
        <v>1</v>
      </c>
    </row>
    <row r="49" spans="1:14" ht="21">
      <c r="A49" s="1182" t="s">
        <v>1028</v>
      </c>
      <c r="B49" s="386">
        <v>1</v>
      </c>
      <c r="C49" s="67" t="s">
        <v>1029</v>
      </c>
      <c r="D49" s="380">
        <v>10</v>
      </c>
      <c r="E49" s="380">
        <v>6</v>
      </c>
      <c r="F49" s="380">
        <v>4</v>
      </c>
      <c r="G49" s="880" t="s">
        <v>158</v>
      </c>
      <c r="H49" s="8">
        <v>4</v>
      </c>
      <c r="I49" s="8">
        <v>0</v>
      </c>
      <c r="J49" s="8">
        <v>4</v>
      </c>
      <c r="K49" s="8">
        <v>0</v>
      </c>
      <c r="L49" s="7">
        <f t="shared" si="0"/>
        <v>0.14000000000000001</v>
      </c>
      <c r="M49" s="377"/>
      <c r="N49" s="144">
        <f t="shared" si="1"/>
        <v>10</v>
      </c>
    </row>
    <row r="50" spans="1:14" ht="21">
      <c r="A50" s="1182"/>
      <c r="B50" s="386">
        <v>2</v>
      </c>
      <c r="C50" s="67" t="s">
        <v>1030</v>
      </c>
      <c r="D50" s="380">
        <v>9</v>
      </c>
      <c r="E50" s="380">
        <v>6</v>
      </c>
      <c r="F50" s="380">
        <v>3</v>
      </c>
      <c r="G50" s="880" t="s">
        <v>158</v>
      </c>
      <c r="H50" s="8">
        <v>4</v>
      </c>
      <c r="I50" s="8">
        <v>0</v>
      </c>
      <c r="J50" s="8">
        <v>4</v>
      </c>
      <c r="K50" s="8">
        <v>0</v>
      </c>
      <c r="L50" s="7">
        <f t="shared" si="0"/>
        <v>0.14000000000000001</v>
      </c>
      <c r="M50" s="377" t="s">
        <v>1031</v>
      </c>
      <c r="N50" s="144">
        <f t="shared" si="1"/>
        <v>10</v>
      </c>
    </row>
    <row r="51" spans="1:14" ht="21">
      <c r="A51" s="1182"/>
      <c r="B51" s="386">
        <v>3</v>
      </c>
      <c r="C51" s="67" t="s">
        <v>1032</v>
      </c>
      <c r="D51" s="380">
        <v>10</v>
      </c>
      <c r="E51" s="380">
        <v>6</v>
      </c>
      <c r="F51" s="380">
        <v>4</v>
      </c>
      <c r="G51" s="880" t="s">
        <v>158</v>
      </c>
      <c r="H51" s="8">
        <v>4</v>
      </c>
      <c r="I51" s="8">
        <v>0</v>
      </c>
      <c r="J51" s="8">
        <v>4</v>
      </c>
      <c r="K51" s="8">
        <v>0</v>
      </c>
      <c r="L51" s="7">
        <f t="shared" si="0"/>
        <v>0.14000000000000001</v>
      </c>
      <c r="M51" s="377"/>
      <c r="N51" s="144">
        <f t="shared" si="1"/>
        <v>10</v>
      </c>
    </row>
    <row r="52" spans="1:14" ht="21">
      <c r="A52" s="1182" t="s">
        <v>1033</v>
      </c>
      <c r="B52" s="386">
        <v>1</v>
      </c>
      <c r="C52" s="67" t="s">
        <v>1034</v>
      </c>
      <c r="D52" s="380">
        <v>5</v>
      </c>
      <c r="E52" s="380">
        <v>3</v>
      </c>
      <c r="F52" s="380">
        <v>2</v>
      </c>
      <c r="G52" s="880" t="s">
        <v>158</v>
      </c>
      <c r="H52" s="8">
        <v>0</v>
      </c>
      <c r="I52" s="8">
        <v>0</v>
      </c>
      <c r="J52" s="8">
        <v>0</v>
      </c>
      <c r="K52" s="8">
        <v>0</v>
      </c>
      <c r="L52" s="7">
        <f t="shared" si="0"/>
        <v>0</v>
      </c>
      <c r="M52" s="377" t="s">
        <v>1035</v>
      </c>
      <c r="N52" s="144">
        <f t="shared" si="1"/>
        <v>3</v>
      </c>
    </row>
    <row r="53" spans="1:14" ht="21">
      <c r="A53" s="1182"/>
      <c r="B53" s="386">
        <v>2</v>
      </c>
      <c r="C53" s="67" t="s">
        <v>1036</v>
      </c>
      <c r="D53" s="380">
        <v>5</v>
      </c>
      <c r="E53" s="380">
        <v>3</v>
      </c>
      <c r="F53" s="380">
        <v>2</v>
      </c>
      <c r="G53" s="880" t="s">
        <v>158</v>
      </c>
      <c r="H53" s="8">
        <v>2</v>
      </c>
      <c r="I53" s="8">
        <v>0</v>
      </c>
      <c r="J53" s="8">
        <v>2</v>
      </c>
      <c r="K53" s="8">
        <v>0</v>
      </c>
      <c r="L53" s="7">
        <f t="shared" si="0"/>
        <v>0.14000000000000001</v>
      </c>
      <c r="M53" s="377"/>
      <c r="N53" s="144">
        <f t="shared" si="1"/>
        <v>5</v>
      </c>
    </row>
    <row r="54" spans="1:14" ht="21">
      <c r="A54" s="910" t="s">
        <v>1037</v>
      </c>
      <c r="B54" s="386">
        <v>1</v>
      </c>
      <c r="C54" s="67" t="s">
        <v>1038</v>
      </c>
      <c r="D54" s="380">
        <v>2</v>
      </c>
      <c r="E54" s="380">
        <v>2</v>
      </c>
      <c r="F54" s="380">
        <v>0</v>
      </c>
      <c r="G54" s="880"/>
      <c r="H54" s="8">
        <v>0</v>
      </c>
      <c r="I54" s="8">
        <v>0</v>
      </c>
      <c r="J54" s="8">
        <v>0</v>
      </c>
      <c r="K54" s="8">
        <v>0</v>
      </c>
      <c r="L54" s="7">
        <f t="shared" si="0"/>
        <v>0</v>
      </c>
      <c r="M54" s="377"/>
      <c r="N54" s="144">
        <f t="shared" si="1"/>
        <v>2</v>
      </c>
    </row>
    <row r="55" spans="1:14" ht="21">
      <c r="A55" s="1182" t="s">
        <v>1039</v>
      </c>
      <c r="B55" s="386">
        <v>1</v>
      </c>
      <c r="C55" s="67" t="s">
        <v>1040</v>
      </c>
      <c r="D55" s="380">
        <v>6</v>
      </c>
      <c r="E55" s="380">
        <v>5</v>
      </c>
      <c r="F55" s="380">
        <v>1</v>
      </c>
      <c r="G55" s="880" t="s">
        <v>158</v>
      </c>
      <c r="H55" s="8">
        <v>1</v>
      </c>
      <c r="I55" s="8">
        <v>0</v>
      </c>
      <c r="J55" s="8">
        <v>1</v>
      </c>
      <c r="K55" s="8">
        <v>0</v>
      </c>
      <c r="L55" s="7">
        <f t="shared" si="0"/>
        <v>6.0000000000000005E-2</v>
      </c>
      <c r="M55" s="377"/>
      <c r="N55" s="144">
        <f t="shared" si="1"/>
        <v>6</v>
      </c>
    </row>
    <row r="56" spans="1:14" ht="21">
      <c r="A56" s="1182"/>
      <c r="B56" s="386">
        <v>2</v>
      </c>
      <c r="C56" s="67" t="s">
        <v>1041</v>
      </c>
      <c r="D56" s="380">
        <v>4</v>
      </c>
      <c r="E56" s="380">
        <v>3</v>
      </c>
      <c r="F56" s="380">
        <v>1</v>
      </c>
      <c r="G56" s="880" t="s">
        <v>158</v>
      </c>
      <c r="H56" s="8">
        <v>0</v>
      </c>
      <c r="I56" s="8">
        <v>0</v>
      </c>
      <c r="J56" s="8">
        <v>0</v>
      </c>
      <c r="K56" s="8">
        <v>0</v>
      </c>
      <c r="L56" s="7">
        <f t="shared" si="0"/>
        <v>0</v>
      </c>
      <c r="M56" s="377" t="s">
        <v>970</v>
      </c>
      <c r="N56" s="144">
        <f t="shared" si="1"/>
        <v>3</v>
      </c>
    </row>
    <row r="57" spans="1:14" ht="21">
      <c r="A57" s="910" t="s">
        <v>1042</v>
      </c>
      <c r="B57" s="386">
        <v>1</v>
      </c>
      <c r="C57" s="67" t="s">
        <v>1043</v>
      </c>
      <c r="D57" s="380">
        <v>2</v>
      </c>
      <c r="E57" s="380">
        <v>1</v>
      </c>
      <c r="F57" s="380">
        <v>1</v>
      </c>
      <c r="G57" s="880" t="s">
        <v>158</v>
      </c>
      <c r="H57" s="8">
        <v>0</v>
      </c>
      <c r="I57" s="8">
        <v>0</v>
      </c>
      <c r="J57" s="8">
        <v>0</v>
      </c>
      <c r="K57" s="8">
        <v>0</v>
      </c>
      <c r="L57" s="7">
        <f t="shared" si="0"/>
        <v>0</v>
      </c>
      <c r="M57" s="377" t="s">
        <v>970</v>
      </c>
      <c r="N57" s="144">
        <f t="shared" si="1"/>
        <v>1</v>
      </c>
    </row>
    <row r="58" spans="1:14" ht="21">
      <c r="A58" s="1183" t="s">
        <v>1044</v>
      </c>
      <c r="B58" s="386">
        <v>1</v>
      </c>
      <c r="C58" s="67" t="s">
        <v>1045</v>
      </c>
      <c r="D58" s="380">
        <v>0</v>
      </c>
      <c r="E58" s="380">
        <v>0</v>
      </c>
      <c r="F58" s="380">
        <v>0</v>
      </c>
      <c r="G58" s="880" t="s">
        <v>158</v>
      </c>
      <c r="H58" s="8">
        <v>1</v>
      </c>
      <c r="I58" s="8">
        <v>0</v>
      </c>
      <c r="J58" s="8">
        <v>1</v>
      </c>
      <c r="K58" s="8">
        <v>0</v>
      </c>
      <c r="L58" s="7">
        <f t="shared" si="0"/>
        <v>0.34</v>
      </c>
      <c r="M58" s="377" t="s">
        <v>1046</v>
      </c>
      <c r="N58" s="144">
        <f t="shared" si="1"/>
        <v>1</v>
      </c>
    </row>
    <row r="59" spans="1:14" ht="21">
      <c r="A59" s="1184"/>
      <c r="B59" s="386">
        <v>2</v>
      </c>
      <c r="C59" s="67" t="s">
        <v>1047</v>
      </c>
      <c r="D59" s="380">
        <v>1</v>
      </c>
      <c r="E59" s="380">
        <v>1</v>
      </c>
      <c r="F59" s="380">
        <v>0</v>
      </c>
      <c r="G59" s="880"/>
      <c r="H59" s="8">
        <v>0</v>
      </c>
      <c r="I59" s="8">
        <v>0</v>
      </c>
      <c r="J59" s="8">
        <v>0</v>
      </c>
      <c r="K59" s="8">
        <v>0</v>
      </c>
      <c r="L59" s="7">
        <f t="shared" si="0"/>
        <v>0</v>
      </c>
      <c r="M59" s="377"/>
      <c r="N59" s="144">
        <f t="shared" si="1"/>
        <v>1</v>
      </c>
    </row>
    <row r="60" spans="1:14" ht="21">
      <c r="A60" s="910" t="s">
        <v>1048</v>
      </c>
      <c r="B60" s="386">
        <v>1</v>
      </c>
      <c r="C60" s="67" t="s">
        <v>1049</v>
      </c>
      <c r="D60" s="380">
        <v>1</v>
      </c>
      <c r="E60" s="380">
        <v>1</v>
      </c>
      <c r="F60" s="380">
        <v>0</v>
      </c>
      <c r="G60" s="880"/>
      <c r="H60" s="8">
        <v>0</v>
      </c>
      <c r="I60" s="8">
        <v>0</v>
      </c>
      <c r="J60" s="8">
        <v>0</v>
      </c>
      <c r="K60" s="8">
        <v>0</v>
      </c>
      <c r="L60" s="7">
        <f t="shared" si="0"/>
        <v>0</v>
      </c>
      <c r="M60" s="377"/>
      <c r="N60" s="144">
        <f t="shared" si="1"/>
        <v>1</v>
      </c>
    </row>
    <row r="61" spans="1:14" ht="21">
      <c r="A61" s="910" t="s">
        <v>1050</v>
      </c>
      <c r="B61" s="386">
        <v>1</v>
      </c>
      <c r="C61" s="67" t="s">
        <v>1051</v>
      </c>
      <c r="D61" s="380">
        <v>1</v>
      </c>
      <c r="E61" s="380">
        <v>1</v>
      </c>
      <c r="F61" s="380">
        <v>0</v>
      </c>
      <c r="G61" s="880"/>
      <c r="H61" s="8">
        <v>0</v>
      </c>
      <c r="I61" s="8">
        <v>0</v>
      </c>
      <c r="J61" s="8">
        <v>0</v>
      </c>
      <c r="K61" s="8">
        <v>0</v>
      </c>
      <c r="L61" s="7">
        <f t="shared" si="0"/>
        <v>0</v>
      </c>
      <c r="M61" s="377"/>
      <c r="N61" s="144">
        <f t="shared" si="1"/>
        <v>1</v>
      </c>
    </row>
    <row r="62" spans="1:14" ht="21">
      <c r="A62" s="1182" t="s">
        <v>1052</v>
      </c>
      <c r="B62" s="386">
        <v>1</v>
      </c>
      <c r="C62" s="67" t="s">
        <v>1053</v>
      </c>
      <c r="D62" s="380">
        <v>1</v>
      </c>
      <c r="E62" s="380">
        <v>1</v>
      </c>
      <c r="F62" s="380">
        <v>0</v>
      </c>
      <c r="G62" s="880"/>
      <c r="H62" s="8">
        <v>0</v>
      </c>
      <c r="I62" s="8">
        <v>0</v>
      </c>
      <c r="J62" s="8">
        <v>0</v>
      </c>
      <c r="K62" s="8">
        <v>0</v>
      </c>
      <c r="L62" s="7">
        <f t="shared" si="0"/>
        <v>0</v>
      </c>
      <c r="M62" s="377"/>
      <c r="N62" s="144">
        <f t="shared" si="1"/>
        <v>1</v>
      </c>
    </row>
    <row r="63" spans="1:14" ht="21">
      <c r="A63" s="1182"/>
      <c r="B63" s="386">
        <v>2</v>
      </c>
      <c r="C63" s="67" t="s">
        <v>1054</v>
      </c>
      <c r="D63" s="380">
        <v>1</v>
      </c>
      <c r="E63" s="380">
        <v>1</v>
      </c>
      <c r="F63" s="380">
        <v>0</v>
      </c>
      <c r="G63" s="880"/>
      <c r="H63" s="8">
        <v>0</v>
      </c>
      <c r="I63" s="8">
        <v>0</v>
      </c>
      <c r="J63" s="8">
        <v>0</v>
      </c>
      <c r="K63" s="8">
        <v>0</v>
      </c>
      <c r="L63" s="7">
        <f t="shared" si="0"/>
        <v>0</v>
      </c>
      <c r="M63" s="377"/>
      <c r="N63" s="144">
        <f t="shared" si="1"/>
        <v>1</v>
      </c>
    </row>
    <row r="64" spans="1:14" ht="21">
      <c r="A64" s="1182" t="s">
        <v>1055</v>
      </c>
      <c r="B64" s="386">
        <v>1</v>
      </c>
      <c r="C64" s="67" t="s">
        <v>1056</v>
      </c>
      <c r="D64" s="380">
        <v>1</v>
      </c>
      <c r="E64" s="380">
        <v>1</v>
      </c>
      <c r="F64" s="380">
        <v>0</v>
      </c>
      <c r="G64" s="880" t="s">
        <v>158</v>
      </c>
      <c r="H64" s="8">
        <v>1</v>
      </c>
      <c r="I64" s="8">
        <v>0</v>
      </c>
      <c r="J64" s="8">
        <v>1</v>
      </c>
      <c r="K64" s="8">
        <v>0</v>
      </c>
      <c r="L64" s="7">
        <f t="shared" si="0"/>
        <v>0.17</v>
      </c>
      <c r="M64" s="377" t="s">
        <v>1057</v>
      </c>
      <c r="N64" s="144">
        <f t="shared" si="1"/>
        <v>2</v>
      </c>
    </row>
    <row r="65" spans="1:14" ht="21">
      <c r="A65" s="1182"/>
      <c r="B65" s="386">
        <v>2</v>
      </c>
      <c r="C65" s="67" t="s">
        <v>1058</v>
      </c>
      <c r="D65" s="380">
        <v>2</v>
      </c>
      <c r="E65" s="380">
        <v>2</v>
      </c>
      <c r="F65" s="380">
        <v>0</v>
      </c>
      <c r="G65" s="880" t="s">
        <v>158</v>
      </c>
      <c r="H65" s="8">
        <v>1</v>
      </c>
      <c r="I65" s="8">
        <v>0</v>
      </c>
      <c r="J65" s="8">
        <v>1</v>
      </c>
      <c r="K65" s="8">
        <v>0</v>
      </c>
      <c r="L65" s="7">
        <f t="shared" si="0"/>
        <v>0.12</v>
      </c>
      <c r="M65" s="377" t="s">
        <v>1057</v>
      </c>
      <c r="N65" s="144">
        <f t="shared" si="1"/>
        <v>3</v>
      </c>
    </row>
    <row r="66" spans="1:14" ht="21">
      <c r="A66" s="910" t="s">
        <v>1059</v>
      </c>
      <c r="B66" s="386">
        <v>1</v>
      </c>
      <c r="C66" s="67" t="s">
        <v>1060</v>
      </c>
      <c r="D66" s="380">
        <v>1</v>
      </c>
      <c r="E66" s="380">
        <v>1</v>
      </c>
      <c r="F66" s="380">
        <v>0</v>
      </c>
      <c r="G66" s="880"/>
      <c r="H66" s="8">
        <v>0</v>
      </c>
      <c r="I66" s="8">
        <v>0</v>
      </c>
      <c r="J66" s="8">
        <v>0</v>
      </c>
      <c r="K66" s="8">
        <v>0</v>
      </c>
      <c r="L66" s="7">
        <f t="shared" si="0"/>
        <v>0</v>
      </c>
      <c r="M66" s="377"/>
      <c r="N66" s="144">
        <f t="shared" si="1"/>
        <v>1</v>
      </c>
    </row>
    <row r="67" spans="1:14" ht="21">
      <c r="A67" s="910" t="s">
        <v>1061</v>
      </c>
      <c r="B67" s="386">
        <v>1</v>
      </c>
      <c r="C67" s="67" t="s">
        <v>1062</v>
      </c>
      <c r="D67" s="380">
        <v>1</v>
      </c>
      <c r="E67" s="380">
        <v>0</v>
      </c>
      <c r="F67" s="380">
        <v>1</v>
      </c>
      <c r="G67" s="880" t="s">
        <v>158</v>
      </c>
      <c r="H67" s="8">
        <v>1</v>
      </c>
      <c r="I67" s="8">
        <v>0</v>
      </c>
      <c r="J67" s="8">
        <v>1</v>
      </c>
      <c r="K67" s="8">
        <v>0</v>
      </c>
      <c r="L67" s="7">
        <f t="shared" ref="L67:L78" si="2">IF(AND(E67=0,G67="In Progress"),0,ROUNDUP(((I67+J67+K67)/3)/N67*100%,2))</f>
        <v>0.34</v>
      </c>
      <c r="M67" s="377"/>
      <c r="N67" s="144">
        <f t="shared" si="1"/>
        <v>1</v>
      </c>
    </row>
    <row r="68" spans="1:14" ht="21">
      <c r="A68" s="1182" t="s">
        <v>1063</v>
      </c>
      <c r="B68" s="386">
        <v>1</v>
      </c>
      <c r="C68" s="67" t="s">
        <v>1064</v>
      </c>
      <c r="D68" s="380">
        <v>3</v>
      </c>
      <c r="E68" s="380">
        <v>0</v>
      </c>
      <c r="F68" s="380">
        <v>3</v>
      </c>
      <c r="G68" s="880" t="s">
        <v>158</v>
      </c>
      <c r="H68" s="8">
        <v>3</v>
      </c>
      <c r="I68" s="8">
        <v>3</v>
      </c>
      <c r="J68" s="8">
        <v>3</v>
      </c>
      <c r="K68" s="8">
        <v>3</v>
      </c>
      <c r="L68" s="7">
        <f t="shared" si="2"/>
        <v>1</v>
      </c>
      <c r="M68" s="377"/>
      <c r="N68" s="144">
        <f t="shared" ref="N68:N78" si="3">E68+H68</f>
        <v>3</v>
      </c>
    </row>
    <row r="69" spans="1:14" ht="21">
      <c r="A69" s="1182"/>
      <c r="B69" s="386">
        <v>6</v>
      </c>
      <c r="C69" s="67" t="s">
        <v>1065</v>
      </c>
      <c r="D69" s="380">
        <v>7</v>
      </c>
      <c r="E69" s="380">
        <v>0</v>
      </c>
      <c r="F69" s="380">
        <v>7</v>
      </c>
      <c r="G69" s="880" t="s">
        <v>158</v>
      </c>
      <c r="H69" s="8">
        <v>7</v>
      </c>
      <c r="I69" s="8">
        <v>7</v>
      </c>
      <c r="J69" s="8">
        <v>7</v>
      </c>
      <c r="K69" s="8">
        <v>7</v>
      </c>
      <c r="L69" s="7">
        <f t="shared" si="2"/>
        <v>1</v>
      </c>
      <c r="M69" s="377"/>
      <c r="N69" s="144">
        <f t="shared" si="3"/>
        <v>7</v>
      </c>
    </row>
    <row r="70" spans="1:14" ht="21">
      <c r="A70" s="1182"/>
      <c r="B70" s="386">
        <v>7</v>
      </c>
      <c r="C70" s="67" t="s">
        <v>1066</v>
      </c>
      <c r="D70" s="380">
        <v>6</v>
      </c>
      <c r="E70" s="380">
        <v>0</v>
      </c>
      <c r="F70" s="380">
        <v>6</v>
      </c>
      <c r="G70" s="880" t="s">
        <v>158</v>
      </c>
      <c r="H70" s="8">
        <v>6</v>
      </c>
      <c r="I70" s="8">
        <v>6</v>
      </c>
      <c r="J70" s="8">
        <v>6</v>
      </c>
      <c r="K70" s="8">
        <v>6</v>
      </c>
      <c r="L70" s="7">
        <f t="shared" si="2"/>
        <v>1</v>
      </c>
      <c r="M70" s="377"/>
      <c r="N70" s="144">
        <f t="shared" si="3"/>
        <v>6</v>
      </c>
    </row>
    <row r="71" spans="1:14" ht="21">
      <c r="A71" s="1182"/>
      <c r="B71" s="386">
        <v>8</v>
      </c>
      <c r="C71" s="67" t="s">
        <v>1067</v>
      </c>
      <c r="D71" s="380">
        <v>9</v>
      </c>
      <c r="E71" s="380">
        <v>0</v>
      </c>
      <c r="F71" s="380">
        <v>9</v>
      </c>
      <c r="G71" s="880" t="s">
        <v>158</v>
      </c>
      <c r="H71" s="8">
        <v>9</v>
      </c>
      <c r="I71" s="8">
        <v>9</v>
      </c>
      <c r="J71" s="8">
        <v>9</v>
      </c>
      <c r="K71" s="8">
        <v>9</v>
      </c>
      <c r="L71" s="7">
        <f t="shared" si="2"/>
        <v>1</v>
      </c>
      <c r="M71" s="377"/>
      <c r="N71" s="144">
        <f t="shared" si="3"/>
        <v>9</v>
      </c>
    </row>
    <row r="72" spans="1:14" ht="21">
      <c r="A72" s="910" t="s">
        <v>1068</v>
      </c>
      <c r="B72" s="386">
        <v>1</v>
      </c>
      <c r="C72" s="67" t="s">
        <v>1069</v>
      </c>
      <c r="D72" s="380">
        <v>1</v>
      </c>
      <c r="E72" s="380">
        <v>0</v>
      </c>
      <c r="F72" s="380">
        <v>1</v>
      </c>
      <c r="G72" s="880" t="s">
        <v>158</v>
      </c>
      <c r="H72" s="8">
        <v>1</v>
      </c>
      <c r="I72" s="8">
        <v>0</v>
      </c>
      <c r="J72" s="8">
        <v>1</v>
      </c>
      <c r="K72" s="8">
        <v>0</v>
      </c>
      <c r="L72" s="7">
        <f t="shared" si="2"/>
        <v>0.34</v>
      </c>
      <c r="M72" s="377"/>
      <c r="N72" s="144">
        <f t="shared" si="3"/>
        <v>1</v>
      </c>
    </row>
    <row r="73" spans="1:14" ht="21">
      <c r="A73" s="910" t="s">
        <v>1070</v>
      </c>
      <c r="B73" s="386">
        <v>1</v>
      </c>
      <c r="C73" s="67" t="s">
        <v>1071</v>
      </c>
      <c r="D73" s="380">
        <v>2</v>
      </c>
      <c r="E73" s="380">
        <v>0</v>
      </c>
      <c r="F73" s="380">
        <v>2</v>
      </c>
      <c r="G73" s="880" t="s">
        <v>158</v>
      </c>
      <c r="H73" s="8">
        <v>2</v>
      </c>
      <c r="I73" s="8">
        <v>0</v>
      </c>
      <c r="J73" s="8">
        <v>2</v>
      </c>
      <c r="K73" s="8">
        <v>0</v>
      </c>
      <c r="L73" s="7">
        <f t="shared" si="2"/>
        <v>0.34</v>
      </c>
      <c r="M73" s="377"/>
      <c r="N73" s="144">
        <f t="shared" si="3"/>
        <v>2</v>
      </c>
    </row>
    <row r="74" spans="1:14" ht="21">
      <c r="A74" s="910" t="s">
        <v>1072</v>
      </c>
      <c r="B74" s="386">
        <v>1</v>
      </c>
      <c r="C74" s="67" t="s">
        <v>1073</v>
      </c>
      <c r="D74" s="380">
        <v>1</v>
      </c>
      <c r="E74" s="380">
        <v>0</v>
      </c>
      <c r="F74" s="380">
        <v>1</v>
      </c>
      <c r="G74" s="880" t="s">
        <v>158</v>
      </c>
      <c r="H74" s="8">
        <v>1</v>
      </c>
      <c r="I74" s="8">
        <v>0</v>
      </c>
      <c r="J74" s="8">
        <v>1</v>
      </c>
      <c r="K74" s="8">
        <v>0</v>
      </c>
      <c r="L74" s="7">
        <f t="shared" si="2"/>
        <v>0.34</v>
      </c>
      <c r="M74" s="377"/>
      <c r="N74" s="144">
        <f t="shared" si="3"/>
        <v>1</v>
      </c>
    </row>
    <row r="75" spans="1:14" ht="21">
      <c r="A75" s="913" t="s">
        <v>1074</v>
      </c>
      <c r="B75" s="386">
        <v>1</v>
      </c>
      <c r="C75" s="67" t="s">
        <v>1075</v>
      </c>
      <c r="D75" s="380">
        <v>1</v>
      </c>
      <c r="E75" s="380">
        <v>0</v>
      </c>
      <c r="F75" s="380">
        <v>1</v>
      </c>
      <c r="G75" s="880" t="s">
        <v>158</v>
      </c>
      <c r="H75" s="8">
        <v>1</v>
      </c>
      <c r="I75" s="8">
        <v>0</v>
      </c>
      <c r="J75" s="8">
        <v>1</v>
      </c>
      <c r="K75" s="8">
        <v>0</v>
      </c>
      <c r="L75" s="7">
        <f t="shared" si="2"/>
        <v>0.34</v>
      </c>
      <c r="M75" s="377"/>
      <c r="N75" s="144">
        <f t="shared" si="3"/>
        <v>1</v>
      </c>
    </row>
    <row r="76" spans="1:14" ht="21">
      <c r="A76" s="1190" t="s">
        <v>1076</v>
      </c>
      <c r="B76" s="387">
        <v>1</v>
      </c>
      <c r="C76" s="67"/>
      <c r="D76" s="380">
        <v>0</v>
      </c>
      <c r="E76" s="380">
        <v>0</v>
      </c>
      <c r="F76" s="380">
        <v>0</v>
      </c>
      <c r="G76" s="880" t="s">
        <v>158</v>
      </c>
      <c r="H76" s="8">
        <v>4</v>
      </c>
      <c r="I76" s="8">
        <v>0</v>
      </c>
      <c r="J76" s="8">
        <v>4</v>
      </c>
      <c r="K76" s="8">
        <v>0</v>
      </c>
      <c r="L76" s="7">
        <f t="shared" si="2"/>
        <v>0.34</v>
      </c>
      <c r="M76" s="377" t="s">
        <v>1077</v>
      </c>
      <c r="N76" s="144">
        <f t="shared" si="3"/>
        <v>4</v>
      </c>
    </row>
    <row r="77" spans="1:14" ht="21">
      <c r="A77" s="1191"/>
      <c r="B77" s="387">
        <v>2</v>
      </c>
      <c r="C77" s="67"/>
      <c r="D77" s="380">
        <v>0</v>
      </c>
      <c r="E77" s="380">
        <v>0</v>
      </c>
      <c r="F77" s="380">
        <v>0</v>
      </c>
      <c r="G77" s="880" t="s">
        <v>158</v>
      </c>
      <c r="H77" s="8">
        <v>3</v>
      </c>
      <c r="I77" s="8">
        <v>0</v>
      </c>
      <c r="J77" s="8">
        <v>3</v>
      </c>
      <c r="K77" s="8">
        <v>0</v>
      </c>
      <c r="L77" s="7">
        <f t="shared" si="2"/>
        <v>0.34</v>
      </c>
      <c r="M77" s="377" t="s">
        <v>1078</v>
      </c>
      <c r="N77" s="144">
        <f t="shared" si="3"/>
        <v>3</v>
      </c>
    </row>
    <row r="78" spans="1:14" ht="21">
      <c r="A78" s="1191"/>
      <c r="B78" s="388">
        <v>3</v>
      </c>
      <c r="C78" s="389"/>
      <c r="D78" s="390">
        <v>0</v>
      </c>
      <c r="E78" s="390">
        <v>0</v>
      </c>
      <c r="F78" s="390">
        <v>0</v>
      </c>
      <c r="G78" s="487" t="s">
        <v>158</v>
      </c>
      <c r="H78" s="486">
        <v>3</v>
      </c>
      <c r="I78" s="486">
        <v>0</v>
      </c>
      <c r="J78" s="486">
        <v>3</v>
      </c>
      <c r="K78" s="486">
        <v>0</v>
      </c>
      <c r="L78" s="241">
        <f t="shared" si="2"/>
        <v>0.34</v>
      </c>
      <c r="M78" s="899" t="s">
        <v>1078</v>
      </c>
      <c r="N78" s="306">
        <f t="shared" si="3"/>
        <v>3</v>
      </c>
    </row>
    <row r="79" spans="1:14" ht="54">
      <c r="A79" s="331" t="s">
        <v>1079</v>
      </c>
      <c r="B79" s="391" t="s">
        <v>41</v>
      </c>
      <c r="C79" s="392"/>
      <c r="D79" s="393">
        <v>0</v>
      </c>
      <c r="E79" s="393">
        <v>0</v>
      </c>
      <c r="F79" s="393">
        <v>0</v>
      </c>
      <c r="G79" s="329" t="s">
        <v>158</v>
      </c>
      <c r="H79" s="394">
        <v>3</v>
      </c>
      <c r="I79" s="394">
        <v>0</v>
      </c>
      <c r="J79" s="394">
        <v>3</v>
      </c>
      <c r="K79" s="394">
        <v>0</v>
      </c>
      <c r="L79" s="395">
        <f t="shared" ref="L79" si="4">IF(AND(E79=0,G79="In Progress"),0,ROUNDUP(((I79+J79+K79)/3)/N79*100%,2))</f>
        <v>0.34</v>
      </c>
      <c r="M79" s="330" t="s">
        <v>1078</v>
      </c>
      <c r="N79" s="144">
        <f t="shared" ref="N79" si="5">E79+H79</f>
        <v>3</v>
      </c>
    </row>
    <row r="80" spans="1:14" ht="21">
      <c r="A80" s="381"/>
      <c r="B80" s="382"/>
      <c r="C80" s="383" t="s">
        <v>259</v>
      </c>
      <c r="D80" s="68">
        <f>SUM(D3:D79)</f>
        <v>445</v>
      </c>
      <c r="E80" s="68">
        <f>SUM(E3:E79)</f>
        <v>289</v>
      </c>
      <c r="F80" s="68">
        <f>SUM(F3:F79)</f>
        <v>156</v>
      </c>
      <c r="G80" s="68">
        <f>SUMIF(G3:G79,"Done",F3:F79)</f>
        <v>152</v>
      </c>
      <c r="H80" s="68">
        <f>SUM(H3:H79)</f>
        <v>144</v>
      </c>
      <c r="I80" s="68">
        <f>SUM(I3:I79)</f>
        <v>58</v>
      </c>
      <c r="J80" s="68">
        <f>SUM(J3:J79)</f>
        <v>177</v>
      </c>
      <c r="K80" s="68">
        <f>SUM(K3:K79)</f>
        <v>58</v>
      </c>
      <c r="L80" s="68"/>
      <c r="M80" s="6"/>
      <c r="N80" s="68">
        <f>E80+H80</f>
        <v>433</v>
      </c>
    </row>
    <row r="81" spans="1:12" ht="21">
      <c r="A81" s="381"/>
      <c r="B81" s="382"/>
      <c r="C81" s="69" t="s">
        <v>260</v>
      </c>
      <c r="D81" s="70"/>
      <c r="E81" s="6"/>
      <c r="F81" s="6"/>
      <c r="G81" s="6"/>
      <c r="H81" s="72">
        <f>H80/D80</f>
        <v>0.32359550561797751</v>
      </c>
      <c r="I81" s="72">
        <f>I80/D80</f>
        <v>0.1303370786516854</v>
      </c>
      <c r="J81" s="72">
        <f>J80/D80</f>
        <v>0.39775280898876403</v>
      </c>
      <c r="K81" s="72">
        <f>K80/D80</f>
        <v>0.1303370786516854</v>
      </c>
      <c r="L81" s="72">
        <f>ROUNDUP(AVERAGE(L3:L79),2)</f>
        <v>0.18000000000000002</v>
      </c>
    </row>
    <row r="82" spans="1:12" ht="24" customHeight="1">
      <c r="A82" s="381" t="s">
        <v>1080</v>
      </c>
      <c r="B82" s="382"/>
      <c r="C82" s="396"/>
      <c r="D82" s="6"/>
      <c r="E82" s="6"/>
      <c r="F82" s="6"/>
      <c r="G82" s="6"/>
      <c r="H82" s="6"/>
      <c r="I82" s="6"/>
      <c r="J82" s="6"/>
      <c r="K82" s="6"/>
      <c r="L82" s="6"/>
    </row>
  </sheetData>
  <autoFilter ref="A2:D2" xr:uid="{EE30FD31-2E01-4AF4-9806-0C27F692DB33}"/>
  <mergeCells count="22">
    <mergeCell ref="A76:A78"/>
    <mergeCell ref="A1:C1"/>
    <mergeCell ref="D1:G1"/>
    <mergeCell ref="A5:A7"/>
    <mergeCell ref="A11:A13"/>
    <mergeCell ref="A68:A71"/>
    <mergeCell ref="A14:A16"/>
    <mergeCell ref="A17:A21"/>
    <mergeCell ref="A22:A27"/>
    <mergeCell ref="A29:A32"/>
    <mergeCell ref="A34:A36"/>
    <mergeCell ref="A45:A47"/>
    <mergeCell ref="A49:A51"/>
    <mergeCell ref="A52:A53"/>
    <mergeCell ref="A55:A56"/>
    <mergeCell ref="M1:M2"/>
    <mergeCell ref="N1:N2"/>
    <mergeCell ref="A62:A63"/>
    <mergeCell ref="A64:A65"/>
    <mergeCell ref="A58:A59"/>
    <mergeCell ref="H1:K1"/>
    <mergeCell ref="L1:L2"/>
  </mergeCells>
  <conditionalFormatting sqref="G3:G79">
    <cfRule type="cellIs" dxfId="31" priority="1" operator="equal">
      <formula>"Done"</formula>
    </cfRule>
    <cfRule type="cellIs" dxfId="30" priority="2" operator="equal">
      <formula>"In Progress"</formula>
    </cfRule>
  </conditionalFormatting>
  <dataValidations disablePrompts="1" count="1">
    <dataValidation type="list" allowBlank="1" showInputMessage="1" showErrorMessage="1" sqref="G3:G79" xr:uid="{DDA42911-E844-459B-91E9-52FEEC4F2812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8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1D74-A0ED-46CA-9199-1AF5782C6AD2}">
  <dimension ref="A1:Y98"/>
  <sheetViews>
    <sheetView zoomScale="70" zoomScaleNormal="70" workbookViewId="0">
      <pane ySplit="1" topLeftCell="A36" activePane="bottomLeft" state="frozen"/>
      <selection pane="bottomLeft" activeCell="AF36" sqref="AF36"/>
    </sheetView>
  </sheetViews>
  <sheetFormatPr defaultColWidth="10.88671875" defaultRowHeight="21"/>
  <cols>
    <col min="1" max="1" width="8.6640625" style="76" customWidth="1"/>
    <col min="2" max="2" width="16.109375" style="76" customWidth="1"/>
    <col min="3" max="3" width="6" style="76" customWidth="1"/>
    <col min="4" max="4" width="28" style="76" customWidth="1"/>
    <col min="5" max="5" width="17.5546875" style="76" customWidth="1"/>
    <col min="6" max="6" width="23.109375" style="76" bestFit="1" customWidth="1"/>
    <col min="7" max="7" width="12.88671875" style="76" hidden="1" customWidth="1"/>
    <col min="8" max="8" width="17" style="92" hidden="1" customWidth="1"/>
    <col min="9" max="9" width="15.33203125" style="93" hidden="1" customWidth="1"/>
    <col min="10" max="10" width="12.109375" style="93" hidden="1" customWidth="1"/>
    <col min="11" max="11" width="10.6640625" style="92" hidden="1" customWidth="1"/>
    <col min="12" max="12" width="12" style="76" hidden="1" customWidth="1"/>
    <col min="13" max="13" width="13.6640625" style="76" hidden="1" customWidth="1"/>
    <col min="14" max="14" width="10.44140625" style="76" hidden="1" customWidth="1"/>
    <col min="15" max="15" width="13.88671875" style="76" customWidth="1"/>
    <col min="16" max="16" width="12.88671875" style="76" customWidth="1"/>
    <col min="17" max="17" width="13.109375" style="76" customWidth="1"/>
    <col min="18" max="18" width="13.33203125" style="76" customWidth="1"/>
    <col min="19" max="19" width="11" style="76" customWidth="1"/>
    <col min="20" max="20" width="11.44140625" style="76" customWidth="1"/>
    <col min="21" max="22" width="14.88671875" style="76" customWidth="1"/>
    <col min="23" max="23" width="15.5546875" style="76" customWidth="1"/>
    <col min="24" max="24" width="48.33203125" style="76" hidden="1" customWidth="1"/>
    <col min="25" max="25" width="11.5546875" style="64" customWidth="1"/>
    <col min="26" max="16384" width="10.88671875" style="76"/>
  </cols>
  <sheetData>
    <row r="1" spans="1:25" s="96" customFormat="1" ht="42">
      <c r="A1" s="77" t="s">
        <v>261</v>
      </c>
      <c r="B1" s="78" t="s">
        <v>15</v>
      </c>
      <c r="C1" s="78" t="s">
        <v>17</v>
      </c>
      <c r="D1" s="78" t="s">
        <v>262</v>
      </c>
      <c r="E1" s="78" t="s">
        <v>263</v>
      </c>
      <c r="F1" s="78" t="s">
        <v>1081</v>
      </c>
      <c r="G1" s="78" t="s">
        <v>1082</v>
      </c>
      <c r="H1" s="78" t="s">
        <v>1083</v>
      </c>
      <c r="I1" s="78" t="s">
        <v>1084</v>
      </c>
      <c r="J1" s="78" t="s">
        <v>1085</v>
      </c>
      <c r="K1" s="78" t="s">
        <v>1086</v>
      </c>
      <c r="L1" s="94" t="s">
        <v>1087</v>
      </c>
      <c r="M1" s="94" t="s">
        <v>1088</v>
      </c>
      <c r="N1" s="94" t="s">
        <v>1089</v>
      </c>
      <c r="O1" s="79" t="s">
        <v>264</v>
      </c>
      <c r="P1" s="79" t="s">
        <v>265</v>
      </c>
      <c r="Q1" s="79" t="s">
        <v>266</v>
      </c>
      <c r="R1" s="79" t="s">
        <v>267</v>
      </c>
      <c r="S1" s="79" t="s">
        <v>268</v>
      </c>
      <c r="T1" s="79" t="s">
        <v>269</v>
      </c>
      <c r="U1" s="79" t="s">
        <v>270</v>
      </c>
      <c r="V1" s="79" t="s">
        <v>271</v>
      </c>
      <c r="W1" s="79" t="s">
        <v>272</v>
      </c>
      <c r="X1" s="95" t="s">
        <v>1090</v>
      </c>
      <c r="Y1" s="103" t="s">
        <v>273</v>
      </c>
    </row>
    <row r="2" spans="1:25">
      <c r="A2" s="397" t="s">
        <v>1091</v>
      </c>
      <c r="B2" s="398" t="s">
        <v>481</v>
      </c>
      <c r="C2" s="398">
        <v>1</v>
      </c>
      <c r="D2" s="398" t="s">
        <v>1092</v>
      </c>
      <c r="E2" s="398" t="s">
        <v>1093</v>
      </c>
      <c r="F2" s="398" t="s">
        <v>1094</v>
      </c>
      <c r="G2" s="398" t="s">
        <v>153</v>
      </c>
      <c r="H2" s="97">
        <v>2</v>
      </c>
      <c r="I2" s="98">
        <v>2</v>
      </c>
      <c r="J2" s="98">
        <v>4</v>
      </c>
      <c r="K2" s="97">
        <v>3</v>
      </c>
      <c r="L2" s="399">
        <f>J2-K2</f>
        <v>1</v>
      </c>
      <c r="M2" s="399" t="s">
        <v>1095</v>
      </c>
      <c r="N2" s="399">
        <v>6</v>
      </c>
      <c r="O2" s="85" t="b">
        <v>1</v>
      </c>
      <c r="P2" s="85" t="b">
        <v>0</v>
      </c>
      <c r="Q2" s="85" t="b">
        <v>0</v>
      </c>
      <c r="R2" s="85" t="b">
        <v>0</v>
      </c>
      <c r="S2" s="85" t="b">
        <v>1</v>
      </c>
      <c r="T2" s="85" t="b">
        <v>0</v>
      </c>
      <c r="U2" s="85" t="b">
        <v>0</v>
      </c>
      <c r="V2" s="85" t="b">
        <v>0</v>
      </c>
      <c r="W2" s="85" t="b">
        <v>0</v>
      </c>
      <c r="X2" s="99"/>
      <c r="Y2" s="880" t="s">
        <v>158</v>
      </c>
    </row>
    <row r="3" spans="1:25">
      <c r="A3" s="397" t="s">
        <v>1091</v>
      </c>
      <c r="B3" s="398" t="s">
        <v>481</v>
      </c>
      <c r="C3" s="398">
        <v>2</v>
      </c>
      <c r="D3" s="398" t="s">
        <v>1096</v>
      </c>
      <c r="E3" s="398" t="s">
        <v>481</v>
      </c>
      <c r="F3" s="398" t="s">
        <v>1094</v>
      </c>
      <c r="G3" s="398" t="s">
        <v>153</v>
      </c>
      <c r="H3" s="97">
        <v>3</v>
      </c>
      <c r="I3" s="98">
        <v>2</v>
      </c>
      <c r="J3" s="98">
        <v>4</v>
      </c>
      <c r="K3" s="97">
        <v>3</v>
      </c>
      <c r="L3" s="399">
        <f t="shared" ref="L3:L66" si="0">J3-K3</f>
        <v>1</v>
      </c>
      <c r="M3" s="399" t="s">
        <v>1095</v>
      </c>
      <c r="N3" s="399">
        <v>6</v>
      </c>
      <c r="O3" s="85" t="b">
        <v>1</v>
      </c>
      <c r="P3" s="85" t="b">
        <v>0</v>
      </c>
      <c r="Q3" s="85" t="b">
        <v>0</v>
      </c>
      <c r="R3" s="85" t="b">
        <v>0</v>
      </c>
      <c r="S3" s="85" t="b">
        <v>1</v>
      </c>
      <c r="T3" s="85" t="b">
        <v>0</v>
      </c>
      <c r="U3" s="85" t="b">
        <v>0</v>
      </c>
      <c r="V3" s="85" t="b">
        <v>0</v>
      </c>
      <c r="W3" s="85" t="b">
        <v>0</v>
      </c>
      <c r="X3" s="99"/>
      <c r="Y3" s="880" t="s">
        <v>158</v>
      </c>
    </row>
    <row r="4" spans="1:25">
      <c r="A4" s="397" t="s">
        <v>1091</v>
      </c>
      <c r="B4" s="398" t="s">
        <v>481</v>
      </c>
      <c r="C4" s="398">
        <v>4</v>
      </c>
      <c r="D4" s="398" t="s">
        <v>1097</v>
      </c>
      <c r="E4" s="398" t="s">
        <v>1098</v>
      </c>
      <c r="F4" s="398" t="s">
        <v>1094</v>
      </c>
      <c r="G4" s="398" t="s">
        <v>153</v>
      </c>
      <c r="H4" s="97">
        <v>11</v>
      </c>
      <c r="I4" s="98">
        <v>8</v>
      </c>
      <c r="J4" s="98">
        <v>16</v>
      </c>
      <c r="K4" s="97">
        <v>13</v>
      </c>
      <c r="L4" s="399">
        <f t="shared" si="0"/>
        <v>3</v>
      </c>
      <c r="M4" s="399" t="s">
        <v>1095</v>
      </c>
      <c r="N4" s="399">
        <v>6</v>
      </c>
      <c r="O4" s="85" t="b">
        <v>1</v>
      </c>
      <c r="P4" s="85" t="b">
        <v>0</v>
      </c>
      <c r="Q4" s="85" t="b">
        <v>0</v>
      </c>
      <c r="R4" s="85" t="b">
        <v>0</v>
      </c>
      <c r="S4" s="85" t="b">
        <v>1</v>
      </c>
      <c r="T4" s="85" t="b">
        <v>0</v>
      </c>
      <c r="U4" s="85" t="b">
        <v>0</v>
      </c>
      <c r="V4" s="85" t="b">
        <v>0</v>
      </c>
      <c r="W4" s="85" t="b">
        <v>0</v>
      </c>
      <c r="X4" s="99"/>
      <c r="Y4" s="880" t="s">
        <v>158</v>
      </c>
    </row>
    <row r="5" spans="1:25">
      <c r="A5" s="397" t="s">
        <v>1091</v>
      </c>
      <c r="B5" s="398" t="s">
        <v>481</v>
      </c>
      <c r="C5" s="398">
        <v>5</v>
      </c>
      <c r="D5" s="398" t="s">
        <v>485</v>
      </c>
      <c r="E5" s="398" t="s">
        <v>1099</v>
      </c>
      <c r="F5" s="398" t="s">
        <v>1100</v>
      </c>
      <c r="G5" s="100" t="s">
        <v>1101</v>
      </c>
      <c r="H5" s="97">
        <v>1</v>
      </c>
      <c r="I5" s="98">
        <v>1</v>
      </c>
      <c r="J5" s="98">
        <v>2</v>
      </c>
      <c r="K5" s="97">
        <v>1</v>
      </c>
      <c r="L5" s="399">
        <f t="shared" si="0"/>
        <v>1</v>
      </c>
      <c r="M5" s="399" t="s">
        <v>1095</v>
      </c>
      <c r="N5" s="399">
        <v>6</v>
      </c>
      <c r="O5" s="85" t="b">
        <v>1</v>
      </c>
      <c r="P5" s="85" t="b">
        <v>0</v>
      </c>
      <c r="Q5" s="85" t="b">
        <v>0</v>
      </c>
      <c r="R5" s="85" t="b">
        <v>0</v>
      </c>
      <c r="S5" s="85" t="b">
        <v>1</v>
      </c>
      <c r="T5" s="85" t="b">
        <v>0</v>
      </c>
      <c r="U5" s="85" t="b">
        <v>0</v>
      </c>
      <c r="V5" s="85" t="b">
        <v>0</v>
      </c>
      <c r="W5" s="85" t="b">
        <v>0</v>
      </c>
      <c r="X5" s="99"/>
      <c r="Y5" s="880" t="s">
        <v>158</v>
      </c>
    </row>
    <row r="6" spans="1:25">
      <c r="A6" s="397" t="s">
        <v>1091</v>
      </c>
      <c r="B6" s="398" t="s">
        <v>481</v>
      </c>
      <c r="C6" s="398">
        <v>5</v>
      </c>
      <c r="D6" s="398" t="s">
        <v>485</v>
      </c>
      <c r="E6" s="398" t="s">
        <v>1099</v>
      </c>
      <c r="F6" s="398" t="s">
        <v>1094</v>
      </c>
      <c r="G6" s="398" t="s">
        <v>153</v>
      </c>
      <c r="H6" s="97">
        <v>4</v>
      </c>
      <c r="I6" s="98">
        <v>3</v>
      </c>
      <c r="J6" s="98">
        <v>6</v>
      </c>
      <c r="K6" s="97">
        <v>5</v>
      </c>
      <c r="L6" s="399">
        <f t="shared" si="0"/>
        <v>1</v>
      </c>
      <c r="M6" s="399" t="s">
        <v>1095</v>
      </c>
      <c r="N6" s="399">
        <v>0</v>
      </c>
      <c r="O6" s="85" t="b">
        <v>0</v>
      </c>
      <c r="P6" s="85" t="b">
        <v>0</v>
      </c>
      <c r="Q6" s="85" t="b">
        <v>0</v>
      </c>
      <c r="R6" s="85" t="b">
        <v>0</v>
      </c>
      <c r="S6" s="85" t="b">
        <v>0</v>
      </c>
      <c r="T6" s="85" t="b">
        <v>0</v>
      </c>
      <c r="U6" s="85" t="b">
        <v>0</v>
      </c>
      <c r="V6" s="85" t="b">
        <v>0</v>
      </c>
      <c r="W6" s="85" t="b">
        <v>0</v>
      </c>
      <c r="X6" s="99"/>
      <c r="Y6" s="880" t="s">
        <v>158</v>
      </c>
    </row>
    <row r="7" spans="1:25">
      <c r="A7" s="397" t="s">
        <v>1091</v>
      </c>
      <c r="B7" s="398" t="s">
        <v>481</v>
      </c>
      <c r="C7" s="398">
        <v>5</v>
      </c>
      <c r="D7" s="398" t="s">
        <v>485</v>
      </c>
      <c r="E7" s="398" t="s">
        <v>1102</v>
      </c>
      <c r="F7" s="398" t="s">
        <v>619</v>
      </c>
      <c r="G7" s="100" t="s">
        <v>1101</v>
      </c>
      <c r="H7" s="97">
        <v>2</v>
      </c>
      <c r="I7" s="98">
        <v>2</v>
      </c>
      <c r="J7" s="98">
        <v>4</v>
      </c>
      <c r="K7" s="97">
        <v>3</v>
      </c>
      <c r="L7" s="399">
        <f t="shared" si="0"/>
        <v>1</v>
      </c>
      <c r="M7" s="399" t="s">
        <v>1095</v>
      </c>
      <c r="N7" s="399">
        <v>6</v>
      </c>
      <c r="O7" s="85" t="b">
        <v>1</v>
      </c>
      <c r="P7" s="85" t="b">
        <v>0</v>
      </c>
      <c r="Q7" s="85" t="b">
        <v>0</v>
      </c>
      <c r="R7" s="85" t="b">
        <v>0</v>
      </c>
      <c r="S7" s="85" t="b">
        <v>1</v>
      </c>
      <c r="T7" s="85" t="b">
        <v>0</v>
      </c>
      <c r="U7" s="85" t="b">
        <v>0</v>
      </c>
      <c r="V7" s="85" t="b">
        <v>0</v>
      </c>
      <c r="W7" s="85" t="b">
        <v>0</v>
      </c>
      <c r="X7" s="99"/>
      <c r="Y7" s="880" t="s">
        <v>158</v>
      </c>
    </row>
    <row r="8" spans="1:25">
      <c r="A8" s="397" t="s">
        <v>1103</v>
      </c>
      <c r="B8" s="398" t="s">
        <v>1104</v>
      </c>
      <c r="C8" s="398">
        <v>3</v>
      </c>
      <c r="D8" s="398" t="s">
        <v>822</v>
      </c>
      <c r="E8" s="398" t="s">
        <v>1098</v>
      </c>
      <c r="F8" s="398" t="s">
        <v>1094</v>
      </c>
      <c r="G8" s="398" t="s">
        <v>153</v>
      </c>
      <c r="H8" s="97">
        <v>6</v>
      </c>
      <c r="I8" s="98">
        <v>6</v>
      </c>
      <c r="J8" s="98">
        <v>12</v>
      </c>
      <c r="K8" s="97">
        <v>11</v>
      </c>
      <c r="L8" s="399">
        <f t="shared" si="0"/>
        <v>1</v>
      </c>
      <c r="M8" s="399" t="s">
        <v>1095</v>
      </c>
      <c r="N8" s="399">
        <v>6</v>
      </c>
      <c r="O8" s="85" t="b">
        <v>1</v>
      </c>
      <c r="P8" s="85" t="b">
        <v>0</v>
      </c>
      <c r="Q8" s="85" t="b">
        <v>0</v>
      </c>
      <c r="R8" s="85" t="b">
        <v>0</v>
      </c>
      <c r="S8" s="85" t="b">
        <v>1</v>
      </c>
      <c r="T8" s="85" t="b">
        <v>0</v>
      </c>
      <c r="U8" s="85" t="b">
        <v>0</v>
      </c>
      <c r="V8" s="85" t="b">
        <v>0</v>
      </c>
      <c r="W8" s="85" t="b">
        <v>0</v>
      </c>
      <c r="X8" s="99"/>
      <c r="Y8" s="880" t="s">
        <v>158</v>
      </c>
    </row>
    <row r="9" spans="1:25">
      <c r="A9" s="397" t="s">
        <v>1103</v>
      </c>
      <c r="B9" s="398" t="s">
        <v>1105</v>
      </c>
      <c r="C9" s="398">
        <v>1</v>
      </c>
      <c r="D9" s="398" t="s">
        <v>1106</v>
      </c>
      <c r="E9" s="398" t="s">
        <v>1107</v>
      </c>
      <c r="F9" s="398" t="s">
        <v>1094</v>
      </c>
      <c r="G9" s="398" t="s">
        <v>153</v>
      </c>
      <c r="H9" s="97">
        <v>2</v>
      </c>
      <c r="I9" s="98">
        <v>2</v>
      </c>
      <c r="J9" s="98">
        <v>4</v>
      </c>
      <c r="K9" s="97">
        <v>2</v>
      </c>
      <c r="L9" s="399">
        <f t="shared" si="0"/>
        <v>2</v>
      </c>
      <c r="M9" s="399" t="s">
        <v>1108</v>
      </c>
      <c r="N9" s="399">
        <v>6</v>
      </c>
      <c r="O9" s="85" t="b">
        <v>1</v>
      </c>
      <c r="P9" s="85" t="b">
        <v>0</v>
      </c>
      <c r="Q9" s="85" t="b">
        <v>0</v>
      </c>
      <c r="R9" s="85" t="b">
        <v>0</v>
      </c>
      <c r="S9" s="85" t="b">
        <v>1</v>
      </c>
      <c r="T9" s="85" t="b">
        <v>0</v>
      </c>
      <c r="U9" s="85" t="b">
        <v>0</v>
      </c>
      <c r="V9" s="85" t="b">
        <v>0</v>
      </c>
      <c r="W9" s="85" t="b">
        <v>0</v>
      </c>
      <c r="X9" s="99"/>
      <c r="Y9" s="880" t="s">
        <v>158</v>
      </c>
    </row>
    <row r="10" spans="1:25">
      <c r="A10" s="397" t="s">
        <v>1103</v>
      </c>
      <c r="B10" s="398" t="s">
        <v>1105</v>
      </c>
      <c r="C10" s="398">
        <v>1</v>
      </c>
      <c r="D10" s="398" t="s">
        <v>1109</v>
      </c>
      <c r="E10" s="398" t="s">
        <v>1098</v>
      </c>
      <c r="F10" s="398" t="s">
        <v>1094</v>
      </c>
      <c r="G10" s="398" t="s">
        <v>153</v>
      </c>
      <c r="H10" s="97">
        <v>1</v>
      </c>
      <c r="I10" s="98">
        <v>1</v>
      </c>
      <c r="J10" s="98">
        <v>2</v>
      </c>
      <c r="K10" s="97">
        <v>1</v>
      </c>
      <c r="L10" s="399">
        <f t="shared" si="0"/>
        <v>1</v>
      </c>
      <c r="M10" s="399" t="s">
        <v>1108</v>
      </c>
      <c r="N10" s="399">
        <v>6</v>
      </c>
      <c r="O10" s="85" t="b">
        <v>1</v>
      </c>
      <c r="P10" s="85" t="b">
        <v>0</v>
      </c>
      <c r="Q10" s="85" t="b">
        <v>0</v>
      </c>
      <c r="R10" s="85" t="b">
        <v>0</v>
      </c>
      <c r="S10" s="85" t="b">
        <v>1</v>
      </c>
      <c r="T10" s="85" t="b">
        <v>0</v>
      </c>
      <c r="U10" s="85" t="b">
        <v>0</v>
      </c>
      <c r="V10" s="85" t="b">
        <v>0</v>
      </c>
      <c r="W10" s="85" t="b">
        <v>0</v>
      </c>
      <c r="X10" s="99"/>
      <c r="Y10" s="880" t="s">
        <v>158</v>
      </c>
    </row>
    <row r="11" spans="1:25">
      <c r="A11" s="397" t="s">
        <v>1103</v>
      </c>
      <c r="B11" s="398" t="s">
        <v>1105</v>
      </c>
      <c r="C11" s="398">
        <v>2</v>
      </c>
      <c r="D11" s="398" t="s">
        <v>1110</v>
      </c>
      <c r="E11" s="398" t="s">
        <v>1111</v>
      </c>
      <c r="F11" s="398" t="s">
        <v>1094</v>
      </c>
      <c r="G11" s="398" t="s">
        <v>153</v>
      </c>
      <c r="H11" s="97">
        <v>2</v>
      </c>
      <c r="I11" s="98">
        <v>3</v>
      </c>
      <c r="J11" s="98">
        <v>6</v>
      </c>
      <c r="K11" s="97">
        <v>2</v>
      </c>
      <c r="L11" s="399">
        <f t="shared" si="0"/>
        <v>4</v>
      </c>
      <c r="M11" s="399" t="s">
        <v>1108</v>
      </c>
      <c r="N11" s="399">
        <v>6</v>
      </c>
      <c r="O11" s="85" t="b">
        <v>1</v>
      </c>
      <c r="P11" s="85" t="b">
        <v>0</v>
      </c>
      <c r="Q11" s="85" t="b">
        <v>0</v>
      </c>
      <c r="R11" s="85" t="b">
        <v>0</v>
      </c>
      <c r="S11" s="85" t="b">
        <v>1</v>
      </c>
      <c r="T11" s="85" t="b">
        <v>0</v>
      </c>
      <c r="U11" s="85" t="b">
        <v>0</v>
      </c>
      <c r="V11" s="85" t="b">
        <v>0</v>
      </c>
      <c r="W11" s="85" t="b">
        <v>0</v>
      </c>
      <c r="X11" s="99"/>
      <c r="Y11" s="880" t="s">
        <v>158</v>
      </c>
    </row>
    <row r="12" spans="1:25">
      <c r="A12" s="397" t="s">
        <v>1103</v>
      </c>
      <c r="B12" s="398" t="s">
        <v>1105</v>
      </c>
      <c r="C12" s="398">
        <v>2</v>
      </c>
      <c r="D12" s="398" t="s">
        <v>1110</v>
      </c>
      <c r="E12" s="398" t="s">
        <v>1098</v>
      </c>
      <c r="F12" s="398" t="s">
        <v>1094</v>
      </c>
      <c r="G12" s="398" t="s">
        <v>153</v>
      </c>
      <c r="H12" s="97">
        <v>4</v>
      </c>
      <c r="I12" s="98">
        <v>3</v>
      </c>
      <c r="J12" s="98">
        <v>6</v>
      </c>
      <c r="K12" s="97">
        <v>5</v>
      </c>
      <c r="L12" s="399">
        <f t="shared" si="0"/>
        <v>1</v>
      </c>
      <c r="M12" s="399" t="s">
        <v>1095</v>
      </c>
      <c r="N12" s="399">
        <v>6</v>
      </c>
      <c r="O12" s="85" t="b">
        <v>1</v>
      </c>
      <c r="P12" s="85" t="b">
        <v>0</v>
      </c>
      <c r="Q12" s="85" t="b">
        <v>0</v>
      </c>
      <c r="R12" s="85" t="b">
        <v>0</v>
      </c>
      <c r="S12" s="85" t="b">
        <v>1</v>
      </c>
      <c r="T12" s="85" t="b">
        <v>0</v>
      </c>
      <c r="U12" s="85" t="b">
        <v>0</v>
      </c>
      <c r="V12" s="85" t="b">
        <v>0</v>
      </c>
      <c r="W12" s="85" t="b">
        <v>0</v>
      </c>
      <c r="X12" s="99"/>
      <c r="Y12" s="880" t="s">
        <v>158</v>
      </c>
    </row>
    <row r="13" spans="1:25">
      <c r="A13" s="397" t="s">
        <v>1103</v>
      </c>
      <c r="B13" s="398" t="s">
        <v>1112</v>
      </c>
      <c r="C13" s="398">
        <v>1</v>
      </c>
      <c r="D13" s="398" t="s">
        <v>1113</v>
      </c>
      <c r="E13" s="398" t="s">
        <v>1114</v>
      </c>
      <c r="F13" s="398" t="s">
        <v>1094</v>
      </c>
      <c r="G13" s="398" t="s">
        <v>153</v>
      </c>
      <c r="H13" s="97">
        <v>3</v>
      </c>
      <c r="I13" s="98">
        <v>3</v>
      </c>
      <c r="J13" s="98">
        <v>6</v>
      </c>
      <c r="K13" s="97">
        <v>3</v>
      </c>
      <c r="L13" s="399">
        <f t="shared" si="0"/>
        <v>3</v>
      </c>
      <c r="M13" s="399" t="s">
        <v>1108</v>
      </c>
      <c r="N13" s="399">
        <v>6</v>
      </c>
      <c r="O13" s="85" t="b">
        <v>1</v>
      </c>
      <c r="P13" s="85" t="b">
        <v>0</v>
      </c>
      <c r="Q13" s="85" t="b">
        <v>0</v>
      </c>
      <c r="R13" s="85" t="b">
        <v>0</v>
      </c>
      <c r="S13" s="85" t="b">
        <v>1</v>
      </c>
      <c r="T13" s="85" t="b">
        <v>0</v>
      </c>
      <c r="U13" s="85" t="b">
        <v>0</v>
      </c>
      <c r="V13" s="85" t="b">
        <v>0</v>
      </c>
      <c r="W13" s="85" t="b">
        <v>0</v>
      </c>
      <c r="X13" s="99"/>
      <c r="Y13" s="880" t="s">
        <v>158</v>
      </c>
    </row>
    <row r="14" spans="1:25">
      <c r="A14" s="397" t="s">
        <v>1103</v>
      </c>
      <c r="B14" s="398" t="s">
        <v>1112</v>
      </c>
      <c r="C14" s="398">
        <v>2</v>
      </c>
      <c r="D14" s="398" t="s">
        <v>1115</v>
      </c>
      <c r="E14" s="398" t="s">
        <v>1116</v>
      </c>
      <c r="F14" s="398" t="s">
        <v>1094</v>
      </c>
      <c r="G14" s="398" t="s">
        <v>153</v>
      </c>
      <c r="H14" s="97">
        <v>4</v>
      </c>
      <c r="I14" s="98">
        <v>4</v>
      </c>
      <c r="J14" s="98">
        <v>8</v>
      </c>
      <c r="K14" s="97">
        <v>5</v>
      </c>
      <c r="L14" s="399">
        <f t="shared" si="0"/>
        <v>3</v>
      </c>
      <c r="M14" s="399" t="s">
        <v>1108</v>
      </c>
      <c r="N14" s="399">
        <v>6</v>
      </c>
      <c r="O14" s="85" t="b">
        <v>1</v>
      </c>
      <c r="P14" s="85" t="b">
        <v>0</v>
      </c>
      <c r="Q14" s="85" t="b">
        <v>0</v>
      </c>
      <c r="R14" s="85" t="b">
        <v>0</v>
      </c>
      <c r="S14" s="85" t="b">
        <v>1</v>
      </c>
      <c r="T14" s="85" t="b">
        <v>0</v>
      </c>
      <c r="U14" s="85" t="b">
        <v>0</v>
      </c>
      <c r="V14" s="85" t="b">
        <v>0</v>
      </c>
      <c r="W14" s="85" t="b">
        <v>0</v>
      </c>
      <c r="X14" s="99"/>
      <c r="Y14" s="880" t="s">
        <v>158</v>
      </c>
    </row>
    <row r="15" spans="1:25">
      <c r="A15" s="397" t="s">
        <v>1091</v>
      </c>
      <c r="B15" s="398" t="s">
        <v>1117</v>
      </c>
      <c r="C15" s="398">
        <v>1</v>
      </c>
      <c r="D15" s="398" t="s">
        <v>1118</v>
      </c>
      <c r="E15" s="398" t="s">
        <v>481</v>
      </c>
      <c r="F15" s="398" t="s">
        <v>1094</v>
      </c>
      <c r="G15" s="398" t="s">
        <v>153</v>
      </c>
      <c r="H15" s="97">
        <v>2</v>
      </c>
      <c r="I15" s="98">
        <v>2</v>
      </c>
      <c r="J15" s="98">
        <v>4</v>
      </c>
      <c r="K15" s="97">
        <v>2</v>
      </c>
      <c r="L15" s="399">
        <f t="shared" si="0"/>
        <v>2</v>
      </c>
      <c r="M15" s="399" t="s">
        <v>1095</v>
      </c>
      <c r="N15" s="399">
        <v>6</v>
      </c>
      <c r="O15" s="85" t="b">
        <v>1</v>
      </c>
      <c r="P15" s="85" t="b">
        <v>0</v>
      </c>
      <c r="Q15" s="85" t="b">
        <v>0</v>
      </c>
      <c r="R15" s="85" t="b">
        <v>0</v>
      </c>
      <c r="S15" s="85" t="b">
        <v>1</v>
      </c>
      <c r="T15" s="85" t="b">
        <v>0</v>
      </c>
      <c r="U15" s="85" t="b">
        <v>0</v>
      </c>
      <c r="V15" s="85" t="b">
        <v>0</v>
      </c>
      <c r="W15" s="85" t="b">
        <v>0</v>
      </c>
      <c r="X15" s="99"/>
      <c r="Y15" s="880" t="s">
        <v>158</v>
      </c>
    </row>
    <row r="16" spans="1:25">
      <c r="A16" s="397" t="s">
        <v>1091</v>
      </c>
      <c r="B16" s="398" t="s">
        <v>1117</v>
      </c>
      <c r="C16" s="398">
        <v>1</v>
      </c>
      <c r="D16" s="398" t="s">
        <v>1119</v>
      </c>
      <c r="E16" s="398" t="s">
        <v>1120</v>
      </c>
      <c r="F16" s="398" t="s">
        <v>1094</v>
      </c>
      <c r="G16" s="398" t="s">
        <v>153</v>
      </c>
      <c r="H16" s="97">
        <v>7</v>
      </c>
      <c r="I16" s="98">
        <v>6</v>
      </c>
      <c r="J16" s="98">
        <v>12</v>
      </c>
      <c r="K16" s="97">
        <v>8</v>
      </c>
      <c r="L16" s="399">
        <f t="shared" si="0"/>
        <v>4</v>
      </c>
      <c r="M16" s="399" t="s">
        <v>1095</v>
      </c>
      <c r="N16" s="399">
        <v>6</v>
      </c>
      <c r="O16" s="85" t="b">
        <v>1</v>
      </c>
      <c r="P16" s="85" t="b">
        <v>0</v>
      </c>
      <c r="Q16" s="85" t="b">
        <v>0</v>
      </c>
      <c r="R16" s="85" t="b">
        <v>0</v>
      </c>
      <c r="S16" s="85" t="b">
        <v>1</v>
      </c>
      <c r="T16" s="85" t="b">
        <v>0</v>
      </c>
      <c r="U16" s="85" t="b">
        <v>0</v>
      </c>
      <c r="V16" s="85" t="b">
        <v>0</v>
      </c>
      <c r="W16" s="85" t="b">
        <v>0</v>
      </c>
      <c r="X16" s="99"/>
      <c r="Y16" s="880" t="s">
        <v>158</v>
      </c>
    </row>
    <row r="17" spans="1:25" ht="36">
      <c r="A17" s="397" t="s">
        <v>1091</v>
      </c>
      <c r="B17" s="398" t="s">
        <v>1117</v>
      </c>
      <c r="C17" s="398">
        <v>1</v>
      </c>
      <c r="D17" s="398" t="s">
        <v>1121</v>
      </c>
      <c r="E17" s="398" t="s">
        <v>1122</v>
      </c>
      <c r="F17" s="398" t="s">
        <v>1094</v>
      </c>
      <c r="G17" s="398" t="s">
        <v>153</v>
      </c>
      <c r="H17" s="97">
        <v>1</v>
      </c>
      <c r="I17" s="98">
        <v>2</v>
      </c>
      <c r="J17" s="98">
        <v>4</v>
      </c>
      <c r="K17" s="97">
        <v>2</v>
      </c>
      <c r="L17" s="399">
        <f t="shared" si="0"/>
        <v>2</v>
      </c>
      <c r="M17" s="101" t="s">
        <v>1123</v>
      </c>
      <c r="N17" s="101" t="s">
        <v>1124</v>
      </c>
      <c r="O17" s="85" t="b">
        <v>1</v>
      </c>
      <c r="P17" s="85" t="b">
        <v>0</v>
      </c>
      <c r="Q17" s="85" t="b">
        <v>0</v>
      </c>
      <c r="R17" s="85" t="b">
        <v>0</v>
      </c>
      <c r="S17" s="85" t="b">
        <v>0</v>
      </c>
      <c r="T17" s="85" t="b">
        <v>0</v>
      </c>
      <c r="U17" s="85" t="b">
        <v>1</v>
      </c>
      <c r="V17" s="85" t="b">
        <v>0</v>
      </c>
      <c r="W17" s="85" t="b">
        <v>1</v>
      </c>
      <c r="X17" s="99"/>
      <c r="Y17" s="880" t="s">
        <v>158</v>
      </c>
    </row>
    <row r="18" spans="1:25">
      <c r="A18" s="397" t="s">
        <v>1091</v>
      </c>
      <c r="B18" s="398" t="s">
        <v>1117</v>
      </c>
      <c r="C18" s="398">
        <v>2</v>
      </c>
      <c r="D18" s="398" t="s">
        <v>1125</v>
      </c>
      <c r="E18" s="398" t="s">
        <v>1126</v>
      </c>
      <c r="F18" s="398" t="s">
        <v>1094</v>
      </c>
      <c r="G18" s="398" t="s">
        <v>153</v>
      </c>
      <c r="H18" s="97">
        <v>2</v>
      </c>
      <c r="I18" s="98">
        <v>3</v>
      </c>
      <c r="J18" s="98">
        <v>6</v>
      </c>
      <c r="K18" s="97">
        <v>2</v>
      </c>
      <c r="L18" s="399">
        <f t="shared" si="0"/>
        <v>4</v>
      </c>
      <c r="M18" s="399" t="s">
        <v>1095</v>
      </c>
      <c r="N18" s="399">
        <v>6</v>
      </c>
      <c r="O18" s="85" t="b">
        <v>1</v>
      </c>
      <c r="P18" s="85" t="b">
        <v>0</v>
      </c>
      <c r="Q18" s="85" t="b">
        <v>0</v>
      </c>
      <c r="R18" s="85" t="b">
        <v>0</v>
      </c>
      <c r="S18" s="85" t="b">
        <v>1</v>
      </c>
      <c r="T18" s="85" t="b">
        <v>0</v>
      </c>
      <c r="U18" s="85" t="b">
        <v>0</v>
      </c>
      <c r="V18" s="85" t="b">
        <v>0</v>
      </c>
      <c r="W18" s="85" t="b">
        <v>0</v>
      </c>
      <c r="X18" s="99"/>
      <c r="Y18" s="880" t="s">
        <v>158</v>
      </c>
    </row>
    <row r="19" spans="1:25">
      <c r="A19" s="397" t="s">
        <v>1091</v>
      </c>
      <c r="B19" s="398" t="s">
        <v>1117</v>
      </c>
      <c r="C19" s="398">
        <v>2</v>
      </c>
      <c r="D19" s="398" t="s">
        <v>1127</v>
      </c>
      <c r="E19" s="398" t="s">
        <v>1128</v>
      </c>
      <c r="F19" s="398" t="s">
        <v>1094</v>
      </c>
      <c r="G19" s="398" t="s">
        <v>153</v>
      </c>
      <c r="H19" s="97">
        <v>6</v>
      </c>
      <c r="I19" s="98">
        <v>6</v>
      </c>
      <c r="J19" s="98">
        <v>12</v>
      </c>
      <c r="K19" s="97">
        <v>8</v>
      </c>
      <c r="L19" s="399">
        <f t="shared" si="0"/>
        <v>4</v>
      </c>
      <c r="M19" s="399" t="s">
        <v>1095</v>
      </c>
      <c r="N19" s="399">
        <v>6</v>
      </c>
      <c r="O19" s="85" t="b">
        <v>1</v>
      </c>
      <c r="P19" s="85" t="b">
        <v>0</v>
      </c>
      <c r="Q19" s="85" t="b">
        <v>0</v>
      </c>
      <c r="R19" s="85" t="b">
        <v>0</v>
      </c>
      <c r="S19" s="85" t="b">
        <v>1</v>
      </c>
      <c r="T19" s="85" t="b">
        <v>0</v>
      </c>
      <c r="U19" s="85" t="b">
        <v>0</v>
      </c>
      <c r="V19" s="85" t="b">
        <v>0</v>
      </c>
      <c r="W19" s="85" t="b">
        <v>0</v>
      </c>
      <c r="X19" s="99"/>
      <c r="Y19" s="880" t="s">
        <v>158</v>
      </c>
    </row>
    <row r="20" spans="1:25" ht="36">
      <c r="A20" s="397" t="s">
        <v>1091</v>
      </c>
      <c r="B20" s="398" t="s">
        <v>1117</v>
      </c>
      <c r="C20" s="398">
        <v>2</v>
      </c>
      <c r="D20" s="398" t="s">
        <v>1129</v>
      </c>
      <c r="E20" s="398" t="s">
        <v>1122</v>
      </c>
      <c r="F20" s="398" t="s">
        <v>1094</v>
      </c>
      <c r="G20" s="398" t="s">
        <v>153</v>
      </c>
      <c r="H20" s="97">
        <v>1</v>
      </c>
      <c r="I20" s="98">
        <v>2</v>
      </c>
      <c r="J20" s="98">
        <v>4</v>
      </c>
      <c r="K20" s="97">
        <v>1</v>
      </c>
      <c r="L20" s="399">
        <f t="shared" si="0"/>
        <v>3</v>
      </c>
      <c r="M20" s="101" t="s">
        <v>1123</v>
      </c>
      <c r="N20" s="101" t="s">
        <v>1124</v>
      </c>
      <c r="O20" s="85" t="b">
        <v>1</v>
      </c>
      <c r="P20" s="85" t="b">
        <v>0</v>
      </c>
      <c r="Q20" s="85" t="b">
        <v>0</v>
      </c>
      <c r="R20" s="85" t="b">
        <v>0</v>
      </c>
      <c r="S20" s="85" t="b">
        <v>0</v>
      </c>
      <c r="T20" s="85" t="b">
        <v>0</v>
      </c>
      <c r="U20" s="85" t="b">
        <v>1</v>
      </c>
      <c r="V20" s="85" t="b">
        <v>0</v>
      </c>
      <c r="W20" s="85" t="b">
        <v>1</v>
      </c>
      <c r="X20" s="99"/>
      <c r="Y20" s="880" t="s">
        <v>158</v>
      </c>
    </row>
    <row r="21" spans="1:25" ht="36">
      <c r="A21" s="397" t="s">
        <v>1091</v>
      </c>
      <c r="B21" s="398" t="s">
        <v>1117</v>
      </c>
      <c r="C21" s="398">
        <v>3</v>
      </c>
      <c r="D21" s="398" t="s">
        <v>1130</v>
      </c>
      <c r="E21" s="398" t="s">
        <v>1122</v>
      </c>
      <c r="F21" s="398" t="s">
        <v>1094</v>
      </c>
      <c r="G21" s="398" t="s">
        <v>153</v>
      </c>
      <c r="H21" s="97">
        <v>1</v>
      </c>
      <c r="I21" s="98">
        <v>2</v>
      </c>
      <c r="J21" s="98">
        <v>4</v>
      </c>
      <c r="K21" s="97">
        <v>1</v>
      </c>
      <c r="L21" s="399">
        <f t="shared" si="0"/>
        <v>3</v>
      </c>
      <c r="M21" s="101" t="s">
        <v>1123</v>
      </c>
      <c r="N21" s="101" t="s">
        <v>1124</v>
      </c>
      <c r="O21" s="85" t="b">
        <v>1</v>
      </c>
      <c r="P21" s="85" t="b">
        <v>0</v>
      </c>
      <c r="Q21" s="85" t="b">
        <v>0</v>
      </c>
      <c r="R21" s="85" t="b">
        <v>0</v>
      </c>
      <c r="S21" s="85" t="b">
        <v>0</v>
      </c>
      <c r="T21" s="85" t="b">
        <v>0</v>
      </c>
      <c r="U21" s="85" t="b">
        <v>1</v>
      </c>
      <c r="V21" s="85" t="b">
        <v>0</v>
      </c>
      <c r="W21" s="85" t="b">
        <v>1</v>
      </c>
      <c r="X21" s="99"/>
      <c r="Y21" s="880" t="s">
        <v>158</v>
      </c>
    </row>
    <row r="22" spans="1:25">
      <c r="A22" s="397" t="s">
        <v>1091</v>
      </c>
      <c r="B22" s="398" t="s">
        <v>1117</v>
      </c>
      <c r="C22" s="398">
        <v>4</v>
      </c>
      <c r="D22" s="398" t="s">
        <v>1131</v>
      </c>
      <c r="E22" s="398" t="s">
        <v>1132</v>
      </c>
      <c r="F22" s="398" t="s">
        <v>1094</v>
      </c>
      <c r="G22" s="398" t="s">
        <v>153</v>
      </c>
      <c r="H22" s="97">
        <v>3</v>
      </c>
      <c r="I22" s="98">
        <v>3</v>
      </c>
      <c r="J22" s="98">
        <v>6</v>
      </c>
      <c r="K22" s="97">
        <v>5</v>
      </c>
      <c r="L22" s="399">
        <f t="shared" si="0"/>
        <v>1</v>
      </c>
      <c r="M22" s="399" t="s">
        <v>1095</v>
      </c>
      <c r="N22" s="399">
        <v>6</v>
      </c>
      <c r="O22" s="85" t="b">
        <v>1</v>
      </c>
      <c r="P22" s="85" t="b">
        <v>0</v>
      </c>
      <c r="Q22" s="85" t="b">
        <v>0</v>
      </c>
      <c r="R22" s="85" t="b">
        <v>0</v>
      </c>
      <c r="S22" s="85" t="b">
        <v>1</v>
      </c>
      <c r="T22" s="85" t="b">
        <v>0</v>
      </c>
      <c r="U22" s="85" t="b">
        <v>0</v>
      </c>
      <c r="V22" s="85" t="b">
        <v>0</v>
      </c>
      <c r="W22" s="85" t="b">
        <v>0</v>
      </c>
      <c r="X22" s="99"/>
      <c r="Y22" s="880" t="s">
        <v>158</v>
      </c>
    </row>
    <row r="23" spans="1:25">
      <c r="A23" s="397" t="s">
        <v>1091</v>
      </c>
      <c r="B23" s="398" t="s">
        <v>1117</v>
      </c>
      <c r="C23" s="398">
        <v>4</v>
      </c>
      <c r="D23" s="398" t="s">
        <v>1133</v>
      </c>
      <c r="E23" s="398" t="s">
        <v>1098</v>
      </c>
      <c r="F23" s="398" t="s">
        <v>1094</v>
      </c>
      <c r="G23" s="398" t="s">
        <v>153</v>
      </c>
      <c r="H23" s="97">
        <v>3</v>
      </c>
      <c r="I23" s="98">
        <v>3</v>
      </c>
      <c r="J23" s="98">
        <v>6</v>
      </c>
      <c r="K23" s="97">
        <v>5</v>
      </c>
      <c r="L23" s="399">
        <f t="shared" si="0"/>
        <v>1</v>
      </c>
      <c r="M23" s="399" t="s">
        <v>1108</v>
      </c>
      <c r="N23" s="399">
        <v>6</v>
      </c>
      <c r="O23" s="85" t="b">
        <v>1</v>
      </c>
      <c r="P23" s="85" t="b">
        <v>0</v>
      </c>
      <c r="Q23" s="85" t="b">
        <v>0</v>
      </c>
      <c r="R23" s="85" t="b">
        <v>0</v>
      </c>
      <c r="S23" s="85" t="b">
        <v>1</v>
      </c>
      <c r="T23" s="85" t="b">
        <v>0</v>
      </c>
      <c r="U23" s="85" t="b">
        <v>0</v>
      </c>
      <c r="V23" s="85" t="b">
        <v>0</v>
      </c>
      <c r="W23" s="85" t="b">
        <v>0</v>
      </c>
      <c r="X23" s="99"/>
      <c r="Y23" s="880" t="s">
        <v>158</v>
      </c>
    </row>
    <row r="24" spans="1:25" ht="36">
      <c r="A24" s="397" t="s">
        <v>1091</v>
      </c>
      <c r="B24" s="398" t="s">
        <v>1117</v>
      </c>
      <c r="C24" s="398">
        <v>4</v>
      </c>
      <c r="D24" s="398" t="s">
        <v>1134</v>
      </c>
      <c r="E24" s="398" t="s">
        <v>1122</v>
      </c>
      <c r="F24" s="398" t="s">
        <v>1094</v>
      </c>
      <c r="G24" s="398" t="s">
        <v>153</v>
      </c>
      <c r="H24" s="97">
        <v>1</v>
      </c>
      <c r="I24" s="98">
        <v>2</v>
      </c>
      <c r="J24" s="98">
        <v>4</v>
      </c>
      <c r="K24" s="97">
        <v>2</v>
      </c>
      <c r="L24" s="399">
        <f t="shared" si="0"/>
        <v>2</v>
      </c>
      <c r="M24" s="101" t="s">
        <v>1123</v>
      </c>
      <c r="N24" s="101" t="s">
        <v>1124</v>
      </c>
      <c r="O24" s="85" t="b">
        <v>1</v>
      </c>
      <c r="P24" s="85" t="b">
        <v>0</v>
      </c>
      <c r="Q24" s="85" t="b">
        <v>0</v>
      </c>
      <c r="R24" s="85" t="b">
        <v>0</v>
      </c>
      <c r="S24" s="85" t="b">
        <v>0</v>
      </c>
      <c r="T24" s="85" t="b">
        <v>0</v>
      </c>
      <c r="U24" s="85" t="b">
        <v>1</v>
      </c>
      <c r="V24" s="85" t="b">
        <v>0</v>
      </c>
      <c r="W24" s="85" t="b">
        <v>1</v>
      </c>
      <c r="X24" s="99"/>
      <c r="Y24" s="880" t="s">
        <v>158</v>
      </c>
    </row>
    <row r="25" spans="1:25">
      <c r="A25" s="397" t="s">
        <v>1091</v>
      </c>
      <c r="B25" s="398" t="s">
        <v>1117</v>
      </c>
      <c r="C25" s="398">
        <v>4</v>
      </c>
      <c r="D25" s="398" t="s">
        <v>1135</v>
      </c>
      <c r="E25" s="398" t="s">
        <v>1136</v>
      </c>
      <c r="F25" s="398" t="s">
        <v>1094</v>
      </c>
      <c r="G25" s="398" t="s">
        <v>153</v>
      </c>
      <c r="H25" s="97">
        <v>7</v>
      </c>
      <c r="I25" s="98">
        <v>4</v>
      </c>
      <c r="J25" s="98">
        <v>8</v>
      </c>
      <c r="K25" s="97">
        <v>7</v>
      </c>
      <c r="L25" s="399">
        <f t="shared" si="0"/>
        <v>1</v>
      </c>
      <c r="M25" s="399" t="s">
        <v>1095</v>
      </c>
      <c r="N25" s="399">
        <v>6</v>
      </c>
      <c r="O25" s="85" t="b">
        <v>1</v>
      </c>
      <c r="P25" s="85" t="b">
        <v>0</v>
      </c>
      <c r="Q25" s="85" t="b">
        <v>0</v>
      </c>
      <c r="R25" s="85" t="b">
        <v>0</v>
      </c>
      <c r="S25" s="85" t="b">
        <v>1</v>
      </c>
      <c r="T25" s="85" t="b">
        <v>0</v>
      </c>
      <c r="U25" s="85" t="b">
        <v>0</v>
      </c>
      <c r="V25" s="85" t="b">
        <v>0</v>
      </c>
      <c r="W25" s="85" t="b">
        <v>0</v>
      </c>
      <c r="X25" s="99"/>
      <c r="Y25" s="880" t="s">
        <v>158</v>
      </c>
    </row>
    <row r="26" spans="1:25">
      <c r="A26" s="397" t="s">
        <v>1091</v>
      </c>
      <c r="B26" s="398" t="s">
        <v>1117</v>
      </c>
      <c r="C26" s="398">
        <v>5</v>
      </c>
      <c r="D26" s="398" t="s">
        <v>1137</v>
      </c>
      <c r="E26" s="398" t="s">
        <v>1138</v>
      </c>
      <c r="F26" s="398" t="s">
        <v>1094</v>
      </c>
      <c r="G26" s="398" t="s">
        <v>153</v>
      </c>
      <c r="H26" s="97">
        <v>8</v>
      </c>
      <c r="I26" s="98">
        <v>5</v>
      </c>
      <c r="J26" s="98">
        <v>10</v>
      </c>
      <c r="K26" s="97">
        <v>8</v>
      </c>
      <c r="L26" s="399">
        <f t="shared" si="0"/>
        <v>2</v>
      </c>
      <c r="M26" s="399" t="s">
        <v>1095</v>
      </c>
      <c r="N26" s="399">
        <v>6</v>
      </c>
      <c r="O26" s="85" t="b">
        <v>1</v>
      </c>
      <c r="P26" s="85" t="b">
        <v>0</v>
      </c>
      <c r="Q26" s="85" t="b">
        <v>0</v>
      </c>
      <c r="R26" s="85" t="b">
        <v>0</v>
      </c>
      <c r="S26" s="85" t="b">
        <v>1</v>
      </c>
      <c r="T26" s="85" t="b">
        <v>0</v>
      </c>
      <c r="U26" s="85" t="b">
        <v>0</v>
      </c>
      <c r="V26" s="85" t="b">
        <v>0</v>
      </c>
      <c r="W26" s="85" t="b">
        <v>0</v>
      </c>
      <c r="X26" s="99"/>
      <c r="Y26" s="880" t="s">
        <v>158</v>
      </c>
    </row>
    <row r="27" spans="1:25">
      <c r="A27" s="397" t="s">
        <v>778</v>
      </c>
      <c r="B27" s="398" t="s">
        <v>796</v>
      </c>
      <c r="C27" s="398">
        <v>1</v>
      </c>
      <c r="D27" s="398" t="s">
        <v>789</v>
      </c>
      <c r="E27" s="398" t="s">
        <v>481</v>
      </c>
      <c r="F27" s="398" t="s">
        <v>1094</v>
      </c>
      <c r="G27" s="398" t="s">
        <v>153</v>
      </c>
      <c r="H27" s="97">
        <v>2</v>
      </c>
      <c r="I27" s="98">
        <v>2</v>
      </c>
      <c r="J27" s="98">
        <v>4</v>
      </c>
      <c r="K27" s="97">
        <v>2</v>
      </c>
      <c r="L27" s="399">
        <f t="shared" si="0"/>
        <v>2</v>
      </c>
      <c r="M27" s="399" t="s">
        <v>1095</v>
      </c>
      <c r="N27" s="399">
        <v>6</v>
      </c>
      <c r="O27" s="85" t="b">
        <v>1</v>
      </c>
      <c r="P27" s="85" t="b">
        <v>0</v>
      </c>
      <c r="Q27" s="85" t="b">
        <v>0</v>
      </c>
      <c r="R27" s="85" t="b">
        <v>0</v>
      </c>
      <c r="S27" s="85" t="b">
        <v>1</v>
      </c>
      <c r="T27" s="85" t="b">
        <v>0</v>
      </c>
      <c r="U27" s="85" t="b">
        <v>0</v>
      </c>
      <c r="V27" s="85" t="b">
        <v>0</v>
      </c>
      <c r="W27" s="85" t="b">
        <v>0</v>
      </c>
      <c r="X27" s="99"/>
      <c r="Y27" s="880" t="s">
        <v>158</v>
      </c>
    </row>
    <row r="28" spans="1:25">
      <c r="A28" s="397" t="s">
        <v>1139</v>
      </c>
      <c r="B28" s="398" t="s">
        <v>1140</v>
      </c>
      <c r="C28" s="398">
        <v>1</v>
      </c>
      <c r="D28" s="398" t="s">
        <v>556</v>
      </c>
      <c r="E28" s="398" t="s">
        <v>1141</v>
      </c>
      <c r="F28" s="398" t="s">
        <v>1094</v>
      </c>
      <c r="G28" s="398" t="s">
        <v>153</v>
      </c>
      <c r="H28" s="97">
        <v>5</v>
      </c>
      <c r="I28" s="98">
        <v>6</v>
      </c>
      <c r="J28" s="98">
        <v>12</v>
      </c>
      <c r="K28" s="97">
        <v>5</v>
      </c>
      <c r="L28" s="399">
        <f t="shared" si="0"/>
        <v>7</v>
      </c>
      <c r="M28" s="399" t="s">
        <v>1095</v>
      </c>
      <c r="N28" s="399">
        <v>10</v>
      </c>
      <c r="O28" s="85" t="b">
        <v>1</v>
      </c>
      <c r="P28" s="85" t="b">
        <v>0</v>
      </c>
      <c r="Q28" s="85" t="b">
        <v>0</v>
      </c>
      <c r="R28" s="85" t="b">
        <v>0</v>
      </c>
      <c r="S28" s="85" t="b">
        <v>1</v>
      </c>
      <c r="T28" s="85" t="b">
        <v>0</v>
      </c>
      <c r="U28" s="85" t="b">
        <v>0</v>
      </c>
      <c r="V28" s="85" t="b">
        <v>0</v>
      </c>
      <c r="W28" s="85" t="b">
        <v>0</v>
      </c>
      <c r="X28" s="99"/>
      <c r="Y28" s="880" t="s">
        <v>158</v>
      </c>
    </row>
    <row r="29" spans="1:25">
      <c r="A29" s="397" t="s">
        <v>1139</v>
      </c>
      <c r="B29" s="398" t="s">
        <v>1140</v>
      </c>
      <c r="C29" s="398">
        <v>1</v>
      </c>
      <c r="D29" s="398" t="s">
        <v>563</v>
      </c>
      <c r="E29" s="398" t="s">
        <v>1142</v>
      </c>
      <c r="F29" s="398" t="s">
        <v>1094</v>
      </c>
      <c r="G29" s="398" t="s">
        <v>153</v>
      </c>
      <c r="H29" s="97">
        <v>4</v>
      </c>
      <c r="I29" s="98">
        <v>5</v>
      </c>
      <c r="J29" s="98">
        <v>10</v>
      </c>
      <c r="K29" s="97">
        <v>5</v>
      </c>
      <c r="L29" s="399">
        <f t="shared" si="0"/>
        <v>5</v>
      </c>
      <c r="M29" s="399" t="s">
        <v>1095</v>
      </c>
      <c r="N29" s="399">
        <v>8</v>
      </c>
      <c r="O29" s="85" t="b">
        <v>1</v>
      </c>
      <c r="P29" s="85" t="b">
        <v>0</v>
      </c>
      <c r="Q29" s="85" t="b">
        <v>0</v>
      </c>
      <c r="R29" s="85" t="b">
        <v>0</v>
      </c>
      <c r="S29" s="85" t="b">
        <v>1</v>
      </c>
      <c r="T29" s="85" t="b">
        <v>0</v>
      </c>
      <c r="U29" s="85" t="b">
        <v>0</v>
      </c>
      <c r="V29" s="85" t="b">
        <v>0</v>
      </c>
      <c r="W29" s="85" t="b">
        <v>0</v>
      </c>
      <c r="X29" s="99"/>
      <c r="Y29" s="880" t="s">
        <v>158</v>
      </c>
    </row>
    <row r="30" spans="1:25">
      <c r="A30" s="397" t="s">
        <v>1139</v>
      </c>
      <c r="B30" s="398" t="s">
        <v>1140</v>
      </c>
      <c r="C30" s="398">
        <v>2</v>
      </c>
      <c r="D30" s="398" t="s">
        <v>1143</v>
      </c>
      <c r="E30" s="398" t="s">
        <v>1098</v>
      </c>
      <c r="F30" s="398" t="s">
        <v>1094</v>
      </c>
      <c r="G30" s="398" t="s">
        <v>153</v>
      </c>
      <c r="H30" s="97">
        <v>2</v>
      </c>
      <c r="I30" s="98">
        <v>2</v>
      </c>
      <c r="J30" s="98">
        <v>4</v>
      </c>
      <c r="K30" s="97">
        <v>3</v>
      </c>
      <c r="L30" s="399">
        <f t="shared" si="0"/>
        <v>1</v>
      </c>
      <c r="M30" s="399" t="s">
        <v>1095</v>
      </c>
      <c r="N30" s="399">
        <v>6</v>
      </c>
      <c r="O30" s="85" t="b">
        <v>1</v>
      </c>
      <c r="P30" s="85" t="b">
        <v>0</v>
      </c>
      <c r="Q30" s="85" t="b">
        <v>0</v>
      </c>
      <c r="R30" s="85" t="b">
        <v>0</v>
      </c>
      <c r="S30" s="85" t="b">
        <v>1</v>
      </c>
      <c r="T30" s="85" t="b">
        <v>0</v>
      </c>
      <c r="U30" s="85" t="b">
        <v>0</v>
      </c>
      <c r="V30" s="85" t="b">
        <v>0</v>
      </c>
      <c r="W30" s="85" t="b">
        <v>0</v>
      </c>
      <c r="X30" s="99"/>
      <c r="Y30" s="880" t="s">
        <v>158</v>
      </c>
    </row>
    <row r="31" spans="1:25">
      <c r="A31" s="397" t="s">
        <v>1139</v>
      </c>
      <c r="B31" s="398" t="s">
        <v>1140</v>
      </c>
      <c r="C31" s="398">
        <v>2</v>
      </c>
      <c r="D31" s="398" t="s">
        <v>562</v>
      </c>
      <c r="E31" s="398" t="s">
        <v>1144</v>
      </c>
      <c r="F31" s="398" t="s">
        <v>1094</v>
      </c>
      <c r="G31" s="398" t="s">
        <v>153</v>
      </c>
      <c r="H31" s="97">
        <v>5</v>
      </c>
      <c r="I31" s="98">
        <v>5</v>
      </c>
      <c r="J31" s="98">
        <v>10</v>
      </c>
      <c r="K31" s="97">
        <v>6</v>
      </c>
      <c r="L31" s="399">
        <f t="shared" si="0"/>
        <v>4</v>
      </c>
      <c r="M31" s="399" t="s">
        <v>1095</v>
      </c>
      <c r="N31" s="399">
        <v>6</v>
      </c>
      <c r="O31" s="85" t="b">
        <v>1</v>
      </c>
      <c r="P31" s="85" t="b">
        <v>0</v>
      </c>
      <c r="Q31" s="85" t="b">
        <v>0</v>
      </c>
      <c r="R31" s="85" t="b">
        <v>0</v>
      </c>
      <c r="S31" s="85" t="b">
        <v>1</v>
      </c>
      <c r="T31" s="85" t="b">
        <v>0</v>
      </c>
      <c r="U31" s="85" t="b">
        <v>0</v>
      </c>
      <c r="V31" s="85" t="b">
        <v>0</v>
      </c>
      <c r="W31" s="85" t="b">
        <v>0</v>
      </c>
      <c r="X31" s="99"/>
      <c r="Y31" s="880" t="s">
        <v>158</v>
      </c>
    </row>
    <row r="32" spans="1:25">
      <c r="A32" s="397" t="s">
        <v>1139</v>
      </c>
      <c r="B32" s="398" t="s">
        <v>1140</v>
      </c>
      <c r="C32" s="398">
        <v>2</v>
      </c>
      <c r="D32" s="398" t="s">
        <v>1145</v>
      </c>
      <c r="E32" s="398" t="s">
        <v>1146</v>
      </c>
      <c r="F32" s="398" t="s">
        <v>1094</v>
      </c>
      <c r="G32" s="398" t="s">
        <v>153</v>
      </c>
      <c r="H32" s="97">
        <v>5</v>
      </c>
      <c r="I32" s="98">
        <v>5</v>
      </c>
      <c r="J32" s="98">
        <v>10</v>
      </c>
      <c r="K32" s="97">
        <v>6</v>
      </c>
      <c r="L32" s="399">
        <f t="shared" si="0"/>
        <v>4</v>
      </c>
      <c r="M32" s="399" t="s">
        <v>1095</v>
      </c>
      <c r="N32" s="399">
        <v>6</v>
      </c>
      <c r="O32" s="85" t="b">
        <v>1</v>
      </c>
      <c r="P32" s="85" t="b">
        <v>0</v>
      </c>
      <c r="Q32" s="85" t="b">
        <v>0</v>
      </c>
      <c r="R32" s="85" t="b">
        <v>0</v>
      </c>
      <c r="S32" s="85" t="b">
        <v>1</v>
      </c>
      <c r="T32" s="85" t="b">
        <v>0</v>
      </c>
      <c r="U32" s="85" t="b">
        <v>0</v>
      </c>
      <c r="V32" s="85" t="b">
        <v>0</v>
      </c>
      <c r="W32" s="85" t="b">
        <v>0</v>
      </c>
      <c r="X32" s="99"/>
      <c r="Y32" s="880" t="s">
        <v>158</v>
      </c>
    </row>
    <row r="33" spans="1:25">
      <c r="A33" s="397" t="s">
        <v>1139</v>
      </c>
      <c r="B33" s="398" t="s">
        <v>1147</v>
      </c>
      <c r="C33" s="398">
        <v>1</v>
      </c>
      <c r="D33" s="398" t="s">
        <v>1148</v>
      </c>
      <c r="E33" s="398" t="s">
        <v>1149</v>
      </c>
      <c r="F33" s="398" t="s">
        <v>1094</v>
      </c>
      <c r="G33" s="398" t="s">
        <v>153</v>
      </c>
      <c r="H33" s="97">
        <v>1</v>
      </c>
      <c r="I33" s="98">
        <v>1</v>
      </c>
      <c r="J33" s="98">
        <v>2</v>
      </c>
      <c r="K33" s="97">
        <v>1</v>
      </c>
      <c r="L33" s="399">
        <f t="shared" si="0"/>
        <v>1</v>
      </c>
      <c r="M33" s="399" t="s">
        <v>1095</v>
      </c>
      <c r="N33" s="399">
        <v>6</v>
      </c>
      <c r="O33" s="85" t="b">
        <v>1</v>
      </c>
      <c r="P33" s="85" t="b">
        <v>0</v>
      </c>
      <c r="Q33" s="85" t="b">
        <v>0</v>
      </c>
      <c r="R33" s="85" t="b">
        <v>0</v>
      </c>
      <c r="S33" s="85" t="b">
        <v>1</v>
      </c>
      <c r="T33" s="85" t="b">
        <v>0</v>
      </c>
      <c r="U33" s="85" t="b">
        <v>0</v>
      </c>
      <c r="V33" s="85" t="b">
        <v>0</v>
      </c>
      <c r="W33" s="85" t="b">
        <v>0</v>
      </c>
      <c r="X33" s="99"/>
      <c r="Y33" s="880" t="s">
        <v>158</v>
      </c>
    </row>
    <row r="34" spans="1:25">
      <c r="A34" s="397" t="s">
        <v>1139</v>
      </c>
      <c r="B34" s="398" t="s">
        <v>1147</v>
      </c>
      <c r="C34" s="398">
        <v>6</v>
      </c>
      <c r="D34" s="398" t="s">
        <v>1150</v>
      </c>
      <c r="E34" s="398" t="s">
        <v>1151</v>
      </c>
      <c r="F34" s="398" t="s">
        <v>1094</v>
      </c>
      <c r="G34" s="398" t="s">
        <v>153</v>
      </c>
      <c r="H34" s="97">
        <v>9</v>
      </c>
      <c r="I34" s="98">
        <v>9</v>
      </c>
      <c r="J34" s="98">
        <v>18</v>
      </c>
      <c r="K34" s="97">
        <v>15</v>
      </c>
      <c r="L34" s="399">
        <f t="shared" si="0"/>
        <v>3</v>
      </c>
      <c r="M34" s="399" t="s">
        <v>1095</v>
      </c>
      <c r="N34" s="399">
        <v>6</v>
      </c>
      <c r="O34" s="85" t="b">
        <v>1</v>
      </c>
      <c r="P34" s="85" t="b">
        <v>0</v>
      </c>
      <c r="Q34" s="85" t="b">
        <v>0</v>
      </c>
      <c r="R34" s="85" t="b">
        <v>0</v>
      </c>
      <c r="S34" s="85" t="b">
        <v>1</v>
      </c>
      <c r="T34" s="85" t="b">
        <v>0</v>
      </c>
      <c r="U34" s="85" t="b">
        <v>0</v>
      </c>
      <c r="V34" s="85" t="b">
        <v>0</v>
      </c>
      <c r="W34" s="85" t="b">
        <v>0</v>
      </c>
      <c r="X34" s="99"/>
      <c r="Y34" s="880" t="s">
        <v>158</v>
      </c>
    </row>
    <row r="35" spans="1:25" ht="36">
      <c r="A35" s="397" t="s">
        <v>778</v>
      </c>
      <c r="B35" s="398" t="s">
        <v>1152</v>
      </c>
      <c r="C35" s="398">
        <v>1</v>
      </c>
      <c r="D35" s="398" t="s">
        <v>1153</v>
      </c>
      <c r="E35" s="398" t="s">
        <v>1136</v>
      </c>
      <c r="F35" s="398" t="s">
        <v>1094</v>
      </c>
      <c r="G35" s="398" t="s">
        <v>153</v>
      </c>
      <c r="H35" s="97">
        <v>2</v>
      </c>
      <c r="I35" s="98">
        <v>2</v>
      </c>
      <c r="J35" s="98">
        <v>4</v>
      </c>
      <c r="K35" s="97">
        <v>3</v>
      </c>
      <c r="L35" s="399">
        <f t="shared" si="0"/>
        <v>1</v>
      </c>
      <c r="M35" s="399" t="s">
        <v>1095</v>
      </c>
      <c r="N35" s="399">
        <v>6</v>
      </c>
      <c r="O35" s="85" t="b">
        <v>1</v>
      </c>
      <c r="P35" s="85" t="b">
        <v>0</v>
      </c>
      <c r="Q35" s="85" t="b">
        <v>0</v>
      </c>
      <c r="R35" s="85" t="b">
        <v>0</v>
      </c>
      <c r="S35" s="85" t="b">
        <v>1</v>
      </c>
      <c r="T35" s="85" t="b">
        <v>0</v>
      </c>
      <c r="U35" s="85" t="b">
        <v>0</v>
      </c>
      <c r="V35" s="85" t="b">
        <v>0</v>
      </c>
      <c r="W35" s="85" t="b">
        <v>0</v>
      </c>
      <c r="X35" s="99"/>
      <c r="Y35" s="880" t="s">
        <v>158</v>
      </c>
    </row>
    <row r="36" spans="1:25">
      <c r="A36" s="397" t="s">
        <v>778</v>
      </c>
      <c r="B36" s="398" t="s">
        <v>1154</v>
      </c>
      <c r="C36" s="398">
        <v>1</v>
      </c>
      <c r="D36" s="398" t="s">
        <v>1155</v>
      </c>
      <c r="E36" s="398" t="s">
        <v>1098</v>
      </c>
      <c r="F36" s="398" t="s">
        <v>1094</v>
      </c>
      <c r="G36" s="398" t="s">
        <v>153</v>
      </c>
      <c r="H36" s="97">
        <v>5</v>
      </c>
      <c r="I36" s="98">
        <v>5</v>
      </c>
      <c r="J36" s="98">
        <v>10</v>
      </c>
      <c r="K36" s="97">
        <v>9</v>
      </c>
      <c r="L36" s="399">
        <f t="shared" si="0"/>
        <v>1</v>
      </c>
      <c r="M36" s="399" t="s">
        <v>1095</v>
      </c>
      <c r="N36" s="399">
        <v>6</v>
      </c>
      <c r="O36" s="85" t="b">
        <v>1</v>
      </c>
      <c r="P36" s="85" t="b">
        <v>0</v>
      </c>
      <c r="Q36" s="85" t="b">
        <v>0</v>
      </c>
      <c r="R36" s="85" t="b">
        <v>0</v>
      </c>
      <c r="S36" s="85" t="b">
        <v>1</v>
      </c>
      <c r="T36" s="85" t="b">
        <v>0</v>
      </c>
      <c r="U36" s="85" t="b">
        <v>0</v>
      </c>
      <c r="V36" s="85" t="b">
        <v>0</v>
      </c>
      <c r="W36" s="85" t="b">
        <v>0</v>
      </c>
      <c r="X36" s="99"/>
      <c r="Y36" s="880" t="s">
        <v>158</v>
      </c>
    </row>
    <row r="37" spans="1:25">
      <c r="A37" s="397" t="s">
        <v>1139</v>
      </c>
      <c r="B37" s="398" t="s">
        <v>1156</v>
      </c>
      <c r="C37" s="398">
        <v>2</v>
      </c>
      <c r="D37" s="398" t="s">
        <v>1157</v>
      </c>
      <c r="E37" s="398" t="s">
        <v>1158</v>
      </c>
      <c r="F37" s="398" t="s">
        <v>1094</v>
      </c>
      <c r="G37" s="398" t="s">
        <v>153</v>
      </c>
      <c r="H37" s="97">
        <v>4</v>
      </c>
      <c r="I37" s="98">
        <v>4</v>
      </c>
      <c r="J37" s="98">
        <v>8</v>
      </c>
      <c r="K37" s="97">
        <v>7</v>
      </c>
      <c r="L37" s="399">
        <f t="shared" si="0"/>
        <v>1</v>
      </c>
      <c r="M37" s="399" t="s">
        <v>1095</v>
      </c>
      <c r="N37" s="399">
        <v>6</v>
      </c>
      <c r="O37" s="85" t="b">
        <v>1</v>
      </c>
      <c r="P37" s="85" t="b">
        <v>0</v>
      </c>
      <c r="Q37" s="85" t="b">
        <v>0</v>
      </c>
      <c r="R37" s="85" t="b">
        <v>0</v>
      </c>
      <c r="S37" s="85" t="b">
        <v>1</v>
      </c>
      <c r="T37" s="85" t="b">
        <v>0</v>
      </c>
      <c r="U37" s="85" t="b">
        <v>0</v>
      </c>
      <c r="V37" s="85" t="b">
        <v>0</v>
      </c>
      <c r="W37" s="85" t="b">
        <v>0</v>
      </c>
      <c r="X37" s="99"/>
      <c r="Y37" s="880" t="s">
        <v>158</v>
      </c>
    </row>
    <row r="38" spans="1:25">
      <c r="A38" s="397" t="s">
        <v>1139</v>
      </c>
      <c r="B38" s="398" t="s">
        <v>1159</v>
      </c>
      <c r="C38" s="398">
        <v>2</v>
      </c>
      <c r="D38" s="398" t="s">
        <v>1160</v>
      </c>
      <c r="E38" s="398" t="s">
        <v>1161</v>
      </c>
      <c r="F38" s="398" t="s">
        <v>1094</v>
      </c>
      <c r="G38" s="398" t="s">
        <v>153</v>
      </c>
      <c r="H38" s="97">
        <v>3</v>
      </c>
      <c r="I38" s="98">
        <v>3</v>
      </c>
      <c r="J38" s="98">
        <v>6</v>
      </c>
      <c r="K38" s="97">
        <v>5</v>
      </c>
      <c r="L38" s="399">
        <f t="shared" si="0"/>
        <v>1</v>
      </c>
      <c r="M38" s="399" t="s">
        <v>1095</v>
      </c>
      <c r="N38" s="399">
        <v>6</v>
      </c>
      <c r="O38" s="85" t="b">
        <v>1</v>
      </c>
      <c r="P38" s="85" t="b">
        <v>0</v>
      </c>
      <c r="Q38" s="85" t="b">
        <v>0</v>
      </c>
      <c r="R38" s="85" t="b">
        <v>0</v>
      </c>
      <c r="S38" s="85" t="b">
        <v>1</v>
      </c>
      <c r="T38" s="85" t="b">
        <v>0</v>
      </c>
      <c r="U38" s="85" t="b">
        <v>0</v>
      </c>
      <c r="V38" s="85" t="b">
        <v>0</v>
      </c>
      <c r="W38" s="85" t="b">
        <v>0</v>
      </c>
      <c r="X38" s="99"/>
      <c r="Y38" s="880" t="s">
        <v>158</v>
      </c>
    </row>
    <row r="39" spans="1:25">
      <c r="A39" s="397" t="s">
        <v>1091</v>
      </c>
      <c r="B39" s="398" t="s">
        <v>494</v>
      </c>
      <c r="C39" s="398">
        <v>1</v>
      </c>
      <c r="D39" s="398" t="s">
        <v>495</v>
      </c>
      <c r="E39" s="398" t="s">
        <v>1162</v>
      </c>
      <c r="F39" s="398" t="s">
        <v>1163</v>
      </c>
      <c r="G39" s="100" t="s">
        <v>1101</v>
      </c>
      <c r="H39" s="97">
        <v>1</v>
      </c>
      <c r="I39" s="98">
        <v>1</v>
      </c>
      <c r="J39" s="98">
        <v>2</v>
      </c>
      <c r="K39" s="97">
        <v>0</v>
      </c>
      <c r="L39" s="399">
        <f t="shared" si="0"/>
        <v>2</v>
      </c>
      <c r="M39" s="399" t="s">
        <v>1095</v>
      </c>
      <c r="N39" s="399"/>
      <c r="O39" s="85" t="b">
        <v>0</v>
      </c>
      <c r="P39" s="85" t="b">
        <v>0</v>
      </c>
      <c r="Q39" s="85" t="b">
        <v>0</v>
      </c>
      <c r="R39" s="85" t="b">
        <v>0</v>
      </c>
      <c r="S39" s="85" t="b">
        <v>0</v>
      </c>
      <c r="T39" s="85" t="b">
        <v>0</v>
      </c>
      <c r="U39" s="85" t="b">
        <v>0</v>
      </c>
      <c r="V39" s="85" t="b">
        <v>1</v>
      </c>
      <c r="W39" s="85" t="b">
        <v>0</v>
      </c>
      <c r="X39" s="99"/>
      <c r="Y39" s="880" t="s">
        <v>158</v>
      </c>
    </row>
    <row r="40" spans="1:25">
      <c r="A40" s="397" t="s">
        <v>1091</v>
      </c>
      <c r="B40" s="398" t="s">
        <v>494</v>
      </c>
      <c r="C40" s="398">
        <v>1</v>
      </c>
      <c r="D40" s="398" t="s">
        <v>498</v>
      </c>
      <c r="E40" s="398" t="s">
        <v>1162</v>
      </c>
      <c r="F40" s="398" t="s">
        <v>1163</v>
      </c>
      <c r="G40" s="100" t="s">
        <v>1101</v>
      </c>
      <c r="H40" s="97">
        <v>1</v>
      </c>
      <c r="I40" s="98">
        <v>1</v>
      </c>
      <c r="J40" s="98">
        <v>2</v>
      </c>
      <c r="K40" s="97">
        <v>1</v>
      </c>
      <c r="L40" s="399">
        <f t="shared" si="0"/>
        <v>1</v>
      </c>
      <c r="M40" s="399" t="s">
        <v>1095</v>
      </c>
      <c r="N40" s="399"/>
      <c r="O40" s="85" t="b">
        <v>0</v>
      </c>
      <c r="P40" s="85" t="b">
        <v>0</v>
      </c>
      <c r="Q40" s="85" t="b">
        <v>0</v>
      </c>
      <c r="R40" s="85" t="b">
        <v>0</v>
      </c>
      <c r="S40" s="85" t="b">
        <v>0</v>
      </c>
      <c r="T40" s="85" t="b">
        <v>0</v>
      </c>
      <c r="U40" s="85" t="b">
        <v>0</v>
      </c>
      <c r="V40" s="85" t="b">
        <v>1</v>
      </c>
      <c r="W40" s="85" t="b">
        <v>0</v>
      </c>
      <c r="X40" s="99"/>
      <c r="Y40" s="880" t="s">
        <v>158</v>
      </c>
    </row>
    <row r="41" spans="1:25">
      <c r="A41" s="397" t="s">
        <v>1091</v>
      </c>
      <c r="B41" s="398" t="s">
        <v>408</v>
      </c>
      <c r="C41" s="398">
        <v>1</v>
      </c>
      <c r="D41" s="398" t="s">
        <v>362</v>
      </c>
      <c r="E41" s="398" t="s">
        <v>1164</v>
      </c>
      <c r="F41" s="398" t="s">
        <v>1165</v>
      </c>
      <c r="G41" s="100" t="s">
        <v>1101</v>
      </c>
      <c r="H41" s="97">
        <v>1</v>
      </c>
      <c r="I41" s="98">
        <v>1</v>
      </c>
      <c r="J41" s="98">
        <v>2</v>
      </c>
      <c r="K41" s="97">
        <v>1</v>
      </c>
      <c r="L41" s="399">
        <f t="shared" si="0"/>
        <v>1</v>
      </c>
      <c r="M41" s="399" t="s">
        <v>1095</v>
      </c>
      <c r="N41" s="399"/>
      <c r="O41" s="85" t="b">
        <v>0</v>
      </c>
      <c r="P41" s="85" t="b">
        <v>0</v>
      </c>
      <c r="Q41" s="85" t="b">
        <v>0</v>
      </c>
      <c r="R41" s="85" t="b">
        <v>0</v>
      </c>
      <c r="S41" s="85" t="b">
        <v>0</v>
      </c>
      <c r="T41" s="85" t="b">
        <v>0</v>
      </c>
      <c r="U41" s="85" t="b">
        <v>0</v>
      </c>
      <c r="V41" s="85" t="b">
        <v>1</v>
      </c>
      <c r="W41" s="85" t="b">
        <v>0</v>
      </c>
      <c r="X41" s="99"/>
      <c r="Y41" s="880" t="s">
        <v>158</v>
      </c>
    </row>
    <row r="42" spans="1:25">
      <c r="A42" s="397" t="s">
        <v>1091</v>
      </c>
      <c r="B42" s="398" t="s">
        <v>408</v>
      </c>
      <c r="C42" s="398">
        <v>1</v>
      </c>
      <c r="D42" s="398" t="s">
        <v>362</v>
      </c>
      <c r="E42" s="398" t="s">
        <v>1166</v>
      </c>
      <c r="F42" s="398" t="s">
        <v>1163</v>
      </c>
      <c r="G42" s="100" t="s">
        <v>1101</v>
      </c>
      <c r="H42" s="97">
        <v>2</v>
      </c>
      <c r="I42" s="98">
        <v>2</v>
      </c>
      <c r="J42" s="98">
        <v>4</v>
      </c>
      <c r="K42" s="97">
        <v>0</v>
      </c>
      <c r="L42" s="399">
        <f t="shared" si="0"/>
        <v>4</v>
      </c>
      <c r="M42" s="399" t="s">
        <v>1095</v>
      </c>
      <c r="N42" s="399"/>
      <c r="O42" s="85" t="b">
        <v>0</v>
      </c>
      <c r="P42" s="85" t="b">
        <v>0</v>
      </c>
      <c r="Q42" s="85" t="b">
        <v>0</v>
      </c>
      <c r="R42" s="85" t="b">
        <v>0</v>
      </c>
      <c r="S42" s="85" t="b">
        <v>0</v>
      </c>
      <c r="T42" s="85" t="b">
        <v>0</v>
      </c>
      <c r="U42" s="85" t="b">
        <v>0</v>
      </c>
      <c r="V42" s="85" t="b">
        <v>1</v>
      </c>
      <c r="W42" s="85" t="b">
        <v>0</v>
      </c>
      <c r="X42" s="99"/>
      <c r="Y42" s="880" t="s">
        <v>158</v>
      </c>
    </row>
    <row r="43" spans="1:25">
      <c r="A43" s="397" t="s">
        <v>1091</v>
      </c>
      <c r="B43" s="398" t="s">
        <v>408</v>
      </c>
      <c r="C43" s="398">
        <v>1</v>
      </c>
      <c r="D43" s="398" t="s">
        <v>362</v>
      </c>
      <c r="E43" s="398" t="s">
        <v>1166</v>
      </c>
      <c r="F43" s="398" t="s">
        <v>1163</v>
      </c>
      <c r="G43" s="100" t="s">
        <v>1101</v>
      </c>
      <c r="H43" s="97" t="s">
        <v>41</v>
      </c>
      <c r="I43" s="98">
        <v>1</v>
      </c>
      <c r="J43" s="98">
        <v>2</v>
      </c>
      <c r="K43" s="97">
        <v>0</v>
      </c>
      <c r="L43" s="399">
        <f t="shared" si="0"/>
        <v>2</v>
      </c>
      <c r="M43" s="399" t="s">
        <v>1095</v>
      </c>
      <c r="N43" s="399"/>
      <c r="O43" s="85" t="b">
        <v>0</v>
      </c>
      <c r="P43" s="85" t="b">
        <v>0</v>
      </c>
      <c r="Q43" s="85" t="b">
        <v>0</v>
      </c>
      <c r="R43" s="85" t="b">
        <v>0</v>
      </c>
      <c r="S43" s="85" t="b">
        <v>0</v>
      </c>
      <c r="T43" s="85" t="b">
        <v>0</v>
      </c>
      <c r="U43" s="85" t="b">
        <v>0</v>
      </c>
      <c r="V43" s="85" t="b">
        <v>1</v>
      </c>
      <c r="W43" s="85" t="b">
        <v>0</v>
      </c>
      <c r="X43" s="99"/>
      <c r="Y43" s="880" t="s">
        <v>158</v>
      </c>
    </row>
    <row r="44" spans="1:25">
      <c r="A44" s="397" t="s">
        <v>1167</v>
      </c>
      <c r="B44" s="398" t="s">
        <v>408</v>
      </c>
      <c r="C44" s="398">
        <v>1</v>
      </c>
      <c r="D44" s="398" t="s">
        <v>425</v>
      </c>
      <c r="E44" s="398" t="s">
        <v>1164</v>
      </c>
      <c r="F44" s="398" t="s">
        <v>1165</v>
      </c>
      <c r="G44" s="100" t="s">
        <v>1101</v>
      </c>
      <c r="H44" s="97">
        <v>1</v>
      </c>
      <c r="I44" s="98">
        <v>1</v>
      </c>
      <c r="J44" s="98">
        <v>2</v>
      </c>
      <c r="K44" s="97">
        <v>0</v>
      </c>
      <c r="L44" s="399">
        <f t="shared" si="0"/>
        <v>2</v>
      </c>
      <c r="M44" s="399" t="s">
        <v>1095</v>
      </c>
      <c r="N44" s="399"/>
      <c r="O44" s="85" t="b">
        <v>0</v>
      </c>
      <c r="P44" s="85" t="b">
        <v>0</v>
      </c>
      <c r="Q44" s="85" t="b">
        <v>0</v>
      </c>
      <c r="R44" s="85" t="b">
        <v>0</v>
      </c>
      <c r="S44" s="85" t="b">
        <v>0</v>
      </c>
      <c r="T44" s="85" t="b">
        <v>0</v>
      </c>
      <c r="U44" s="85" t="b">
        <v>0</v>
      </c>
      <c r="V44" s="85" t="b">
        <v>1</v>
      </c>
      <c r="W44" s="85" t="b">
        <v>0</v>
      </c>
      <c r="X44" s="99"/>
      <c r="Y44" s="880" t="s">
        <v>158</v>
      </c>
    </row>
    <row r="45" spans="1:25">
      <c r="A45" s="397" t="s">
        <v>1167</v>
      </c>
      <c r="B45" s="398" t="s">
        <v>408</v>
      </c>
      <c r="C45" s="398">
        <v>1</v>
      </c>
      <c r="D45" s="398" t="s">
        <v>425</v>
      </c>
      <c r="E45" s="398" t="s">
        <v>1166</v>
      </c>
      <c r="F45" s="398" t="s">
        <v>1163</v>
      </c>
      <c r="G45" s="100" t="s">
        <v>1101</v>
      </c>
      <c r="H45" s="97">
        <v>2</v>
      </c>
      <c r="I45" s="98">
        <v>2</v>
      </c>
      <c r="J45" s="98">
        <v>4</v>
      </c>
      <c r="K45" s="97">
        <v>0</v>
      </c>
      <c r="L45" s="399">
        <f t="shared" si="0"/>
        <v>4</v>
      </c>
      <c r="M45" s="399" t="s">
        <v>1095</v>
      </c>
      <c r="N45" s="399"/>
      <c r="O45" s="85" t="b">
        <v>0</v>
      </c>
      <c r="P45" s="85" t="b">
        <v>0</v>
      </c>
      <c r="Q45" s="85" t="b">
        <v>0</v>
      </c>
      <c r="R45" s="85" t="b">
        <v>0</v>
      </c>
      <c r="S45" s="85" t="b">
        <v>0</v>
      </c>
      <c r="T45" s="85" t="b">
        <v>0</v>
      </c>
      <c r="U45" s="85" t="b">
        <v>0</v>
      </c>
      <c r="V45" s="85" t="b">
        <v>1</v>
      </c>
      <c r="W45" s="85" t="b">
        <v>0</v>
      </c>
      <c r="X45" s="99"/>
      <c r="Y45" s="880" t="s">
        <v>158</v>
      </c>
    </row>
    <row r="46" spans="1:25">
      <c r="A46" s="397" t="s">
        <v>1167</v>
      </c>
      <c r="B46" s="398" t="s">
        <v>408</v>
      </c>
      <c r="C46" s="398">
        <v>1</v>
      </c>
      <c r="D46" s="398" t="s">
        <v>425</v>
      </c>
      <c r="E46" s="398" t="s">
        <v>1166</v>
      </c>
      <c r="F46" s="398" t="s">
        <v>1168</v>
      </c>
      <c r="G46" s="100" t="s">
        <v>1101</v>
      </c>
      <c r="H46" s="97" t="s">
        <v>41</v>
      </c>
      <c r="I46" s="98">
        <v>1</v>
      </c>
      <c r="J46" s="98">
        <v>2</v>
      </c>
      <c r="K46" s="97">
        <v>1</v>
      </c>
      <c r="L46" s="399">
        <f t="shared" si="0"/>
        <v>1</v>
      </c>
      <c r="M46" s="399" t="s">
        <v>1095</v>
      </c>
      <c r="N46" s="399">
        <v>6</v>
      </c>
      <c r="O46" s="85" t="b">
        <v>1</v>
      </c>
      <c r="P46" s="85" t="b">
        <v>0</v>
      </c>
      <c r="Q46" s="85" t="b">
        <v>0</v>
      </c>
      <c r="R46" s="85" t="b">
        <v>0</v>
      </c>
      <c r="S46" s="85" t="b">
        <v>1</v>
      </c>
      <c r="T46" s="85" t="b">
        <v>0</v>
      </c>
      <c r="U46" s="85" t="b">
        <v>0</v>
      </c>
      <c r="V46" s="85" t="b">
        <v>0</v>
      </c>
      <c r="W46" s="85" t="b">
        <v>0</v>
      </c>
      <c r="X46" s="99"/>
      <c r="Y46" s="880" t="s">
        <v>158</v>
      </c>
    </row>
    <row r="47" spans="1:25">
      <c r="A47" s="397" t="s">
        <v>1167</v>
      </c>
      <c r="B47" s="398" t="s">
        <v>408</v>
      </c>
      <c r="C47" s="398">
        <v>2</v>
      </c>
      <c r="D47" s="398" t="s">
        <v>436</v>
      </c>
      <c r="E47" s="398" t="s">
        <v>1169</v>
      </c>
      <c r="F47" s="398" t="s">
        <v>1094</v>
      </c>
      <c r="G47" s="398" t="s">
        <v>153</v>
      </c>
      <c r="H47" s="97">
        <v>1</v>
      </c>
      <c r="I47" s="98">
        <v>1</v>
      </c>
      <c r="J47" s="98">
        <v>2</v>
      </c>
      <c r="K47" s="97">
        <v>1</v>
      </c>
      <c r="L47" s="399">
        <f t="shared" si="0"/>
        <v>1</v>
      </c>
      <c r="M47" s="399" t="s">
        <v>1108</v>
      </c>
      <c r="N47" s="399">
        <v>6</v>
      </c>
      <c r="O47" s="85" t="b">
        <v>1</v>
      </c>
      <c r="P47" s="85" t="b">
        <v>0</v>
      </c>
      <c r="Q47" s="85" t="b">
        <v>0</v>
      </c>
      <c r="R47" s="85" t="b">
        <v>0</v>
      </c>
      <c r="S47" s="85" t="b">
        <v>1</v>
      </c>
      <c r="T47" s="85" t="b">
        <v>0</v>
      </c>
      <c r="U47" s="85" t="b">
        <v>0</v>
      </c>
      <c r="V47" s="85" t="b">
        <v>0</v>
      </c>
      <c r="W47" s="85" t="b">
        <v>0</v>
      </c>
      <c r="X47" s="99"/>
      <c r="Y47" s="880" t="s">
        <v>158</v>
      </c>
    </row>
    <row r="48" spans="1:25">
      <c r="A48" s="397" t="s">
        <v>1167</v>
      </c>
      <c r="B48" s="398" t="s">
        <v>408</v>
      </c>
      <c r="C48" s="398">
        <v>3</v>
      </c>
      <c r="D48" s="398" t="s">
        <v>438</v>
      </c>
      <c r="E48" s="398" t="s">
        <v>1169</v>
      </c>
      <c r="F48" s="398" t="s">
        <v>1094</v>
      </c>
      <c r="G48" s="398" t="s">
        <v>153</v>
      </c>
      <c r="H48" s="97">
        <v>6</v>
      </c>
      <c r="I48" s="98">
        <v>4</v>
      </c>
      <c r="J48" s="98">
        <v>8</v>
      </c>
      <c r="K48" s="97">
        <v>6</v>
      </c>
      <c r="L48" s="399">
        <f t="shared" si="0"/>
        <v>2</v>
      </c>
      <c r="M48" s="399" t="s">
        <v>1095</v>
      </c>
      <c r="N48" s="399">
        <v>6</v>
      </c>
      <c r="O48" s="85" t="b">
        <v>1</v>
      </c>
      <c r="P48" s="85" t="b">
        <v>0</v>
      </c>
      <c r="Q48" s="85" t="b">
        <v>0</v>
      </c>
      <c r="R48" s="85" t="b">
        <v>0</v>
      </c>
      <c r="S48" s="85" t="b">
        <v>1</v>
      </c>
      <c r="T48" s="85" t="b">
        <v>0</v>
      </c>
      <c r="U48" s="85" t="b">
        <v>0</v>
      </c>
      <c r="V48" s="85" t="b">
        <v>0</v>
      </c>
      <c r="W48" s="85" t="b">
        <v>0</v>
      </c>
      <c r="X48" s="99"/>
      <c r="Y48" s="880" t="s">
        <v>158</v>
      </c>
    </row>
    <row r="49" spans="1:25">
      <c r="A49" s="397" t="s">
        <v>1170</v>
      </c>
      <c r="B49" s="398" t="s">
        <v>408</v>
      </c>
      <c r="C49" s="398" t="s">
        <v>950</v>
      </c>
      <c r="D49" s="398" t="s">
        <v>416</v>
      </c>
      <c r="E49" s="398" t="s">
        <v>1162</v>
      </c>
      <c r="F49" s="398" t="s">
        <v>1163</v>
      </c>
      <c r="G49" s="100" t="s">
        <v>1101</v>
      </c>
      <c r="H49" s="97">
        <v>1</v>
      </c>
      <c r="I49" s="98">
        <v>1</v>
      </c>
      <c r="J49" s="98">
        <v>2</v>
      </c>
      <c r="K49" s="97">
        <v>1</v>
      </c>
      <c r="L49" s="399">
        <f t="shared" si="0"/>
        <v>1</v>
      </c>
      <c r="M49" s="399" t="s">
        <v>1095</v>
      </c>
      <c r="N49" s="399"/>
      <c r="O49" s="85" t="b">
        <v>0</v>
      </c>
      <c r="P49" s="85" t="b">
        <v>0</v>
      </c>
      <c r="Q49" s="85" t="b">
        <v>0</v>
      </c>
      <c r="R49" s="85" t="b">
        <v>0</v>
      </c>
      <c r="S49" s="85" t="b">
        <v>0</v>
      </c>
      <c r="T49" s="85" t="b">
        <v>0</v>
      </c>
      <c r="U49" s="85" t="b">
        <v>0</v>
      </c>
      <c r="V49" s="85" t="b">
        <v>1</v>
      </c>
      <c r="W49" s="85" t="b">
        <v>0</v>
      </c>
      <c r="X49" s="99"/>
      <c r="Y49" s="880" t="s">
        <v>158</v>
      </c>
    </row>
    <row r="50" spans="1:25">
      <c r="A50" s="397" t="s">
        <v>1167</v>
      </c>
      <c r="B50" s="398" t="s">
        <v>705</v>
      </c>
      <c r="C50" s="398">
        <v>1</v>
      </c>
      <c r="D50" s="398" t="s">
        <v>711</v>
      </c>
      <c r="E50" s="398" t="s">
        <v>1162</v>
      </c>
      <c r="F50" s="398" t="s">
        <v>1163</v>
      </c>
      <c r="G50" s="100" t="s">
        <v>1101</v>
      </c>
      <c r="H50" s="97">
        <v>1</v>
      </c>
      <c r="I50" s="98">
        <v>1</v>
      </c>
      <c r="J50" s="98">
        <v>2</v>
      </c>
      <c r="K50" s="97">
        <v>0</v>
      </c>
      <c r="L50" s="399">
        <f t="shared" si="0"/>
        <v>2</v>
      </c>
      <c r="M50" s="399" t="s">
        <v>1095</v>
      </c>
      <c r="N50" s="399"/>
      <c r="O50" s="85" t="b">
        <v>0</v>
      </c>
      <c r="P50" s="85" t="b">
        <v>0</v>
      </c>
      <c r="Q50" s="85" t="b">
        <v>0</v>
      </c>
      <c r="R50" s="85" t="b">
        <v>0</v>
      </c>
      <c r="S50" s="85" t="b">
        <v>0</v>
      </c>
      <c r="T50" s="85" t="b">
        <v>0</v>
      </c>
      <c r="U50" s="85" t="b">
        <v>0</v>
      </c>
      <c r="V50" s="85" t="b">
        <v>1</v>
      </c>
      <c r="W50" s="85" t="b">
        <v>0</v>
      </c>
      <c r="X50" s="99"/>
      <c r="Y50" s="880" t="s">
        <v>158</v>
      </c>
    </row>
    <row r="51" spans="1:25">
      <c r="A51" s="397" t="s">
        <v>1167</v>
      </c>
      <c r="B51" s="398" t="s">
        <v>1171</v>
      </c>
      <c r="C51" s="398">
        <v>1</v>
      </c>
      <c r="D51" s="398" t="s">
        <v>1171</v>
      </c>
      <c r="E51" s="398" t="s">
        <v>1172</v>
      </c>
      <c r="F51" s="398" t="s">
        <v>1094</v>
      </c>
      <c r="G51" s="398" t="s">
        <v>153</v>
      </c>
      <c r="H51" s="97">
        <v>1</v>
      </c>
      <c r="I51" s="98">
        <v>2</v>
      </c>
      <c r="J51" s="98">
        <v>4</v>
      </c>
      <c r="K51" s="97">
        <v>1</v>
      </c>
      <c r="L51" s="399">
        <f t="shared" si="0"/>
        <v>3</v>
      </c>
      <c r="M51" s="399" t="s">
        <v>1108</v>
      </c>
      <c r="N51" s="399">
        <v>6</v>
      </c>
      <c r="O51" s="85" t="b">
        <v>1</v>
      </c>
      <c r="P51" s="85" t="b">
        <v>0</v>
      </c>
      <c r="Q51" s="85" t="b">
        <v>0</v>
      </c>
      <c r="R51" s="85" t="b">
        <v>0</v>
      </c>
      <c r="S51" s="85" t="b">
        <v>1</v>
      </c>
      <c r="T51" s="85" t="b">
        <v>0</v>
      </c>
      <c r="U51" s="85" t="b">
        <v>0</v>
      </c>
      <c r="V51" s="85" t="b">
        <v>0</v>
      </c>
      <c r="W51" s="85" t="b">
        <v>0</v>
      </c>
      <c r="X51" s="99"/>
      <c r="Y51" s="880" t="s">
        <v>158</v>
      </c>
    </row>
    <row r="52" spans="1:25">
      <c r="A52" s="397" t="s">
        <v>1091</v>
      </c>
      <c r="B52" s="398" t="s">
        <v>1173</v>
      </c>
      <c r="C52" s="398">
        <v>1</v>
      </c>
      <c r="D52" s="398" t="s">
        <v>1173</v>
      </c>
      <c r="E52" s="398" t="s">
        <v>1172</v>
      </c>
      <c r="F52" s="398" t="s">
        <v>1094</v>
      </c>
      <c r="G52" s="398" t="s">
        <v>153</v>
      </c>
      <c r="H52" s="97">
        <v>1</v>
      </c>
      <c r="I52" s="98">
        <v>2</v>
      </c>
      <c r="J52" s="98">
        <v>4</v>
      </c>
      <c r="K52" s="97">
        <v>2</v>
      </c>
      <c r="L52" s="399">
        <f t="shared" si="0"/>
        <v>2</v>
      </c>
      <c r="M52" s="399" t="s">
        <v>1108</v>
      </c>
      <c r="N52" s="399">
        <v>6</v>
      </c>
      <c r="O52" s="85" t="b">
        <v>1</v>
      </c>
      <c r="P52" s="85" t="b">
        <v>0</v>
      </c>
      <c r="Q52" s="85" t="b">
        <v>0</v>
      </c>
      <c r="R52" s="85" t="b">
        <v>0</v>
      </c>
      <c r="S52" s="85" t="b">
        <v>1</v>
      </c>
      <c r="T52" s="85" t="b">
        <v>0</v>
      </c>
      <c r="U52" s="85" t="b">
        <v>0</v>
      </c>
      <c r="V52" s="85" t="b">
        <v>0</v>
      </c>
      <c r="W52" s="85" t="b">
        <v>0</v>
      </c>
      <c r="X52" s="99"/>
      <c r="Y52" s="880" t="s">
        <v>158</v>
      </c>
    </row>
    <row r="53" spans="1:25">
      <c r="A53" s="397" t="s">
        <v>1091</v>
      </c>
      <c r="B53" s="398" t="s">
        <v>1174</v>
      </c>
      <c r="C53" s="398">
        <v>1</v>
      </c>
      <c r="D53" s="398" t="s">
        <v>1174</v>
      </c>
      <c r="E53" s="398" t="s">
        <v>1172</v>
      </c>
      <c r="F53" s="398" t="s">
        <v>1094</v>
      </c>
      <c r="G53" s="398" t="s">
        <v>153</v>
      </c>
      <c r="H53" s="97">
        <v>1</v>
      </c>
      <c r="I53" s="98">
        <v>2</v>
      </c>
      <c r="J53" s="98">
        <v>4</v>
      </c>
      <c r="K53" s="97">
        <v>1</v>
      </c>
      <c r="L53" s="399">
        <f t="shared" si="0"/>
        <v>3</v>
      </c>
      <c r="M53" s="399" t="s">
        <v>1108</v>
      </c>
      <c r="N53" s="399">
        <v>6</v>
      </c>
      <c r="O53" s="85" t="b">
        <v>1</v>
      </c>
      <c r="P53" s="85" t="b">
        <v>0</v>
      </c>
      <c r="Q53" s="85" t="b">
        <v>0</v>
      </c>
      <c r="R53" s="85" t="b">
        <v>0</v>
      </c>
      <c r="S53" s="85" t="b">
        <v>1</v>
      </c>
      <c r="T53" s="85" t="b">
        <v>0</v>
      </c>
      <c r="U53" s="85" t="b">
        <v>0</v>
      </c>
      <c r="V53" s="85" t="b">
        <v>0</v>
      </c>
      <c r="W53" s="85" t="b">
        <v>0</v>
      </c>
      <c r="X53" s="99"/>
      <c r="Y53" s="880" t="s">
        <v>158</v>
      </c>
    </row>
    <row r="54" spans="1:25">
      <c r="A54" s="397" t="s">
        <v>1139</v>
      </c>
      <c r="B54" s="398" t="s">
        <v>1175</v>
      </c>
      <c r="C54" s="398">
        <v>1</v>
      </c>
      <c r="D54" s="398" t="s">
        <v>1175</v>
      </c>
      <c r="E54" s="398" t="s">
        <v>1176</v>
      </c>
      <c r="F54" s="398" t="s">
        <v>1094</v>
      </c>
      <c r="G54" s="398" t="s">
        <v>153</v>
      </c>
      <c r="H54" s="97">
        <v>2</v>
      </c>
      <c r="I54" s="98">
        <v>2</v>
      </c>
      <c r="J54" s="98">
        <v>4</v>
      </c>
      <c r="K54" s="97">
        <v>2</v>
      </c>
      <c r="L54" s="399">
        <f t="shared" si="0"/>
        <v>2</v>
      </c>
      <c r="M54" s="399" t="s">
        <v>1095</v>
      </c>
      <c r="N54" s="399">
        <v>6</v>
      </c>
      <c r="O54" s="85" t="b">
        <v>1</v>
      </c>
      <c r="P54" s="85" t="b">
        <v>0</v>
      </c>
      <c r="Q54" s="85" t="b">
        <v>0</v>
      </c>
      <c r="R54" s="85" t="b">
        <v>0</v>
      </c>
      <c r="S54" s="85" t="b">
        <v>1</v>
      </c>
      <c r="T54" s="85" t="b">
        <v>0</v>
      </c>
      <c r="U54" s="85" t="b">
        <v>0</v>
      </c>
      <c r="V54" s="85" t="b">
        <v>0</v>
      </c>
      <c r="W54" s="85" t="b">
        <v>0</v>
      </c>
      <c r="X54" s="99"/>
      <c r="Y54" s="880" t="s">
        <v>158</v>
      </c>
    </row>
    <row r="55" spans="1:25">
      <c r="A55" s="397" t="s">
        <v>1139</v>
      </c>
      <c r="B55" s="398" t="s">
        <v>1175</v>
      </c>
      <c r="C55" s="398">
        <v>1</v>
      </c>
      <c r="D55" s="398" t="s">
        <v>1175</v>
      </c>
      <c r="E55" s="398" t="s">
        <v>1176</v>
      </c>
      <c r="F55" s="398" t="s">
        <v>1163</v>
      </c>
      <c r="G55" s="100" t="s">
        <v>1101</v>
      </c>
      <c r="H55" s="97">
        <v>2</v>
      </c>
      <c r="I55" s="98">
        <v>2</v>
      </c>
      <c r="J55" s="98">
        <v>4</v>
      </c>
      <c r="K55" s="97">
        <v>2</v>
      </c>
      <c r="L55" s="399">
        <f t="shared" si="0"/>
        <v>2</v>
      </c>
      <c r="M55" s="399" t="s">
        <v>1095</v>
      </c>
      <c r="N55" s="399">
        <v>0</v>
      </c>
      <c r="O55" s="85" t="b">
        <v>0</v>
      </c>
      <c r="P55" s="85" t="b">
        <v>0</v>
      </c>
      <c r="Q55" s="85" t="b">
        <v>0</v>
      </c>
      <c r="R55" s="85" t="b">
        <v>0</v>
      </c>
      <c r="S55" s="85" t="b">
        <v>0</v>
      </c>
      <c r="T55" s="85" t="b">
        <v>0</v>
      </c>
      <c r="U55" s="85" t="b">
        <v>0</v>
      </c>
      <c r="V55" s="85" t="b">
        <v>0</v>
      </c>
      <c r="W55" s="85" t="b">
        <v>0</v>
      </c>
      <c r="X55" s="99"/>
      <c r="Y55" s="880" t="s">
        <v>158</v>
      </c>
    </row>
    <row r="56" spans="1:25">
      <c r="A56" s="397" t="s">
        <v>1139</v>
      </c>
      <c r="B56" s="398" t="s">
        <v>1177</v>
      </c>
      <c r="C56" s="398">
        <v>1</v>
      </c>
      <c r="D56" s="398" t="s">
        <v>584</v>
      </c>
      <c r="E56" s="398" t="s">
        <v>1098</v>
      </c>
      <c r="F56" s="398" t="s">
        <v>1094</v>
      </c>
      <c r="G56" s="398" t="s">
        <v>153</v>
      </c>
      <c r="H56" s="97">
        <v>2</v>
      </c>
      <c r="I56" s="98">
        <v>2</v>
      </c>
      <c r="J56" s="98">
        <v>4</v>
      </c>
      <c r="K56" s="97">
        <v>2</v>
      </c>
      <c r="L56" s="399">
        <f t="shared" si="0"/>
        <v>2</v>
      </c>
      <c r="M56" s="399" t="s">
        <v>1108</v>
      </c>
      <c r="N56" s="399">
        <v>6</v>
      </c>
      <c r="O56" s="85" t="b">
        <v>1</v>
      </c>
      <c r="P56" s="85" t="b">
        <v>0</v>
      </c>
      <c r="Q56" s="85" t="b">
        <v>0</v>
      </c>
      <c r="R56" s="85" t="b">
        <v>0</v>
      </c>
      <c r="S56" s="85" t="b">
        <v>1</v>
      </c>
      <c r="T56" s="85" t="b">
        <v>0</v>
      </c>
      <c r="U56" s="85" t="b">
        <v>0</v>
      </c>
      <c r="V56" s="85" t="b">
        <v>0</v>
      </c>
      <c r="W56" s="85" t="b">
        <v>0</v>
      </c>
      <c r="X56" s="99"/>
      <c r="Y56" s="880" t="s">
        <v>158</v>
      </c>
    </row>
    <row r="57" spans="1:25">
      <c r="A57" s="397" t="s">
        <v>1139</v>
      </c>
      <c r="B57" s="398" t="s">
        <v>1177</v>
      </c>
      <c r="C57" s="398">
        <v>1</v>
      </c>
      <c r="D57" s="398" t="s">
        <v>585</v>
      </c>
      <c r="E57" s="398" t="s">
        <v>1098</v>
      </c>
      <c r="F57" s="398" t="s">
        <v>1094</v>
      </c>
      <c r="G57" s="398" t="s">
        <v>153</v>
      </c>
      <c r="H57" s="97">
        <v>2</v>
      </c>
      <c r="I57" s="98">
        <v>2</v>
      </c>
      <c r="J57" s="98">
        <v>4</v>
      </c>
      <c r="K57" s="97">
        <v>2</v>
      </c>
      <c r="L57" s="399">
        <f t="shared" si="0"/>
        <v>2</v>
      </c>
      <c r="M57" s="399" t="s">
        <v>1108</v>
      </c>
      <c r="N57" s="399">
        <v>6</v>
      </c>
      <c r="O57" s="85" t="b">
        <v>1</v>
      </c>
      <c r="P57" s="85" t="b">
        <v>0</v>
      </c>
      <c r="Q57" s="85" t="b">
        <v>0</v>
      </c>
      <c r="R57" s="85" t="b">
        <v>0</v>
      </c>
      <c r="S57" s="85" t="b">
        <v>1</v>
      </c>
      <c r="T57" s="85" t="b">
        <v>0</v>
      </c>
      <c r="U57" s="85" t="b">
        <v>0</v>
      </c>
      <c r="V57" s="85" t="b">
        <v>0</v>
      </c>
      <c r="W57" s="85" t="b">
        <v>0</v>
      </c>
      <c r="X57" s="99"/>
      <c r="Y57" s="880" t="s">
        <v>158</v>
      </c>
    </row>
    <row r="58" spans="1:25">
      <c r="A58" s="397" t="s">
        <v>1139</v>
      </c>
      <c r="B58" s="398" t="s">
        <v>1178</v>
      </c>
      <c r="C58" s="398">
        <v>1</v>
      </c>
      <c r="D58" s="398" t="s">
        <v>1179</v>
      </c>
      <c r="E58" s="398" t="s">
        <v>1098</v>
      </c>
      <c r="F58" s="398" t="s">
        <v>1094</v>
      </c>
      <c r="G58" s="398" t="s">
        <v>153</v>
      </c>
      <c r="H58" s="97">
        <v>2</v>
      </c>
      <c r="I58" s="98">
        <v>2</v>
      </c>
      <c r="J58" s="98">
        <v>4</v>
      </c>
      <c r="K58" s="97">
        <v>2</v>
      </c>
      <c r="L58" s="399">
        <f t="shared" si="0"/>
        <v>2</v>
      </c>
      <c r="M58" s="399" t="s">
        <v>1095</v>
      </c>
      <c r="N58" s="399">
        <v>6</v>
      </c>
      <c r="O58" s="85" t="b">
        <v>1</v>
      </c>
      <c r="P58" s="85" t="b">
        <v>0</v>
      </c>
      <c r="Q58" s="85" t="b">
        <v>0</v>
      </c>
      <c r="R58" s="85" t="b">
        <v>0</v>
      </c>
      <c r="S58" s="85" t="b">
        <v>1</v>
      </c>
      <c r="T58" s="85" t="b">
        <v>0</v>
      </c>
      <c r="U58" s="85" t="b">
        <v>0</v>
      </c>
      <c r="V58" s="85" t="b">
        <v>0</v>
      </c>
      <c r="W58" s="85" t="b">
        <v>0</v>
      </c>
      <c r="X58" s="99"/>
      <c r="Y58" s="880" t="s">
        <v>158</v>
      </c>
    </row>
    <row r="59" spans="1:25" ht="36">
      <c r="A59" s="397" t="s">
        <v>1170</v>
      </c>
      <c r="B59" s="398" t="s">
        <v>1180</v>
      </c>
      <c r="C59" s="398">
        <v>1</v>
      </c>
      <c r="D59" s="398" t="s">
        <v>699</v>
      </c>
      <c r="E59" s="398" t="s">
        <v>1169</v>
      </c>
      <c r="F59" s="398" t="s">
        <v>1094</v>
      </c>
      <c r="G59" s="398" t="s">
        <v>153</v>
      </c>
      <c r="H59" s="97" t="s">
        <v>41</v>
      </c>
      <c r="I59" s="98">
        <v>33</v>
      </c>
      <c r="J59" s="98">
        <v>66</v>
      </c>
      <c r="K59" s="97">
        <v>18</v>
      </c>
      <c r="L59" s="399">
        <f t="shared" si="0"/>
        <v>48</v>
      </c>
      <c r="M59" s="399" t="s">
        <v>1095</v>
      </c>
      <c r="N59" s="399" t="s">
        <v>1181</v>
      </c>
      <c r="O59" s="85" t="b">
        <v>1</v>
      </c>
      <c r="P59" s="85" t="b">
        <v>0</v>
      </c>
      <c r="Q59" s="85" t="b">
        <v>0</v>
      </c>
      <c r="R59" s="85" t="b">
        <v>1</v>
      </c>
      <c r="S59" s="85" t="b">
        <v>1</v>
      </c>
      <c r="T59" s="85" t="b">
        <v>0</v>
      </c>
      <c r="U59" s="85" t="b">
        <v>0</v>
      </c>
      <c r="V59" s="85" t="b">
        <v>0</v>
      </c>
      <c r="W59" s="85" t="b">
        <v>0</v>
      </c>
      <c r="X59" s="99"/>
      <c r="Y59" s="880" t="s">
        <v>158</v>
      </c>
    </row>
    <row r="60" spans="1:25">
      <c r="A60" s="397" t="s">
        <v>1170</v>
      </c>
      <c r="B60" s="398" t="s">
        <v>1180</v>
      </c>
      <c r="C60" s="398">
        <v>1</v>
      </c>
      <c r="D60" s="398" t="s">
        <v>1182</v>
      </c>
      <c r="E60" s="398" t="s">
        <v>1183</v>
      </c>
      <c r="F60" s="398" t="s">
        <v>1094</v>
      </c>
      <c r="G60" s="398" t="s">
        <v>153</v>
      </c>
      <c r="H60" s="97">
        <v>1</v>
      </c>
      <c r="I60" s="98">
        <v>2</v>
      </c>
      <c r="J60" s="98">
        <v>4</v>
      </c>
      <c r="K60" s="97">
        <v>3</v>
      </c>
      <c r="L60" s="399">
        <f t="shared" si="0"/>
        <v>1</v>
      </c>
      <c r="M60" s="399" t="s">
        <v>1108</v>
      </c>
      <c r="N60" s="399">
        <v>6</v>
      </c>
      <c r="O60" s="85" t="b">
        <v>1</v>
      </c>
      <c r="P60" s="85" t="b">
        <v>0</v>
      </c>
      <c r="Q60" s="85" t="b">
        <v>0</v>
      </c>
      <c r="R60" s="85" t="b">
        <v>0</v>
      </c>
      <c r="S60" s="85" t="b">
        <v>1</v>
      </c>
      <c r="T60" s="85" t="b">
        <v>0</v>
      </c>
      <c r="U60" s="85" t="b">
        <v>0</v>
      </c>
      <c r="V60" s="85" t="b">
        <v>0</v>
      </c>
      <c r="W60" s="85" t="b">
        <v>0</v>
      </c>
      <c r="X60" s="99"/>
      <c r="Y60" s="880" t="s">
        <v>158</v>
      </c>
    </row>
    <row r="61" spans="1:25" ht="36">
      <c r="A61" s="397" t="s">
        <v>1170</v>
      </c>
      <c r="B61" s="398" t="s">
        <v>1184</v>
      </c>
      <c r="C61" s="398">
        <v>1</v>
      </c>
      <c r="D61" s="398" t="s">
        <v>695</v>
      </c>
      <c r="E61" s="398" t="s">
        <v>1169</v>
      </c>
      <c r="F61" s="398" t="s">
        <v>1094</v>
      </c>
      <c r="G61" s="398" t="s">
        <v>153</v>
      </c>
      <c r="H61" s="97" t="s">
        <v>41</v>
      </c>
      <c r="I61" s="98">
        <v>34</v>
      </c>
      <c r="J61" s="98">
        <v>68</v>
      </c>
      <c r="K61" s="97">
        <v>11</v>
      </c>
      <c r="L61" s="399">
        <f t="shared" si="0"/>
        <v>57</v>
      </c>
      <c r="M61" s="399" t="s">
        <v>1095</v>
      </c>
      <c r="N61" s="399" t="s">
        <v>1185</v>
      </c>
      <c r="O61" s="85" t="b">
        <v>1</v>
      </c>
      <c r="P61" s="85" t="b">
        <v>0</v>
      </c>
      <c r="Q61" s="85" t="b">
        <v>0</v>
      </c>
      <c r="R61" s="85" t="b">
        <v>1</v>
      </c>
      <c r="S61" s="85" t="b">
        <v>1</v>
      </c>
      <c r="T61" s="85" t="b">
        <v>0</v>
      </c>
      <c r="U61" s="85" t="b">
        <v>0</v>
      </c>
      <c r="V61" s="85" t="b">
        <v>0</v>
      </c>
      <c r="W61" s="85" t="b">
        <v>0</v>
      </c>
      <c r="X61" s="99"/>
      <c r="Y61" s="880" t="s">
        <v>158</v>
      </c>
    </row>
    <row r="62" spans="1:25">
      <c r="A62" s="397" t="s">
        <v>1167</v>
      </c>
      <c r="B62" s="398" t="s">
        <v>1186</v>
      </c>
      <c r="C62" s="398">
        <v>1</v>
      </c>
      <c r="D62" s="398" t="s">
        <v>1187</v>
      </c>
      <c r="E62" s="398" t="s">
        <v>1098</v>
      </c>
      <c r="F62" s="398" t="s">
        <v>1094</v>
      </c>
      <c r="G62" s="398" t="s">
        <v>153</v>
      </c>
      <c r="H62" s="97">
        <v>1</v>
      </c>
      <c r="I62" s="98">
        <v>1</v>
      </c>
      <c r="J62" s="98">
        <v>2</v>
      </c>
      <c r="K62" s="97">
        <v>1</v>
      </c>
      <c r="L62" s="399">
        <f t="shared" si="0"/>
        <v>1</v>
      </c>
      <c r="M62" s="399" t="s">
        <v>1108</v>
      </c>
      <c r="N62" s="399">
        <v>6</v>
      </c>
      <c r="O62" s="85" t="b">
        <v>1</v>
      </c>
      <c r="P62" s="85" t="b">
        <v>0</v>
      </c>
      <c r="Q62" s="85" t="b">
        <v>0</v>
      </c>
      <c r="R62" s="85" t="b">
        <v>0</v>
      </c>
      <c r="S62" s="85" t="b">
        <v>1</v>
      </c>
      <c r="T62" s="85" t="b">
        <v>0</v>
      </c>
      <c r="U62" s="85" t="b">
        <v>0</v>
      </c>
      <c r="V62" s="85" t="b">
        <v>0</v>
      </c>
      <c r="W62" s="85" t="b">
        <v>0</v>
      </c>
      <c r="X62" s="99"/>
      <c r="Y62" s="880" t="s">
        <v>158</v>
      </c>
    </row>
    <row r="63" spans="1:25">
      <c r="A63" s="397" t="s">
        <v>1170</v>
      </c>
      <c r="B63" s="398" t="s">
        <v>1188</v>
      </c>
      <c r="C63" s="398">
        <v>1</v>
      </c>
      <c r="D63" s="398" t="s">
        <v>655</v>
      </c>
      <c r="E63" s="398" t="s">
        <v>1169</v>
      </c>
      <c r="F63" s="398" t="s">
        <v>1094</v>
      </c>
      <c r="G63" s="398" t="s">
        <v>153</v>
      </c>
      <c r="H63" s="97">
        <v>8</v>
      </c>
      <c r="I63" s="98">
        <v>7</v>
      </c>
      <c r="J63" s="98">
        <v>14</v>
      </c>
      <c r="K63" s="97">
        <v>12</v>
      </c>
      <c r="L63" s="399">
        <f t="shared" si="0"/>
        <v>2</v>
      </c>
      <c r="M63" s="399" t="s">
        <v>1095</v>
      </c>
      <c r="N63" s="399">
        <v>6</v>
      </c>
      <c r="O63" s="85" t="b">
        <v>1</v>
      </c>
      <c r="P63" s="85" t="b">
        <v>0</v>
      </c>
      <c r="Q63" s="85" t="b">
        <v>0</v>
      </c>
      <c r="R63" s="85" t="b">
        <v>0</v>
      </c>
      <c r="S63" s="85" t="b">
        <v>1</v>
      </c>
      <c r="T63" s="85" t="b">
        <v>0</v>
      </c>
      <c r="U63" s="85" t="b">
        <v>0</v>
      </c>
      <c r="V63" s="85" t="b">
        <v>0</v>
      </c>
      <c r="W63" s="85" t="b">
        <v>0</v>
      </c>
      <c r="X63" s="99"/>
      <c r="Y63" s="880" t="s">
        <v>158</v>
      </c>
    </row>
    <row r="64" spans="1:25">
      <c r="A64" s="397" t="s">
        <v>1170</v>
      </c>
      <c r="B64" s="398" t="s">
        <v>1188</v>
      </c>
      <c r="C64" s="398">
        <v>3</v>
      </c>
      <c r="D64" s="398" t="s">
        <v>678</v>
      </c>
      <c r="E64" s="398" t="s">
        <v>1162</v>
      </c>
      <c r="F64" s="398" t="s">
        <v>1094</v>
      </c>
      <c r="G64" s="398" t="s">
        <v>153</v>
      </c>
      <c r="H64" s="97">
        <v>3</v>
      </c>
      <c r="I64" s="98">
        <v>2</v>
      </c>
      <c r="J64" s="98">
        <v>4</v>
      </c>
      <c r="K64" s="97">
        <v>3</v>
      </c>
      <c r="L64" s="399">
        <f t="shared" si="0"/>
        <v>1</v>
      </c>
      <c r="M64" s="399" t="s">
        <v>1095</v>
      </c>
      <c r="N64" s="399">
        <v>6</v>
      </c>
      <c r="O64" s="85" t="b">
        <v>1</v>
      </c>
      <c r="P64" s="85" t="b">
        <v>0</v>
      </c>
      <c r="Q64" s="85" t="b">
        <v>0</v>
      </c>
      <c r="R64" s="85" t="b">
        <v>0</v>
      </c>
      <c r="S64" s="85" t="b">
        <v>1</v>
      </c>
      <c r="T64" s="85" t="b">
        <v>0</v>
      </c>
      <c r="U64" s="85" t="b">
        <v>0</v>
      </c>
      <c r="V64" s="85" t="b">
        <v>0</v>
      </c>
      <c r="W64" s="85" t="b">
        <v>0</v>
      </c>
      <c r="X64" s="99"/>
      <c r="Y64" s="880" t="s">
        <v>158</v>
      </c>
    </row>
    <row r="65" spans="1:25">
      <c r="A65" s="397" t="s">
        <v>1170</v>
      </c>
      <c r="B65" s="398" t="s">
        <v>1188</v>
      </c>
      <c r="C65" s="398">
        <v>3</v>
      </c>
      <c r="D65" s="398" t="s">
        <v>679</v>
      </c>
      <c r="E65" s="398" t="s">
        <v>1162</v>
      </c>
      <c r="F65" s="398" t="s">
        <v>1094</v>
      </c>
      <c r="G65" s="398" t="s">
        <v>153</v>
      </c>
      <c r="H65" s="97">
        <v>3</v>
      </c>
      <c r="I65" s="98">
        <v>2</v>
      </c>
      <c r="J65" s="98">
        <v>4</v>
      </c>
      <c r="K65" s="97">
        <v>3</v>
      </c>
      <c r="L65" s="399">
        <f t="shared" si="0"/>
        <v>1</v>
      </c>
      <c r="M65" s="399" t="s">
        <v>1095</v>
      </c>
      <c r="N65" s="399">
        <v>6</v>
      </c>
      <c r="O65" s="85" t="b">
        <v>1</v>
      </c>
      <c r="P65" s="85" t="b">
        <v>0</v>
      </c>
      <c r="Q65" s="85" t="b">
        <v>0</v>
      </c>
      <c r="R65" s="85" t="b">
        <v>0</v>
      </c>
      <c r="S65" s="85" t="b">
        <v>1</v>
      </c>
      <c r="T65" s="85" t="b">
        <v>0</v>
      </c>
      <c r="U65" s="85" t="b">
        <v>0</v>
      </c>
      <c r="V65" s="85" t="b">
        <v>0</v>
      </c>
      <c r="W65" s="85" t="b">
        <v>0</v>
      </c>
      <c r="X65" s="99"/>
      <c r="Y65" s="880" t="s">
        <v>158</v>
      </c>
    </row>
    <row r="66" spans="1:25">
      <c r="A66" s="397" t="s">
        <v>1170</v>
      </c>
      <c r="B66" s="398" t="s">
        <v>1188</v>
      </c>
      <c r="C66" s="398">
        <v>4</v>
      </c>
      <c r="D66" s="398" t="s">
        <v>1189</v>
      </c>
      <c r="E66" s="398" t="s">
        <v>1162</v>
      </c>
      <c r="F66" s="398" t="s">
        <v>1094</v>
      </c>
      <c r="G66" s="398" t="s">
        <v>153</v>
      </c>
      <c r="H66" s="97">
        <v>3</v>
      </c>
      <c r="I66" s="98">
        <v>2</v>
      </c>
      <c r="J66" s="98">
        <v>4</v>
      </c>
      <c r="K66" s="97">
        <v>3</v>
      </c>
      <c r="L66" s="399">
        <f t="shared" si="0"/>
        <v>1</v>
      </c>
      <c r="M66" s="399" t="s">
        <v>1095</v>
      </c>
      <c r="N66" s="399">
        <v>6</v>
      </c>
      <c r="O66" s="85" t="b">
        <v>1</v>
      </c>
      <c r="P66" s="85" t="b">
        <v>0</v>
      </c>
      <c r="Q66" s="85" t="b">
        <v>0</v>
      </c>
      <c r="R66" s="85" t="b">
        <v>0</v>
      </c>
      <c r="S66" s="85" t="b">
        <v>1</v>
      </c>
      <c r="T66" s="85" t="b">
        <v>0</v>
      </c>
      <c r="U66" s="85" t="b">
        <v>0</v>
      </c>
      <c r="V66" s="85" t="b">
        <v>0</v>
      </c>
      <c r="W66" s="85" t="b">
        <v>0</v>
      </c>
      <c r="X66" s="99"/>
      <c r="Y66" s="880" t="s">
        <v>158</v>
      </c>
    </row>
    <row r="67" spans="1:25">
      <c r="A67" s="397" t="s">
        <v>1170</v>
      </c>
      <c r="B67" s="398" t="s">
        <v>1188</v>
      </c>
      <c r="C67" s="398">
        <v>4</v>
      </c>
      <c r="D67" s="398" t="s">
        <v>1190</v>
      </c>
      <c r="E67" s="398" t="s">
        <v>1162</v>
      </c>
      <c r="F67" s="398" t="s">
        <v>1094</v>
      </c>
      <c r="G67" s="398" t="s">
        <v>153</v>
      </c>
      <c r="H67" s="97">
        <v>3</v>
      </c>
      <c r="I67" s="98">
        <v>3</v>
      </c>
      <c r="J67" s="98">
        <v>6</v>
      </c>
      <c r="K67" s="97">
        <v>5</v>
      </c>
      <c r="L67" s="399">
        <f t="shared" ref="L67:L97" si="1">J67-K67</f>
        <v>1</v>
      </c>
      <c r="M67" s="399" t="s">
        <v>1095</v>
      </c>
      <c r="N67" s="399">
        <v>6</v>
      </c>
      <c r="O67" s="85" t="b">
        <v>1</v>
      </c>
      <c r="P67" s="85" t="b">
        <v>0</v>
      </c>
      <c r="Q67" s="85" t="b">
        <v>0</v>
      </c>
      <c r="R67" s="85" t="b">
        <v>0</v>
      </c>
      <c r="S67" s="85" t="b">
        <v>1</v>
      </c>
      <c r="T67" s="85" t="b">
        <v>0</v>
      </c>
      <c r="U67" s="85" t="b">
        <v>0</v>
      </c>
      <c r="V67" s="85" t="b">
        <v>0</v>
      </c>
      <c r="W67" s="85" t="b">
        <v>0</v>
      </c>
      <c r="X67" s="99"/>
      <c r="Y67" s="880" t="s">
        <v>158</v>
      </c>
    </row>
    <row r="68" spans="1:25">
      <c r="A68" s="397" t="s">
        <v>1170</v>
      </c>
      <c r="B68" s="398" t="s">
        <v>1188</v>
      </c>
      <c r="C68" s="398">
        <v>4</v>
      </c>
      <c r="D68" s="398" t="s">
        <v>1190</v>
      </c>
      <c r="E68" s="398" t="s">
        <v>1169</v>
      </c>
      <c r="F68" s="398" t="s">
        <v>1094</v>
      </c>
      <c r="G68" s="398" t="s">
        <v>153</v>
      </c>
      <c r="H68" s="97">
        <v>4</v>
      </c>
      <c r="I68" s="98">
        <v>3</v>
      </c>
      <c r="J68" s="98">
        <v>6</v>
      </c>
      <c r="K68" s="97">
        <v>5</v>
      </c>
      <c r="L68" s="399">
        <f t="shared" si="1"/>
        <v>1</v>
      </c>
      <c r="M68" s="399" t="s">
        <v>1095</v>
      </c>
      <c r="N68" s="399">
        <v>6</v>
      </c>
      <c r="O68" s="85" t="b">
        <v>1</v>
      </c>
      <c r="P68" s="85" t="b">
        <v>0</v>
      </c>
      <c r="Q68" s="85" t="b">
        <v>0</v>
      </c>
      <c r="R68" s="85" t="b">
        <v>0</v>
      </c>
      <c r="S68" s="85" t="b">
        <v>1</v>
      </c>
      <c r="T68" s="85" t="b">
        <v>0</v>
      </c>
      <c r="U68" s="85" t="b">
        <v>0</v>
      </c>
      <c r="V68" s="85" t="b">
        <v>0</v>
      </c>
      <c r="W68" s="85" t="b">
        <v>0</v>
      </c>
      <c r="X68" s="99"/>
      <c r="Y68" s="880" t="s">
        <v>158</v>
      </c>
    </row>
    <row r="69" spans="1:25">
      <c r="A69" s="397" t="s">
        <v>1170</v>
      </c>
      <c r="B69" s="398" t="s">
        <v>1188</v>
      </c>
      <c r="C69" s="398">
        <v>4</v>
      </c>
      <c r="D69" s="398" t="s">
        <v>1191</v>
      </c>
      <c r="E69" s="398" t="s">
        <v>1162</v>
      </c>
      <c r="F69" s="398" t="s">
        <v>1094</v>
      </c>
      <c r="G69" s="398" t="s">
        <v>153</v>
      </c>
      <c r="H69" s="97">
        <v>3</v>
      </c>
      <c r="I69" s="98">
        <v>3</v>
      </c>
      <c r="J69" s="98">
        <v>6</v>
      </c>
      <c r="K69" s="97">
        <v>5</v>
      </c>
      <c r="L69" s="399">
        <f t="shared" si="1"/>
        <v>1</v>
      </c>
      <c r="M69" s="399" t="s">
        <v>1095</v>
      </c>
      <c r="N69" s="399">
        <v>6</v>
      </c>
      <c r="O69" s="85" t="b">
        <v>1</v>
      </c>
      <c r="P69" s="85" t="b">
        <v>0</v>
      </c>
      <c r="Q69" s="85" t="b">
        <v>0</v>
      </c>
      <c r="R69" s="85" t="b">
        <v>0</v>
      </c>
      <c r="S69" s="85" t="b">
        <v>1</v>
      </c>
      <c r="T69" s="85" t="b">
        <v>0</v>
      </c>
      <c r="U69" s="85" t="b">
        <v>0</v>
      </c>
      <c r="V69" s="85" t="b">
        <v>0</v>
      </c>
      <c r="W69" s="85" t="b">
        <v>0</v>
      </c>
      <c r="X69" s="99"/>
      <c r="Y69" s="880" t="s">
        <v>158</v>
      </c>
    </row>
    <row r="70" spans="1:25">
      <c r="A70" s="397" t="s">
        <v>1170</v>
      </c>
      <c r="B70" s="398" t="s">
        <v>1188</v>
      </c>
      <c r="C70" s="398">
        <v>4</v>
      </c>
      <c r="D70" s="398" t="s">
        <v>1192</v>
      </c>
      <c r="E70" s="398" t="s">
        <v>1169</v>
      </c>
      <c r="F70" s="398" t="s">
        <v>1094</v>
      </c>
      <c r="G70" s="398" t="s">
        <v>153</v>
      </c>
      <c r="H70" s="97">
        <v>3</v>
      </c>
      <c r="I70" s="98">
        <v>3</v>
      </c>
      <c r="J70" s="98">
        <v>6</v>
      </c>
      <c r="K70" s="97">
        <v>4</v>
      </c>
      <c r="L70" s="399">
        <f t="shared" si="1"/>
        <v>2</v>
      </c>
      <c r="M70" s="399" t="s">
        <v>1095</v>
      </c>
      <c r="N70" s="399">
        <v>6</v>
      </c>
      <c r="O70" s="85" t="b">
        <v>1</v>
      </c>
      <c r="P70" s="85" t="b">
        <v>0</v>
      </c>
      <c r="Q70" s="85" t="b">
        <v>0</v>
      </c>
      <c r="R70" s="85" t="b">
        <v>0</v>
      </c>
      <c r="S70" s="85" t="b">
        <v>1</v>
      </c>
      <c r="T70" s="85" t="b">
        <v>0</v>
      </c>
      <c r="U70" s="85" t="b">
        <v>0</v>
      </c>
      <c r="V70" s="85" t="b">
        <v>0</v>
      </c>
      <c r="W70" s="85" t="b">
        <v>0</v>
      </c>
      <c r="X70" s="99"/>
      <c r="Y70" s="880" t="s">
        <v>158</v>
      </c>
    </row>
    <row r="71" spans="1:25">
      <c r="A71" s="397" t="s">
        <v>1170</v>
      </c>
      <c r="B71" s="398" t="s">
        <v>1188</v>
      </c>
      <c r="C71" s="398">
        <v>4</v>
      </c>
      <c r="D71" s="398" t="s">
        <v>1193</v>
      </c>
      <c r="E71" s="398" t="s">
        <v>1169</v>
      </c>
      <c r="F71" s="398" t="s">
        <v>1094</v>
      </c>
      <c r="G71" s="398" t="s">
        <v>153</v>
      </c>
      <c r="H71" s="97">
        <v>4</v>
      </c>
      <c r="I71" s="98">
        <v>3</v>
      </c>
      <c r="J71" s="98">
        <v>6</v>
      </c>
      <c r="K71" s="97">
        <v>4</v>
      </c>
      <c r="L71" s="399">
        <f t="shared" si="1"/>
        <v>2</v>
      </c>
      <c r="M71" s="399" t="s">
        <v>1095</v>
      </c>
      <c r="N71" s="399">
        <v>6</v>
      </c>
      <c r="O71" s="85" t="b">
        <v>1</v>
      </c>
      <c r="P71" s="85" t="b">
        <v>0</v>
      </c>
      <c r="Q71" s="85" t="b">
        <v>0</v>
      </c>
      <c r="R71" s="85" t="b">
        <v>0</v>
      </c>
      <c r="S71" s="85" t="b">
        <v>1</v>
      </c>
      <c r="T71" s="85" t="b">
        <v>0</v>
      </c>
      <c r="U71" s="85" t="b">
        <v>0</v>
      </c>
      <c r="V71" s="85" t="b">
        <v>0</v>
      </c>
      <c r="W71" s="85" t="b">
        <v>0</v>
      </c>
      <c r="X71" s="99"/>
      <c r="Y71" s="880" t="s">
        <v>158</v>
      </c>
    </row>
    <row r="72" spans="1:25">
      <c r="A72" s="397" t="s">
        <v>1170</v>
      </c>
      <c r="B72" s="398" t="s">
        <v>1188</v>
      </c>
      <c r="C72" s="398">
        <v>4</v>
      </c>
      <c r="D72" s="398" t="s">
        <v>1194</v>
      </c>
      <c r="E72" s="398" t="s">
        <v>1162</v>
      </c>
      <c r="F72" s="398" t="s">
        <v>1094</v>
      </c>
      <c r="G72" s="398" t="s">
        <v>153</v>
      </c>
      <c r="H72" s="97">
        <v>3</v>
      </c>
      <c r="I72" s="98">
        <v>3</v>
      </c>
      <c r="J72" s="98">
        <v>6</v>
      </c>
      <c r="K72" s="97">
        <v>5</v>
      </c>
      <c r="L72" s="399">
        <f t="shared" si="1"/>
        <v>1</v>
      </c>
      <c r="M72" s="399" t="s">
        <v>1095</v>
      </c>
      <c r="N72" s="399">
        <v>6</v>
      </c>
      <c r="O72" s="85" t="b">
        <v>1</v>
      </c>
      <c r="P72" s="85" t="b">
        <v>0</v>
      </c>
      <c r="Q72" s="85" t="b">
        <v>0</v>
      </c>
      <c r="R72" s="85" t="b">
        <v>0</v>
      </c>
      <c r="S72" s="85" t="b">
        <v>1</v>
      </c>
      <c r="T72" s="85" t="b">
        <v>0</v>
      </c>
      <c r="U72" s="85" t="b">
        <v>0</v>
      </c>
      <c r="V72" s="85" t="b">
        <v>0</v>
      </c>
      <c r="W72" s="85" t="b">
        <v>0</v>
      </c>
      <c r="X72" s="99"/>
      <c r="Y72" s="880" t="s">
        <v>158</v>
      </c>
    </row>
    <row r="73" spans="1:25">
      <c r="A73" s="397" t="s">
        <v>1170</v>
      </c>
      <c r="B73" s="398" t="s">
        <v>1188</v>
      </c>
      <c r="C73" s="398">
        <v>4</v>
      </c>
      <c r="D73" s="398" t="s">
        <v>683</v>
      </c>
      <c r="E73" s="398" t="s">
        <v>1169</v>
      </c>
      <c r="F73" s="398" t="s">
        <v>1094</v>
      </c>
      <c r="G73" s="398" t="s">
        <v>153</v>
      </c>
      <c r="H73" s="97">
        <v>2</v>
      </c>
      <c r="I73" s="98">
        <v>2</v>
      </c>
      <c r="J73" s="98">
        <v>4</v>
      </c>
      <c r="K73" s="97">
        <v>2</v>
      </c>
      <c r="L73" s="399">
        <f t="shared" si="1"/>
        <v>2</v>
      </c>
      <c r="M73" s="399" t="s">
        <v>1095</v>
      </c>
      <c r="N73" s="399">
        <v>6</v>
      </c>
      <c r="O73" s="85" t="b">
        <v>1</v>
      </c>
      <c r="P73" s="85" t="b">
        <v>0</v>
      </c>
      <c r="Q73" s="85" t="b">
        <v>0</v>
      </c>
      <c r="R73" s="85" t="b">
        <v>0</v>
      </c>
      <c r="S73" s="85" t="b">
        <v>1</v>
      </c>
      <c r="T73" s="85" t="b">
        <v>0</v>
      </c>
      <c r="U73" s="85" t="b">
        <v>0</v>
      </c>
      <c r="V73" s="85" t="b">
        <v>0</v>
      </c>
      <c r="W73" s="85" t="b">
        <v>0</v>
      </c>
      <c r="X73" s="99"/>
      <c r="Y73" s="880" t="s">
        <v>158</v>
      </c>
    </row>
    <row r="74" spans="1:25">
      <c r="A74" s="397" t="s">
        <v>1170</v>
      </c>
      <c r="B74" s="398" t="s">
        <v>1188</v>
      </c>
      <c r="C74" s="398">
        <v>4</v>
      </c>
      <c r="D74" s="398" t="s">
        <v>683</v>
      </c>
      <c r="E74" s="398" t="s">
        <v>1169</v>
      </c>
      <c r="F74" s="398" t="s">
        <v>1163</v>
      </c>
      <c r="G74" s="100" t="s">
        <v>1101</v>
      </c>
      <c r="H74" s="97">
        <v>1</v>
      </c>
      <c r="I74" s="98">
        <v>1</v>
      </c>
      <c r="J74" s="98">
        <v>2</v>
      </c>
      <c r="K74" s="97">
        <v>0</v>
      </c>
      <c r="L74" s="399">
        <f t="shared" si="1"/>
        <v>2</v>
      </c>
      <c r="M74" s="399" t="s">
        <v>1095</v>
      </c>
      <c r="N74" s="399"/>
      <c r="O74" s="85" t="b">
        <v>0</v>
      </c>
      <c r="P74" s="85" t="b">
        <v>0</v>
      </c>
      <c r="Q74" s="85" t="b">
        <v>0</v>
      </c>
      <c r="R74" s="85" t="b">
        <v>0</v>
      </c>
      <c r="S74" s="85" t="b">
        <v>0</v>
      </c>
      <c r="T74" s="85" t="b">
        <v>0</v>
      </c>
      <c r="U74" s="85" t="b">
        <v>0</v>
      </c>
      <c r="V74" s="85" t="b">
        <v>1</v>
      </c>
      <c r="W74" s="85" t="b">
        <v>0</v>
      </c>
      <c r="X74" s="99"/>
      <c r="Y74" s="880" t="s">
        <v>158</v>
      </c>
    </row>
    <row r="75" spans="1:25" ht="36">
      <c r="A75" s="397" t="s">
        <v>1170</v>
      </c>
      <c r="B75" s="398" t="s">
        <v>1188</v>
      </c>
      <c r="C75" s="398">
        <v>4</v>
      </c>
      <c r="D75" s="398" t="s">
        <v>684</v>
      </c>
      <c r="E75" s="398" t="s">
        <v>1195</v>
      </c>
      <c r="F75" s="398" t="s">
        <v>1094</v>
      </c>
      <c r="G75" s="398" t="s">
        <v>153</v>
      </c>
      <c r="H75" s="97">
        <v>1</v>
      </c>
      <c r="I75" s="98">
        <v>2</v>
      </c>
      <c r="J75" s="98">
        <v>4</v>
      </c>
      <c r="K75" s="97">
        <v>1</v>
      </c>
      <c r="L75" s="399">
        <f t="shared" si="1"/>
        <v>3</v>
      </c>
      <c r="M75" s="399" t="s">
        <v>1108</v>
      </c>
      <c r="N75" s="399">
        <v>6</v>
      </c>
      <c r="O75" s="85" t="b">
        <v>1</v>
      </c>
      <c r="P75" s="85" t="b">
        <v>0</v>
      </c>
      <c r="Q75" s="85" t="b">
        <v>0</v>
      </c>
      <c r="R75" s="85" t="b">
        <v>0</v>
      </c>
      <c r="S75" s="85" t="b">
        <v>1</v>
      </c>
      <c r="T75" s="85" t="b">
        <v>0</v>
      </c>
      <c r="U75" s="85" t="b">
        <v>0</v>
      </c>
      <c r="V75" s="85" t="b">
        <v>0</v>
      </c>
      <c r="W75" s="85" t="b">
        <v>0</v>
      </c>
      <c r="X75" s="99"/>
      <c r="Y75" s="880" t="s">
        <v>158</v>
      </c>
    </row>
    <row r="76" spans="1:25">
      <c r="A76" s="397" t="s">
        <v>1170</v>
      </c>
      <c r="B76" s="398" t="s">
        <v>1188</v>
      </c>
      <c r="C76" s="398">
        <v>4</v>
      </c>
      <c r="D76" s="398" t="s">
        <v>686</v>
      </c>
      <c r="E76" s="398" t="s">
        <v>1162</v>
      </c>
      <c r="F76" s="398" t="s">
        <v>1163</v>
      </c>
      <c r="G76" s="100" t="s">
        <v>1101</v>
      </c>
      <c r="H76" s="97">
        <v>2</v>
      </c>
      <c r="I76" s="98">
        <v>2</v>
      </c>
      <c r="J76" s="98">
        <v>4</v>
      </c>
      <c r="K76" s="97">
        <v>0</v>
      </c>
      <c r="L76" s="399">
        <f t="shared" si="1"/>
        <v>4</v>
      </c>
      <c r="M76" s="399" t="s">
        <v>1095</v>
      </c>
      <c r="N76" s="399"/>
      <c r="O76" s="85" t="b">
        <v>0</v>
      </c>
      <c r="P76" s="85" t="b">
        <v>0</v>
      </c>
      <c r="Q76" s="85" t="b">
        <v>0</v>
      </c>
      <c r="R76" s="85" t="b">
        <v>0</v>
      </c>
      <c r="S76" s="85" t="b">
        <v>0</v>
      </c>
      <c r="T76" s="85" t="b">
        <v>0</v>
      </c>
      <c r="U76" s="85" t="b">
        <v>0</v>
      </c>
      <c r="V76" s="85" t="b">
        <v>1</v>
      </c>
      <c r="W76" s="85" t="b">
        <v>0</v>
      </c>
      <c r="X76" s="99"/>
      <c r="Y76" s="880" t="s">
        <v>158</v>
      </c>
    </row>
    <row r="77" spans="1:25">
      <c r="A77" s="397" t="s">
        <v>1170</v>
      </c>
      <c r="B77" s="398" t="s">
        <v>1188</v>
      </c>
      <c r="C77" s="398">
        <v>4</v>
      </c>
      <c r="D77" s="398" t="s">
        <v>687</v>
      </c>
      <c r="E77" s="398" t="s">
        <v>1098</v>
      </c>
      <c r="F77" s="398" t="s">
        <v>1094</v>
      </c>
      <c r="G77" s="398" t="s">
        <v>153</v>
      </c>
      <c r="H77" s="97">
        <v>1</v>
      </c>
      <c r="I77" s="98">
        <v>2</v>
      </c>
      <c r="J77" s="98">
        <v>4</v>
      </c>
      <c r="K77" s="97">
        <v>1</v>
      </c>
      <c r="L77" s="399">
        <f t="shared" si="1"/>
        <v>3</v>
      </c>
      <c r="M77" s="399" t="s">
        <v>1108</v>
      </c>
      <c r="N77" s="399">
        <v>6</v>
      </c>
      <c r="O77" s="85" t="b">
        <v>1</v>
      </c>
      <c r="P77" s="85" t="b">
        <v>0</v>
      </c>
      <c r="Q77" s="85" t="b">
        <v>0</v>
      </c>
      <c r="R77" s="85" t="b">
        <v>0</v>
      </c>
      <c r="S77" s="85" t="b">
        <v>1</v>
      </c>
      <c r="T77" s="85" t="b">
        <v>0</v>
      </c>
      <c r="U77" s="85" t="b">
        <v>0</v>
      </c>
      <c r="V77" s="85" t="b">
        <v>0</v>
      </c>
      <c r="W77" s="85" t="b">
        <v>0</v>
      </c>
      <c r="X77" s="99"/>
      <c r="Y77" s="880" t="s">
        <v>158</v>
      </c>
    </row>
    <row r="78" spans="1:25">
      <c r="A78" s="397" t="s">
        <v>1170</v>
      </c>
      <c r="B78" s="398" t="s">
        <v>1188</v>
      </c>
      <c r="C78" s="398" t="s">
        <v>1196</v>
      </c>
      <c r="D78" s="398" t="s">
        <v>660</v>
      </c>
      <c r="E78" s="398" t="s">
        <v>1098</v>
      </c>
      <c r="F78" s="398" t="s">
        <v>1094</v>
      </c>
      <c r="G78" s="398" t="s">
        <v>153</v>
      </c>
      <c r="H78" s="97">
        <v>1</v>
      </c>
      <c r="I78" s="98">
        <v>2</v>
      </c>
      <c r="J78" s="98">
        <v>4</v>
      </c>
      <c r="K78" s="97">
        <v>1</v>
      </c>
      <c r="L78" s="399">
        <f t="shared" si="1"/>
        <v>3</v>
      </c>
      <c r="M78" s="399" t="s">
        <v>1095</v>
      </c>
      <c r="N78" s="399">
        <v>6</v>
      </c>
      <c r="O78" s="85" t="b">
        <v>1</v>
      </c>
      <c r="P78" s="85" t="b">
        <v>0</v>
      </c>
      <c r="Q78" s="85" t="b">
        <v>0</v>
      </c>
      <c r="R78" s="85" t="b">
        <v>0</v>
      </c>
      <c r="S78" s="85" t="b">
        <v>1</v>
      </c>
      <c r="T78" s="85" t="b">
        <v>0</v>
      </c>
      <c r="U78" s="85" t="b">
        <v>0</v>
      </c>
      <c r="V78" s="85" t="b">
        <v>0</v>
      </c>
      <c r="W78" s="85" t="b">
        <v>0</v>
      </c>
      <c r="X78" s="99"/>
      <c r="Y78" s="880" t="s">
        <v>158</v>
      </c>
    </row>
    <row r="79" spans="1:25">
      <c r="A79" s="397" t="s">
        <v>1170</v>
      </c>
      <c r="B79" s="398" t="s">
        <v>1188</v>
      </c>
      <c r="C79" s="398" t="s">
        <v>950</v>
      </c>
      <c r="D79" s="398" t="s">
        <v>636</v>
      </c>
      <c r="E79" s="398" t="s">
        <v>1164</v>
      </c>
      <c r="F79" s="398" t="s">
        <v>1165</v>
      </c>
      <c r="G79" s="100" t="s">
        <v>1101</v>
      </c>
      <c r="H79" s="97">
        <v>1</v>
      </c>
      <c r="I79" s="98">
        <v>1</v>
      </c>
      <c r="J79" s="98">
        <v>2</v>
      </c>
      <c r="K79" s="97">
        <v>0</v>
      </c>
      <c r="L79" s="399">
        <f t="shared" si="1"/>
        <v>2</v>
      </c>
      <c r="M79" s="399" t="s">
        <v>1095</v>
      </c>
      <c r="N79" s="399"/>
      <c r="O79" s="85" t="b">
        <v>0</v>
      </c>
      <c r="P79" s="85" t="b">
        <v>0</v>
      </c>
      <c r="Q79" s="85" t="b">
        <v>0</v>
      </c>
      <c r="R79" s="85" t="b">
        <v>0</v>
      </c>
      <c r="S79" s="85" t="b">
        <v>0</v>
      </c>
      <c r="T79" s="85" t="b">
        <v>0</v>
      </c>
      <c r="U79" s="85" t="b">
        <v>0</v>
      </c>
      <c r="V79" s="85" t="b">
        <v>1</v>
      </c>
      <c r="W79" s="85" t="b">
        <v>0</v>
      </c>
      <c r="X79" s="99"/>
      <c r="Y79" s="880" t="s">
        <v>158</v>
      </c>
    </row>
    <row r="80" spans="1:25">
      <c r="A80" s="397" t="s">
        <v>1170</v>
      </c>
      <c r="B80" s="398" t="s">
        <v>1188</v>
      </c>
      <c r="C80" s="398" t="s">
        <v>950</v>
      </c>
      <c r="D80" s="398" t="s">
        <v>650</v>
      </c>
      <c r="E80" s="398" t="s">
        <v>1162</v>
      </c>
      <c r="F80" s="398" t="s">
        <v>1163</v>
      </c>
      <c r="G80" s="100" t="s">
        <v>1101</v>
      </c>
      <c r="H80" s="97">
        <v>1</v>
      </c>
      <c r="I80" s="98">
        <v>1</v>
      </c>
      <c r="J80" s="98">
        <v>2</v>
      </c>
      <c r="K80" s="97">
        <v>1</v>
      </c>
      <c r="L80" s="399">
        <f t="shared" si="1"/>
        <v>1</v>
      </c>
      <c r="M80" s="399" t="s">
        <v>1095</v>
      </c>
      <c r="N80" s="399"/>
      <c r="O80" s="85" t="b">
        <v>0</v>
      </c>
      <c r="P80" s="85" t="b">
        <v>0</v>
      </c>
      <c r="Q80" s="85" t="b">
        <v>0</v>
      </c>
      <c r="R80" s="85" t="b">
        <v>0</v>
      </c>
      <c r="S80" s="85" t="b">
        <v>0</v>
      </c>
      <c r="T80" s="85" t="b">
        <v>0</v>
      </c>
      <c r="U80" s="85" t="b">
        <v>0</v>
      </c>
      <c r="V80" s="85" t="b">
        <v>1</v>
      </c>
      <c r="W80" s="85" t="b">
        <v>0</v>
      </c>
      <c r="X80" s="99"/>
      <c r="Y80" s="880" t="s">
        <v>158</v>
      </c>
    </row>
    <row r="81" spans="1:25">
      <c r="A81" s="397" t="s">
        <v>1170</v>
      </c>
      <c r="B81" s="398" t="s">
        <v>1188</v>
      </c>
      <c r="C81" s="398" t="s">
        <v>950</v>
      </c>
      <c r="D81" s="398" t="s">
        <v>651</v>
      </c>
      <c r="E81" s="398" t="s">
        <v>1162</v>
      </c>
      <c r="F81" s="398" t="s">
        <v>1163</v>
      </c>
      <c r="G81" s="100" t="s">
        <v>1101</v>
      </c>
      <c r="H81" s="97">
        <v>2</v>
      </c>
      <c r="I81" s="98">
        <v>2</v>
      </c>
      <c r="J81" s="98">
        <v>4</v>
      </c>
      <c r="K81" s="97">
        <v>0</v>
      </c>
      <c r="L81" s="399">
        <f t="shared" si="1"/>
        <v>4</v>
      </c>
      <c r="M81" s="399" t="s">
        <v>1095</v>
      </c>
      <c r="N81" s="399"/>
      <c r="O81" s="85" t="b">
        <v>0</v>
      </c>
      <c r="P81" s="85" t="b">
        <v>0</v>
      </c>
      <c r="Q81" s="85" t="b">
        <v>0</v>
      </c>
      <c r="R81" s="85" t="b">
        <v>0</v>
      </c>
      <c r="S81" s="85" t="b">
        <v>0</v>
      </c>
      <c r="T81" s="85" t="b">
        <v>0</v>
      </c>
      <c r="U81" s="85" t="b">
        <v>0</v>
      </c>
      <c r="V81" s="85" t="b">
        <v>1</v>
      </c>
      <c r="W81" s="85" t="b">
        <v>0</v>
      </c>
      <c r="X81" s="99"/>
      <c r="Y81" s="880" t="s">
        <v>158</v>
      </c>
    </row>
    <row r="82" spans="1:25">
      <c r="A82" s="397" t="s">
        <v>1091</v>
      </c>
      <c r="B82" s="398" t="s">
        <v>1197</v>
      </c>
      <c r="C82" s="398">
        <v>1</v>
      </c>
      <c r="D82" s="398" t="s">
        <v>1198</v>
      </c>
      <c r="E82" s="398" t="s">
        <v>1199</v>
      </c>
      <c r="F82" s="398" t="s">
        <v>1094</v>
      </c>
      <c r="G82" s="398" t="s">
        <v>153</v>
      </c>
      <c r="H82" s="97">
        <v>2</v>
      </c>
      <c r="I82" s="98">
        <v>3</v>
      </c>
      <c r="J82" s="98">
        <v>6</v>
      </c>
      <c r="K82" s="97">
        <v>5</v>
      </c>
      <c r="L82" s="399">
        <f t="shared" si="1"/>
        <v>1</v>
      </c>
      <c r="M82" s="399" t="s">
        <v>1095</v>
      </c>
      <c r="N82" s="399">
        <v>6</v>
      </c>
      <c r="O82" s="85" t="b">
        <v>1</v>
      </c>
      <c r="P82" s="85" t="b">
        <v>0</v>
      </c>
      <c r="Q82" s="85" t="b">
        <v>0</v>
      </c>
      <c r="R82" s="85" t="b">
        <v>0</v>
      </c>
      <c r="S82" s="85" t="b">
        <v>1</v>
      </c>
      <c r="T82" s="85" t="b">
        <v>0</v>
      </c>
      <c r="U82" s="85" t="b">
        <v>0</v>
      </c>
      <c r="V82" s="85" t="b">
        <v>0</v>
      </c>
      <c r="W82" s="85" t="b">
        <v>0</v>
      </c>
      <c r="X82" s="99"/>
      <c r="Y82" s="880" t="s">
        <v>158</v>
      </c>
    </row>
    <row r="83" spans="1:25">
      <c r="A83" s="397" t="s">
        <v>778</v>
      </c>
      <c r="B83" s="398" t="s">
        <v>773</v>
      </c>
      <c r="C83" s="398">
        <v>2</v>
      </c>
      <c r="D83" s="398" t="s">
        <v>38</v>
      </c>
      <c r="E83" s="398" t="s">
        <v>1098</v>
      </c>
      <c r="F83" s="398" t="s">
        <v>1094</v>
      </c>
      <c r="G83" s="398" t="s">
        <v>153</v>
      </c>
      <c r="H83" s="97">
        <v>6</v>
      </c>
      <c r="I83" s="98">
        <v>6</v>
      </c>
      <c r="J83" s="98">
        <v>12</v>
      </c>
      <c r="K83" s="97">
        <v>6</v>
      </c>
      <c r="L83" s="399">
        <f t="shared" si="1"/>
        <v>6</v>
      </c>
      <c r="M83" s="399" t="s">
        <v>1095</v>
      </c>
      <c r="N83" s="399">
        <v>12</v>
      </c>
      <c r="O83" s="85" t="b">
        <v>0</v>
      </c>
      <c r="P83" s="85" t="b">
        <v>0</v>
      </c>
      <c r="Q83" s="85" t="b">
        <v>0</v>
      </c>
      <c r="R83" s="85" t="b">
        <v>1</v>
      </c>
      <c r="S83" s="85" t="b">
        <v>1</v>
      </c>
      <c r="T83" s="85" t="b">
        <v>0</v>
      </c>
      <c r="U83" s="85" t="b">
        <v>0</v>
      </c>
      <c r="V83" s="85" t="b">
        <v>0</v>
      </c>
      <c r="W83" s="85" t="b">
        <v>0</v>
      </c>
      <c r="X83" s="99"/>
      <c r="Y83" s="880" t="s">
        <v>158</v>
      </c>
    </row>
    <row r="84" spans="1:25" ht="36">
      <c r="A84" s="397" t="s">
        <v>778</v>
      </c>
      <c r="B84" s="398" t="s">
        <v>773</v>
      </c>
      <c r="C84" s="398">
        <v>2</v>
      </c>
      <c r="D84" s="398" t="s">
        <v>784</v>
      </c>
      <c r="E84" s="398" t="s">
        <v>1122</v>
      </c>
      <c r="F84" s="398" t="s">
        <v>1094</v>
      </c>
      <c r="G84" s="398" t="s">
        <v>153</v>
      </c>
      <c r="H84" s="97">
        <v>1</v>
      </c>
      <c r="I84" s="98">
        <v>1</v>
      </c>
      <c r="J84" s="98">
        <v>2</v>
      </c>
      <c r="K84" s="97">
        <v>1</v>
      </c>
      <c r="L84" s="399">
        <f t="shared" si="1"/>
        <v>1</v>
      </c>
      <c r="M84" s="101" t="s">
        <v>1123</v>
      </c>
      <c r="N84" s="101" t="s">
        <v>1124</v>
      </c>
      <c r="O84" s="85" t="b">
        <v>1</v>
      </c>
      <c r="P84" s="85" t="b">
        <v>0</v>
      </c>
      <c r="Q84" s="85" t="b">
        <v>0</v>
      </c>
      <c r="R84" s="85" t="b">
        <v>0</v>
      </c>
      <c r="S84" s="85" t="b">
        <v>0</v>
      </c>
      <c r="T84" s="85" t="b">
        <v>0</v>
      </c>
      <c r="U84" s="85" t="b">
        <v>1</v>
      </c>
      <c r="V84" s="85" t="b">
        <v>0</v>
      </c>
      <c r="W84" s="85" t="b">
        <v>1</v>
      </c>
      <c r="X84" s="99"/>
      <c r="Y84" s="880" t="s">
        <v>158</v>
      </c>
    </row>
    <row r="85" spans="1:25">
      <c r="A85" s="397" t="s">
        <v>1167</v>
      </c>
      <c r="B85" s="398" t="s">
        <v>1200</v>
      </c>
      <c r="C85" s="398">
        <v>1</v>
      </c>
      <c r="D85" s="398" t="s">
        <v>70</v>
      </c>
      <c r="E85" s="398" t="s">
        <v>1201</v>
      </c>
      <c r="F85" s="398" t="s">
        <v>1094</v>
      </c>
      <c r="G85" s="398" t="s">
        <v>153</v>
      </c>
      <c r="H85" s="97">
        <v>2</v>
      </c>
      <c r="I85" s="98">
        <v>2</v>
      </c>
      <c r="J85" s="98">
        <v>4</v>
      </c>
      <c r="K85" s="97">
        <v>2</v>
      </c>
      <c r="L85" s="399">
        <f t="shared" si="1"/>
        <v>2</v>
      </c>
      <c r="M85" s="399" t="s">
        <v>1095</v>
      </c>
      <c r="N85" s="399">
        <v>6</v>
      </c>
      <c r="O85" s="85" t="b">
        <v>1</v>
      </c>
      <c r="P85" s="85" t="b">
        <v>0</v>
      </c>
      <c r="Q85" s="85" t="b">
        <v>0</v>
      </c>
      <c r="R85" s="85" t="b">
        <v>0</v>
      </c>
      <c r="S85" s="85" t="b">
        <v>1</v>
      </c>
      <c r="T85" s="85" t="b">
        <v>0</v>
      </c>
      <c r="U85" s="85" t="b">
        <v>0</v>
      </c>
      <c r="V85" s="85" t="b">
        <v>0</v>
      </c>
      <c r="W85" s="85" t="b">
        <v>0</v>
      </c>
      <c r="X85" s="99"/>
      <c r="Y85" s="880" t="s">
        <v>158</v>
      </c>
    </row>
    <row r="86" spans="1:25">
      <c r="A86" s="397" t="s">
        <v>1091</v>
      </c>
      <c r="B86" s="398" t="s">
        <v>1202</v>
      </c>
      <c r="C86" s="398">
        <v>1</v>
      </c>
      <c r="D86" s="398" t="s">
        <v>526</v>
      </c>
      <c r="E86" s="398" t="s">
        <v>1203</v>
      </c>
      <c r="F86" s="398" t="s">
        <v>1163</v>
      </c>
      <c r="G86" s="100" t="s">
        <v>1101</v>
      </c>
      <c r="H86" s="97">
        <v>2</v>
      </c>
      <c r="I86" s="98">
        <v>2</v>
      </c>
      <c r="J86" s="98">
        <v>4</v>
      </c>
      <c r="K86" s="97">
        <v>0</v>
      </c>
      <c r="L86" s="399">
        <f>J86-K86</f>
        <v>4</v>
      </c>
      <c r="M86" s="399" t="s">
        <v>1095</v>
      </c>
      <c r="N86" s="399">
        <v>6</v>
      </c>
      <c r="O86" s="85" t="b">
        <v>1</v>
      </c>
      <c r="P86" s="85" t="b">
        <v>0</v>
      </c>
      <c r="Q86" s="85" t="b">
        <v>0</v>
      </c>
      <c r="R86" s="85" t="b">
        <v>0</v>
      </c>
      <c r="S86" s="85" t="b">
        <v>1</v>
      </c>
      <c r="T86" s="85" t="b">
        <v>0</v>
      </c>
      <c r="U86" s="85" t="b">
        <v>0</v>
      </c>
      <c r="V86" s="85" t="b">
        <v>0</v>
      </c>
      <c r="W86" s="85" t="b">
        <v>0</v>
      </c>
      <c r="X86" s="99"/>
      <c r="Y86" s="880" t="s">
        <v>158</v>
      </c>
    </row>
    <row r="87" spans="1:25">
      <c r="A87" s="397" t="s">
        <v>1091</v>
      </c>
      <c r="B87" s="398" t="s">
        <v>1204</v>
      </c>
      <c r="C87" s="398">
        <v>1</v>
      </c>
      <c r="D87" s="398" t="s">
        <v>1205</v>
      </c>
      <c r="E87" s="398" t="s">
        <v>1098</v>
      </c>
      <c r="F87" s="398" t="s">
        <v>1094</v>
      </c>
      <c r="G87" s="398" t="s">
        <v>153</v>
      </c>
      <c r="H87" s="97">
        <v>4</v>
      </c>
      <c r="I87" s="98">
        <v>3</v>
      </c>
      <c r="J87" s="98">
        <v>6</v>
      </c>
      <c r="K87" s="97">
        <v>5</v>
      </c>
      <c r="L87" s="399">
        <f t="shared" si="1"/>
        <v>1</v>
      </c>
      <c r="M87" s="399" t="s">
        <v>1095</v>
      </c>
      <c r="N87" s="399">
        <v>6</v>
      </c>
      <c r="O87" s="85" t="b">
        <v>1</v>
      </c>
      <c r="P87" s="85" t="b">
        <v>0</v>
      </c>
      <c r="Q87" s="85" t="b">
        <v>0</v>
      </c>
      <c r="R87" s="85" t="b">
        <v>0</v>
      </c>
      <c r="S87" s="85" t="b">
        <v>1</v>
      </c>
      <c r="T87" s="85" t="b">
        <v>0</v>
      </c>
      <c r="U87" s="85" t="b">
        <v>0</v>
      </c>
      <c r="V87" s="85" t="b">
        <v>0</v>
      </c>
      <c r="W87" s="85" t="b">
        <v>0</v>
      </c>
      <c r="X87" s="99"/>
      <c r="Y87" s="880" t="s">
        <v>158</v>
      </c>
    </row>
    <row r="88" spans="1:25">
      <c r="A88" s="397" t="s">
        <v>1091</v>
      </c>
      <c r="B88" s="398" t="s">
        <v>1206</v>
      </c>
      <c r="C88" s="398">
        <v>1</v>
      </c>
      <c r="D88" s="398" t="s">
        <v>524</v>
      </c>
      <c r="E88" s="398" t="s">
        <v>1098</v>
      </c>
      <c r="F88" s="398" t="s">
        <v>1094</v>
      </c>
      <c r="G88" s="398" t="s">
        <v>153</v>
      </c>
      <c r="H88" s="97">
        <v>5</v>
      </c>
      <c r="I88" s="98">
        <v>5</v>
      </c>
      <c r="J88" s="98">
        <v>10</v>
      </c>
      <c r="K88" s="97">
        <v>7</v>
      </c>
      <c r="L88" s="399">
        <f t="shared" si="1"/>
        <v>3</v>
      </c>
      <c r="M88" s="399" t="s">
        <v>1095</v>
      </c>
      <c r="N88" s="399">
        <v>6</v>
      </c>
      <c r="O88" s="85" t="b">
        <v>1</v>
      </c>
      <c r="P88" s="85" t="b">
        <v>0</v>
      </c>
      <c r="Q88" s="85" t="b">
        <v>0</v>
      </c>
      <c r="R88" s="85" t="b">
        <v>0</v>
      </c>
      <c r="S88" s="85" t="b">
        <v>1</v>
      </c>
      <c r="T88" s="85" t="b">
        <v>0</v>
      </c>
      <c r="U88" s="85" t="b">
        <v>0</v>
      </c>
      <c r="V88" s="85" t="b">
        <v>0</v>
      </c>
      <c r="W88" s="85" t="b">
        <v>0</v>
      </c>
      <c r="X88" s="99"/>
      <c r="Y88" s="880" t="s">
        <v>158</v>
      </c>
    </row>
    <row r="89" spans="1:25" ht="36">
      <c r="A89" s="397" t="s">
        <v>1091</v>
      </c>
      <c r="B89" s="398" t="s">
        <v>1206</v>
      </c>
      <c r="C89" s="398">
        <v>1</v>
      </c>
      <c r="D89" s="398" t="s">
        <v>1207</v>
      </c>
      <c r="E89" s="398" t="s">
        <v>1208</v>
      </c>
      <c r="F89" s="398" t="s">
        <v>1094</v>
      </c>
      <c r="G89" s="398" t="s">
        <v>153</v>
      </c>
      <c r="H89" s="97">
        <v>1</v>
      </c>
      <c r="I89" s="98">
        <v>2</v>
      </c>
      <c r="J89" s="98">
        <v>4</v>
      </c>
      <c r="K89" s="97">
        <v>1</v>
      </c>
      <c r="L89" s="399">
        <f t="shared" si="1"/>
        <v>3</v>
      </c>
      <c r="M89" s="101" t="s">
        <v>1123</v>
      </c>
      <c r="N89" s="101" t="s">
        <v>1124</v>
      </c>
      <c r="O89" s="85" t="b">
        <v>1</v>
      </c>
      <c r="P89" s="85" t="b">
        <v>0</v>
      </c>
      <c r="Q89" s="85" t="b">
        <v>0</v>
      </c>
      <c r="R89" s="85" t="b">
        <v>0</v>
      </c>
      <c r="S89" s="85" t="b">
        <v>0</v>
      </c>
      <c r="T89" s="85" t="b">
        <v>0</v>
      </c>
      <c r="U89" s="85" t="b">
        <v>1</v>
      </c>
      <c r="V89" s="85" t="b">
        <v>0</v>
      </c>
      <c r="W89" s="85" t="b">
        <v>1</v>
      </c>
      <c r="X89" s="99"/>
      <c r="Y89" s="880" t="s">
        <v>158</v>
      </c>
    </row>
    <row r="90" spans="1:25" ht="36">
      <c r="A90" s="397" t="s">
        <v>1091</v>
      </c>
      <c r="B90" s="398" t="s">
        <v>1206</v>
      </c>
      <c r="C90" s="398">
        <v>1</v>
      </c>
      <c r="D90" s="398" t="s">
        <v>1207</v>
      </c>
      <c r="E90" s="398" t="s">
        <v>1209</v>
      </c>
      <c r="F90" s="398" t="s">
        <v>1094</v>
      </c>
      <c r="G90" s="398" t="s">
        <v>153</v>
      </c>
      <c r="H90" s="97">
        <v>2</v>
      </c>
      <c r="I90" s="98">
        <v>2</v>
      </c>
      <c r="J90" s="98">
        <v>4</v>
      </c>
      <c r="K90" s="97">
        <v>1</v>
      </c>
      <c r="L90" s="399">
        <f t="shared" si="1"/>
        <v>3</v>
      </c>
      <c r="M90" s="101" t="s">
        <v>1123</v>
      </c>
      <c r="N90" s="101" t="s">
        <v>1124</v>
      </c>
      <c r="O90" s="85" t="b">
        <v>1</v>
      </c>
      <c r="P90" s="85" t="b">
        <v>0</v>
      </c>
      <c r="Q90" s="85" t="b">
        <v>0</v>
      </c>
      <c r="R90" s="85" t="b">
        <v>0</v>
      </c>
      <c r="S90" s="85" t="b">
        <v>0</v>
      </c>
      <c r="T90" s="85" t="b">
        <v>0</v>
      </c>
      <c r="U90" s="85" t="b">
        <v>1</v>
      </c>
      <c r="V90" s="85" t="b">
        <v>0</v>
      </c>
      <c r="W90" s="85" t="b">
        <v>1</v>
      </c>
      <c r="X90" s="99"/>
      <c r="Y90" s="880" t="s">
        <v>158</v>
      </c>
    </row>
    <row r="91" spans="1:25" ht="36">
      <c r="A91" s="397" t="s">
        <v>1091</v>
      </c>
      <c r="B91" s="398" t="s">
        <v>1206</v>
      </c>
      <c r="C91" s="398">
        <v>1</v>
      </c>
      <c r="D91" s="398" t="s">
        <v>1207</v>
      </c>
      <c r="E91" s="398" t="s">
        <v>1210</v>
      </c>
      <c r="F91" s="398" t="s">
        <v>1094</v>
      </c>
      <c r="G91" s="398" t="s">
        <v>153</v>
      </c>
      <c r="H91" s="97">
        <v>1</v>
      </c>
      <c r="I91" s="98">
        <v>1</v>
      </c>
      <c r="J91" s="98">
        <v>2</v>
      </c>
      <c r="K91" s="97">
        <v>1</v>
      </c>
      <c r="L91" s="399">
        <f t="shared" si="1"/>
        <v>1</v>
      </c>
      <c r="M91" s="101" t="s">
        <v>1123</v>
      </c>
      <c r="N91" s="101" t="s">
        <v>1124</v>
      </c>
      <c r="O91" s="85" t="b">
        <v>1</v>
      </c>
      <c r="P91" s="85" t="b">
        <v>0</v>
      </c>
      <c r="Q91" s="85" t="b">
        <v>0</v>
      </c>
      <c r="R91" s="85" t="b">
        <v>0</v>
      </c>
      <c r="S91" s="85" t="b">
        <v>0</v>
      </c>
      <c r="T91" s="85" t="b">
        <v>0</v>
      </c>
      <c r="U91" s="85" t="b">
        <v>1</v>
      </c>
      <c r="V91" s="85" t="b">
        <v>0</v>
      </c>
      <c r="W91" s="85" t="b">
        <v>1</v>
      </c>
      <c r="X91" s="99"/>
      <c r="Y91" s="880" t="s">
        <v>158</v>
      </c>
    </row>
    <row r="92" spans="1:25">
      <c r="A92" s="397" t="s">
        <v>1139</v>
      </c>
      <c r="B92" s="398" t="s">
        <v>1211</v>
      </c>
      <c r="C92" s="398">
        <v>1</v>
      </c>
      <c r="D92" s="398" t="s">
        <v>1212</v>
      </c>
      <c r="E92" s="398" t="s">
        <v>1213</v>
      </c>
      <c r="F92" s="398" t="s">
        <v>1094</v>
      </c>
      <c r="G92" s="398" t="s">
        <v>153</v>
      </c>
      <c r="H92" s="97">
        <v>1</v>
      </c>
      <c r="I92" s="98">
        <v>1</v>
      </c>
      <c r="J92" s="98">
        <v>2</v>
      </c>
      <c r="K92" s="97">
        <v>1</v>
      </c>
      <c r="L92" s="399">
        <f t="shared" si="1"/>
        <v>1</v>
      </c>
      <c r="M92" s="399" t="s">
        <v>1095</v>
      </c>
      <c r="N92" s="399">
        <v>6</v>
      </c>
      <c r="O92" s="85" t="b">
        <v>1</v>
      </c>
      <c r="P92" s="85" t="b">
        <v>0</v>
      </c>
      <c r="Q92" s="85" t="b">
        <v>0</v>
      </c>
      <c r="R92" s="85" t="b">
        <v>0</v>
      </c>
      <c r="S92" s="85" t="b">
        <v>1</v>
      </c>
      <c r="T92" s="85" t="b">
        <v>0</v>
      </c>
      <c r="U92" s="85" t="b">
        <v>0</v>
      </c>
      <c r="V92" s="85" t="b">
        <v>0</v>
      </c>
      <c r="W92" s="85" t="b">
        <v>0</v>
      </c>
      <c r="X92" s="99"/>
      <c r="Y92" s="880" t="s">
        <v>158</v>
      </c>
    </row>
    <row r="93" spans="1:25">
      <c r="A93" s="397" t="s">
        <v>1139</v>
      </c>
      <c r="B93" s="398" t="s">
        <v>1214</v>
      </c>
      <c r="C93" s="398">
        <v>1</v>
      </c>
      <c r="D93" s="398" t="s">
        <v>1212</v>
      </c>
      <c r="E93" s="398" t="s">
        <v>1215</v>
      </c>
      <c r="F93" s="398" t="s">
        <v>1094</v>
      </c>
      <c r="G93" s="398" t="s">
        <v>153</v>
      </c>
      <c r="H93" s="97">
        <v>1</v>
      </c>
      <c r="I93" s="98">
        <v>1</v>
      </c>
      <c r="J93" s="98">
        <v>2</v>
      </c>
      <c r="K93" s="97">
        <v>1</v>
      </c>
      <c r="L93" s="399">
        <f t="shared" si="1"/>
        <v>1</v>
      </c>
      <c r="M93" s="399" t="s">
        <v>1095</v>
      </c>
      <c r="N93" s="399">
        <v>6</v>
      </c>
      <c r="O93" s="85" t="b">
        <v>1</v>
      </c>
      <c r="P93" s="85" t="b">
        <v>0</v>
      </c>
      <c r="Q93" s="85" t="b">
        <v>0</v>
      </c>
      <c r="R93" s="85" t="b">
        <v>0</v>
      </c>
      <c r="S93" s="85" t="b">
        <v>1</v>
      </c>
      <c r="T93" s="85" t="b">
        <v>0</v>
      </c>
      <c r="U93" s="85" t="b">
        <v>0</v>
      </c>
      <c r="V93" s="85" t="b">
        <v>0</v>
      </c>
      <c r="W93" s="85" t="b">
        <v>0</v>
      </c>
      <c r="X93" s="99"/>
      <c r="Y93" s="880" t="s">
        <v>158</v>
      </c>
    </row>
    <row r="94" spans="1:25">
      <c r="A94" s="397" t="s">
        <v>1103</v>
      </c>
      <c r="B94" s="398" t="s">
        <v>1216</v>
      </c>
      <c r="C94" s="398">
        <v>1</v>
      </c>
      <c r="D94" s="398" t="s">
        <v>1217</v>
      </c>
      <c r="E94" s="398" t="s">
        <v>481</v>
      </c>
      <c r="F94" s="398" t="s">
        <v>1163</v>
      </c>
      <c r="G94" s="100" t="s">
        <v>1101</v>
      </c>
      <c r="H94" s="97" t="s">
        <v>41</v>
      </c>
      <c r="I94" s="98">
        <v>1</v>
      </c>
      <c r="J94" s="98">
        <v>2</v>
      </c>
      <c r="K94" s="97">
        <v>0</v>
      </c>
      <c r="L94" s="399">
        <f t="shared" si="1"/>
        <v>2</v>
      </c>
      <c r="M94" s="399" t="s">
        <v>1095</v>
      </c>
      <c r="N94" s="399">
        <v>6</v>
      </c>
      <c r="O94" s="85" t="b">
        <v>1</v>
      </c>
      <c r="P94" s="85" t="b">
        <v>0</v>
      </c>
      <c r="Q94" s="85" t="b">
        <v>0</v>
      </c>
      <c r="R94" s="85" t="b">
        <v>0</v>
      </c>
      <c r="S94" s="85" t="b">
        <v>1</v>
      </c>
      <c r="T94" s="85" t="b">
        <v>0</v>
      </c>
      <c r="U94" s="85" t="b">
        <v>0</v>
      </c>
      <c r="V94" s="85" t="b">
        <v>0</v>
      </c>
      <c r="W94" s="85" t="b">
        <v>0</v>
      </c>
      <c r="X94" s="99"/>
      <c r="Y94" s="880" t="s">
        <v>158</v>
      </c>
    </row>
    <row r="95" spans="1:25">
      <c r="A95" s="397" t="s">
        <v>1103</v>
      </c>
      <c r="B95" s="398" t="s">
        <v>1216</v>
      </c>
      <c r="C95" s="398">
        <v>2</v>
      </c>
      <c r="D95" s="398" t="s">
        <v>1218</v>
      </c>
      <c r="E95" s="398" t="s">
        <v>1098</v>
      </c>
      <c r="F95" s="398" t="s">
        <v>1094</v>
      </c>
      <c r="G95" s="398" t="s">
        <v>153</v>
      </c>
      <c r="H95" s="97">
        <v>2</v>
      </c>
      <c r="I95" s="98">
        <v>2</v>
      </c>
      <c r="J95" s="98">
        <v>4</v>
      </c>
      <c r="K95" s="97">
        <v>2</v>
      </c>
      <c r="L95" s="399">
        <f t="shared" si="1"/>
        <v>2</v>
      </c>
      <c r="M95" s="399" t="s">
        <v>1095</v>
      </c>
      <c r="N95" s="399">
        <v>6</v>
      </c>
      <c r="O95" s="85" t="b">
        <v>1</v>
      </c>
      <c r="P95" s="85" t="b">
        <v>0</v>
      </c>
      <c r="Q95" s="85" t="b">
        <v>0</v>
      </c>
      <c r="R95" s="85" t="b">
        <v>0</v>
      </c>
      <c r="S95" s="85" t="b">
        <v>1</v>
      </c>
      <c r="T95" s="85" t="b">
        <v>0</v>
      </c>
      <c r="U95" s="85" t="b">
        <v>0</v>
      </c>
      <c r="V95" s="85" t="b">
        <v>0</v>
      </c>
      <c r="W95" s="85" t="b">
        <v>0</v>
      </c>
      <c r="X95" s="99"/>
      <c r="Y95" s="880" t="s">
        <v>158</v>
      </c>
    </row>
    <row r="96" spans="1:25">
      <c r="A96" s="397" t="s">
        <v>1170</v>
      </c>
      <c r="B96" s="398" t="s">
        <v>1219</v>
      </c>
      <c r="C96" s="398">
        <v>2</v>
      </c>
      <c r="D96" s="398" t="s">
        <v>1220</v>
      </c>
      <c r="E96" s="398" t="s">
        <v>1221</v>
      </c>
      <c r="F96" s="398" t="s">
        <v>1094</v>
      </c>
      <c r="G96" s="398" t="s">
        <v>153</v>
      </c>
      <c r="H96" s="97">
        <v>1</v>
      </c>
      <c r="I96" s="98">
        <v>3</v>
      </c>
      <c r="J96" s="98">
        <v>6</v>
      </c>
      <c r="K96" s="97">
        <v>3</v>
      </c>
      <c r="L96" s="399">
        <f t="shared" si="1"/>
        <v>3</v>
      </c>
      <c r="M96" s="399" t="s">
        <v>1108</v>
      </c>
      <c r="N96" s="399">
        <v>6</v>
      </c>
      <c r="O96" s="85" t="b">
        <v>1</v>
      </c>
      <c r="P96" s="85" t="b">
        <v>0</v>
      </c>
      <c r="Q96" s="85" t="b">
        <v>0</v>
      </c>
      <c r="R96" s="85" t="b">
        <v>0</v>
      </c>
      <c r="S96" s="85" t="b">
        <v>1</v>
      </c>
      <c r="T96" s="85" t="b">
        <v>0</v>
      </c>
      <c r="U96" s="85" t="b">
        <v>0</v>
      </c>
      <c r="V96" s="85" t="b">
        <v>0</v>
      </c>
      <c r="W96" s="85" t="b">
        <v>0</v>
      </c>
      <c r="X96" s="99"/>
      <c r="Y96" s="880" t="s">
        <v>158</v>
      </c>
    </row>
    <row r="97" spans="1:25">
      <c r="A97" s="397" t="s">
        <v>1103</v>
      </c>
      <c r="B97" s="398" t="s">
        <v>836</v>
      </c>
      <c r="C97" s="398">
        <v>1</v>
      </c>
      <c r="D97" s="398" t="s">
        <v>856</v>
      </c>
      <c r="E97" s="398" t="s">
        <v>481</v>
      </c>
      <c r="F97" s="398" t="s">
        <v>1094</v>
      </c>
      <c r="G97" s="398" t="s">
        <v>153</v>
      </c>
      <c r="H97" s="97">
        <v>3</v>
      </c>
      <c r="I97" s="98">
        <v>3</v>
      </c>
      <c r="J97" s="98">
        <v>6</v>
      </c>
      <c r="K97" s="97">
        <v>4</v>
      </c>
      <c r="L97" s="399">
        <f t="shared" si="1"/>
        <v>2</v>
      </c>
      <c r="M97" s="399" t="s">
        <v>1095</v>
      </c>
      <c r="N97" s="399">
        <v>6</v>
      </c>
      <c r="O97" s="85" t="b">
        <v>1</v>
      </c>
      <c r="P97" s="85" t="b">
        <v>0</v>
      </c>
      <c r="Q97" s="85" t="b">
        <v>0</v>
      </c>
      <c r="R97" s="85" t="b">
        <v>0</v>
      </c>
      <c r="S97" s="85" t="b">
        <v>1</v>
      </c>
      <c r="T97" s="85" t="b">
        <v>0</v>
      </c>
      <c r="U97" s="85" t="b">
        <v>0</v>
      </c>
      <c r="V97" s="85" t="b">
        <v>0</v>
      </c>
      <c r="W97" s="85" t="b">
        <v>0</v>
      </c>
      <c r="X97" s="99"/>
      <c r="Y97" s="880" t="s">
        <v>158</v>
      </c>
    </row>
    <row r="98" spans="1:25">
      <c r="B98" s="86">
        <f>COUNTIF(Table26[สถานที่],"*")</f>
        <v>96</v>
      </c>
      <c r="N98" s="102" t="s">
        <v>1222</v>
      </c>
      <c r="O98" s="88">
        <f>(COUNTIF(O2:O97, TRUE)+9)</f>
        <v>88</v>
      </c>
      <c r="P98" s="88">
        <f>COUNTIF(P2:P97, TRUE)</f>
        <v>0</v>
      </c>
      <c r="Q98" s="88">
        <f>COUNTIF(Q2:Q97, TRUE)</f>
        <v>0</v>
      </c>
      <c r="R98" s="88">
        <f>(COUNTIF(R2:R97, TRUE)+6)</f>
        <v>9</v>
      </c>
      <c r="S98" s="88">
        <f>(COUNTIF(S2:S97, TRUE)+9)</f>
        <v>81</v>
      </c>
      <c r="T98" s="88">
        <f>COUNTIF(T2:T97, TRUE)</f>
        <v>0</v>
      </c>
      <c r="U98" s="88">
        <f>COUNTIF(U2:U97, TRUE)</f>
        <v>8</v>
      </c>
      <c r="V98" s="88">
        <f>COUNTIF(V2:V97, TRUE)</f>
        <v>14</v>
      </c>
      <c r="W98" s="88">
        <f>COUNTIF(W2:W97, TRUE)</f>
        <v>8</v>
      </c>
      <c r="Y98" s="88">
        <f>COUNTIF(Table26[Pregress],"Done")</f>
        <v>96</v>
      </c>
    </row>
  </sheetData>
  <conditionalFormatting sqref="Y2:Y97">
    <cfRule type="cellIs" dxfId="29" priority="1" operator="equal">
      <formula>"Done"</formula>
    </cfRule>
    <cfRule type="cellIs" dxfId="28" priority="2" operator="equal">
      <formula>"In Progress"</formula>
    </cfRule>
  </conditionalFormatting>
  <dataValidations count="1">
    <dataValidation type="list" allowBlank="1" showInputMessage="1" showErrorMessage="1" sqref="Y2:Y97" xr:uid="{87D65EE8-114A-4A0A-A688-03757B7892C4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scale="42" orientation="portrait" r:id="rId1"/>
  <colBreaks count="1" manualBreakCount="1">
    <brk id="23" max="1048575" man="1"/>
  </colBreak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8B01-20E1-4BDC-BDF1-C053A85F78BC}">
  <dimension ref="A1:AS31"/>
  <sheetViews>
    <sheetView topLeftCell="C35" zoomScale="86" zoomScaleNormal="86" workbookViewId="0">
      <selection activeCell="U65" sqref="U65"/>
    </sheetView>
  </sheetViews>
  <sheetFormatPr defaultColWidth="17.88671875" defaultRowHeight="14.4"/>
  <cols>
    <col min="1" max="1" width="23" style="416" bestFit="1" customWidth="1"/>
    <col min="2" max="3" width="8.5546875" style="416" bestFit="1" customWidth="1"/>
    <col min="4" max="5" width="7.6640625" style="416" bestFit="1" customWidth="1"/>
    <col min="6" max="7" width="8.5546875" style="416" bestFit="1" customWidth="1"/>
    <col min="8" max="9" width="7.6640625" style="416" bestFit="1" customWidth="1"/>
    <col min="10" max="11" width="8.5546875" style="416" bestFit="1" customWidth="1"/>
    <col min="12" max="12" width="7.6640625" style="416" bestFit="1" customWidth="1"/>
    <col min="13" max="13" width="6.88671875" style="416" bestFit="1" customWidth="1"/>
    <col min="14" max="14" width="7.6640625" style="416" bestFit="1" customWidth="1"/>
    <col min="15" max="16" width="8.5546875" style="416" bestFit="1" customWidth="1"/>
    <col min="17" max="17" width="9.44140625" style="416" customWidth="1"/>
    <col min="18" max="18" width="9.88671875" style="416" customWidth="1"/>
    <col min="19" max="19" width="10.33203125" style="416" customWidth="1"/>
    <col min="20" max="20" width="9.6640625" style="416" customWidth="1"/>
    <col min="21" max="21" width="9.33203125" style="416" customWidth="1"/>
    <col min="22" max="23" width="17.88671875" style="416"/>
    <col min="24" max="24" width="25.88671875" style="416" bestFit="1" customWidth="1"/>
    <col min="25" max="27" width="12.6640625" style="416" customWidth="1"/>
    <col min="28" max="28" width="25.88671875" style="416" bestFit="1" customWidth="1"/>
    <col min="29" max="41" width="12.6640625" style="416" customWidth="1"/>
    <col min="42" max="16384" width="17.88671875" style="416"/>
  </cols>
  <sheetData>
    <row r="1" spans="1:45" ht="30" customHeight="1">
      <c r="A1" s="1130" t="s">
        <v>1223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</row>
    <row r="2" spans="1:45" ht="18" customHeight="1">
      <c r="A2" s="1132" t="s">
        <v>1224</v>
      </c>
      <c r="B2" s="1132"/>
      <c r="C2" s="1132"/>
      <c r="D2" s="1132"/>
      <c r="E2" s="1132"/>
      <c r="F2" s="1132"/>
      <c r="G2" s="1132"/>
      <c r="H2" s="1132"/>
      <c r="I2" s="1132"/>
      <c r="J2" s="1132"/>
      <c r="K2" s="1132"/>
      <c r="L2" s="1132"/>
      <c r="M2" s="1132"/>
      <c r="N2" s="1132"/>
      <c r="O2" s="1132"/>
      <c r="P2" s="1132"/>
      <c r="Q2" s="1132"/>
      <c r="R2" s="1132"/>
      <c r="S2" s="1132"/>
      <c r="T2" s="1132"/>
    </row>
    <row r="4" spans="1:45" ht="28.8">
      <c r="A4" s="417"/>
      <c r="B4" s="417" t="str">
        <f>'SVB-รายสัปดาห์'!B4</f>
        <v>W.1
(14/2-20/2)</v>
      </c>
      <c r="C4" s="417" t="str">
        <f>'SVB-รายสัปดาห์'!C4</f>
        <v>W.2
(21/2-27/2)</v>
      </c>
      <c r="D4" s="417" t="str">
        <f>'SVB-รายสัปดาห์'!D4</f>
        <v>W.3
(28/2-6/3)</v>
      </c>
      <c r="E4" s="417" t="str">
        <f>'SVB-รายสัปดาห์'!E4</f>
        <v>W.4
(7/3-13/3)</v>
      </c>
      <c r="F4" s="417" t="str">
        <f>'SVB-รายสัปดาห์'!F4</f>
        <v>W.5
(14/3-20/3)</v>
      </c>
      <c r="G4" s="417" t="str">
        <f>'SVB-รายสัปดาห์'!G4</f>
        <v>W.6
(21/3-27/3)</v>
      </c>
      <c r="H4" s="417" t="str">
        <f>'SVB-รายสัปดาห์'!H4</f>
        <v>W.7
(28/3-3/4)</v>
      </c>
      <c r="I4" s="417" t="str">
        <f>'SVB-รายสัปดาห์'!I4</f>
        <v>W.8
(4/4-10/4)</v>
      </c>
      <c r="J4" s="417" t="str">
        <f>'SVB-รายสัปดาห์'!J4</f>
        <v>W.9
(11/4-17/4)</v>
      </c>
      <c r="K4" s="417" t="str">
        <f>'SVB-รายสัปดาห์'!K4</f>
        <v>W.10
(18/4-24/4)</v>
      </c>
      <c r="L4" s="417" t="str">
        <f>'SVB-รายสัปดาห์'!L4</f>
        <v>W.11
(25/4-1/5)</v>
      </c>
      <c r="M4" s="417" t="str">
        <f>'SVB-รายสัปดาห์'!M4</f>
        <v>W.12
(2/5-8/5)</v>
      </c>
      <c r="N4" s="417" t="str">
        <f>'SVB-รายสัปดาห์'!N4</f>
        <v>W.13
(9/5-15/5)</v>
      </c>
      <c r="O4" s="417" t="str">
        <f>'SVB-รายสัปดาห์'!O4</f>
        <v>W.14
(16/5-22/5)</v>
      </c>
      <c r="P4" s="417" t="str">
        <f>'SVB-รายสัปดาห์'!P4</f>
        <v>W.15
(23/5-29/5)</v>
      </c>
      <c r="Q4" s="417" t="str">
        <f>'SVB-รายสัปดาห์'!Q4</f>
        <v>W.16
(30/5-5/6)</v>
      </c>
      <c r="R4" s="417" t="str">
        <f>'SVB-รายสัปดาห์'!R4</f>
        <v>W.17
(6/6-12/6)</v>
      </c>
      <c r="S4" s="417" t="str">
        <f>'SVB-รายสัปดาห์'!S4</f>
        <v>W.18
(13/6-19/6)</v>
      </c>
      <c r="T4" s="417" t="str">
        <f>'SVB-รายสัปดาห์'!T4</f>
        <v>W.19
(20/6-26/6)</v>
      </c>
      <c r="U4" s="417" t="str">
        <f>'SVB-รายสัปดาห์'!U4</f>
        <v>W.20
(27/6-3/7)</v>
      </c>
      <c r="V4" s="417" t="s">
        <v>29</v>
      </c>
      <c r="X4" s="417"/>
      <c r="Y4" s="417" t="s">
        <v>1225</v>
      </c>
      <c r="Z4" s="417" t="s">
        <v>1226</v>
      </c>
      <c r="AB4" s="417"/>
      <c r="AC4" s="417" t="str">
        <f t="shared" ref="AC4:AS4" si="0">B4</f>
        <v>W.1
(14/2-20/2)</v>
      </c>
      <c r="AD4" s="417" t="str">
        <f t="shared" si="0"/>
        <v>W.2
(21/2-27/2)</v>
      </c>
      <c r="AE4" s="417" t="str">
        <f t="shared" si="0"/>
        <v>W.3
(28/2-6/3)</v>
      </c>
      <c r="AF4" s="417" t="str">
        <f t="shared" si="0"/>
        <v>W.4
(7/3-13/3)</v>
      </c>
      <c r="AG4" s="417" t="str">
        <f t="shared" si="0"/>
        <v>W.5
(14/3-20/3)</v>
      </c>
      <c r="AH4" s="417" t="str">
        <f t="shared" si="0"/>
        <v>W.6
(21/3-27/3)</v>
      </c>
      <c r="AI4" s="417" t="str">
        <f t="shared" si="0"/>
        <v>W.7
(28/3-3/4)</v>
      </c>
      <c r="AJ4" s="417" t="str">
        <f t="shared" si="0"/>
        <v>W.8
(4/4-10/4)</v>
      </c>
      <c r="AK4" s="417" t="str">
        <f t="shared" si="0"/>
        <v>W.9
(11/4-17/4)</v>
      </c>
      <c r="AL4" s="417" t="str">
        <f t="shared" si="0"/>
        <v>W.10
(18/4-24/4)</v>
      </c>
      <c r="AM4" s="417" t="str">
        <f t="shared" si="0"/>
        <v>W.11
(25/4-1/5)</v>
      </c>
      <c r="AN4" s="417" t="str">
        <f t="shared" si="0"/>
        <v>W.12
(2/5-8/5)</v>
      </c>
      <c r="AO4" s="417" t="str">
        <f t="shared" si="0"/>
        <v>W.13
(9/5-15/5)</v>
      </c>
      <c r="AP4" s="417" t="str">
        <f t="shared" si="0"/>
        <v>W.14
(16/5-22/5)</v>
      </c>
      <c r="AQ4" s="417" t="str">
        <f t="shared" si="0"/>
        <v>W.15
(23/5-29/5)</v>
      </c>
      <c r="AR4" s="417" t="str">
        <f t="shared" si="0"/>
        <v>W.16
(30/5-5/6)</v>
      </c>
      <c r="AS4" s="417" t="str">
        <f t="shared" si="0"/>
        <v>W.17
(6/6-12/6)</v>
      </c>
    </row>
    <row r="5" spans="1:45" ht="18" customHeight="1">
      <c r="A5" s="440" t="s">
        <v>316</v>
      </c>
      <c r="B5" s="441">
        <f>'SVB-รายสัปดาห์'!B7</f>
        <v>153</v>
      </c>
      <c r="C5" s="441">
        <f>'SVB-รายสัปดาห์'!C7</f>
        <v>69</v>
      </c>
      <c r="D5" s="441">
        <f>'SVB-รายสัปดาห์'!D7</f>
        <v>66</v>
      </c>
      <c r="E5" s="441">
        <f>'SVB-รายสัปดาห์'!E7</f>
        <v>53</v>
      </c>
      <c r="F5" s="441">
        <f>'SVB-รายสัปดาห์'!F7</f>
        <v>101</v>
      </c>
      <c r="G5" s="441">
        <f>'SVB-รายสัปดาห์'!G7</f>
        <v>241</v>
      </c>
      <c r="H5" s="441">
        <f>'SVB-รายสัปดาห์'!H7</f>
        <v>49</v>
      </c>
      <c r="I5" s="441">
        <f>'SVB-รายสัปดาห์'!I7</f>
        <v>50</v>
      </c>
      <c r="J5" s="441">
        <f>'SVB-รายสัปดาห์'!J7</f>
        <v>31</v>
      </c>
      <c r="K5" s="441">
        <f>'SVB-รายสัปดาห์'!K7</f>
        <v>86</v>
      </c>
      <c r="L5" s="441">
        <f>'SVB-รายสัปดาห์'!L7</f>
        <v>93</v>
      </c>
      <c r="M5" s="441">
        <f>'SVB-รายสัปดาห์'!M7</f>
        <v>97</v>
      </c>
      <c r="N5" s="441">
        <f>'SVB-รายสัปดาห์'!N7</f>
        <v>50</v>
      </c>
      <c r="O5" s="441">
        <f>'SVB-รายสัปดาห์'!O7</f>
        <v>58</v>
      </c>
      <c r="P5" s="441">
        <f>'SVB-รายสัปดาห์'!P7</f>
        <v>77</v>
      </c>
      <c r="Q5" s="441">
        <f>'SVB-รายสัปดาห์'!Q7</f>
        <v>99</v>
      </c>
      <c r="R5" s="441">
        <f>'SVB-รายสัปดาห์'!R7</f>
        <v>99</v>
      </c>
      <c r="S5" s="441">
        <f>'SVB-รายสัปดาห์'!S7</f>
        <v>97</v>
      </c>
      <c r="T5" s="441">
        <f>'SVB-รายสัปดาห์'!T7</f>
        <v>23</v>
      </c>
      <c r="U5" s="441">
        <f>'SVB-รายสัปดาห์'!U7</f>
        <v>0</v>
      </c>
      <c r="V5" s="441">
        <f t="shared" ref="V5:V12" si="1">SUM(B5:U5)</f>
        <v>1592</v>
      </c>
      <c r="X5" s="503" t="s">
        <v>1227</v>
      </c>
      <c r="Y5" s="646">
        <v>0.8</v>
      </c>
      <c r="Z5" s="646">
        <f>R6*Y5</f>
        <v>53.6</v>
      </c>
      <c r="AB5" s="440" t="s">
        <v>1228</v>
      </c>
      <c r="AC5" s="441">
        <f>SUM(AC6:AC7)</f>
        <v>79</v>
      </c>
      <c r="AD5" s="441">
        <f t="shared" ref="AD5:AR5" si="2">SUM(AD6:AD7)</f>
        <v>40.799999999999997</v>
      </c>
      <c r="AE5" s="441">
        <f t="shared" si="2"/>
        <v>51.2</v>
      </c>
      <c r="AF5" s="441">
        <f t="shared" si="2"/>
        <v>42.400000000000006</v>
      </c>
      <c r="AG5" s="441">
        <f t="shared" si="2"/>
        <v>80.800000000000011</v>
      </c>
      <c r="AH5" s="441">
        <f t="shared" si="2"/>
        <v>85</v>
      </c>
      <c r="AI5" s="441">
        <f t="shared" si="2"/>
        <v>27.8</v>
      </c>
      <c r="AJ5" s="441">
        <f t="shared" si="2"/>
        <v>31</v>
      </c>
      <c r="AK5" s="441">
        <f t="shared" si="2"/>
        <v>24.8</v>
      </c>
      <c r="AL5" s="441">
        <f t="shared" si="2"/>
        <v>46.6</v>
      </c>
      <c r="AM5" s="441">
        <f t="shared" si="2"/>
        <v>48</v>
      </c>
      <c r="AN5" s="441">
        <f t="shared" si="2"/>
        <v>77.600000000000009</v>
      </c>
      <c r="AO5" s="441">
        <f t="shared" si="2"/>
        <v>40</v>
      </c>
      <c r="AP5" s="441">
        <f t="shared" si="2"/>
        <v>46.400000000000006</v>
      </c>
      <c r="AQ5" s="441">
        <f t="shared" si="2"/>
        <v>61.6</v>
      </c>
      <c r="AR5" s="441">
        <f t="shared" si="2"/>
        <v>72.600000000000009</v>
      </c>
      <c r="AS5" s="441">
        <f>SUM(AC5:AR5)</f>
        <v>855.60000000000014</v>
      </c>
    </row>
    <row r="6" spans="1:45" ht="18" customHeight="1">
      <c r="A6" s="440" t="s">
        <v>890</v>
      </c>
      <c r="B6" s="441">
        <f>'SVB-รายสัปดาห์'!B11</f>
        <v>88</v>
      </c>
      <c r="C6" s="441">
        <f>'SVB-รายสัปดาห์'!C11</f>
        <v>45</v>
      </c>
      <c r="D6" s="441">
        <f>'SVB-รายสัปดาห์'!D11</f>
        <v>64</v>
      </c>
      <c r="E6" s="441">
        <f>'SVB-รายสัปดาห์'!E11</f>
        <v>53</v>
      </c>
      <c r="F6" s="441">
        <f>'SVB-รายสัปดาห์'!F11</f>
        <v>101</v>
      </c>
      <c r="G6" s="441">
        <f>'SVB-รายสัปดาห์'!G11</f>
        <v>62</v>
      </c>
      <c r="H6" s="441">
        <f>'SVB-รายสัปดาห์'!H11</f>
        <v>30</v>
      </c>
      <c r="I6" s="441">
        <f>'SVB-รายสัปดาห์'!I11</f>
        <v>35</v>
      </c>
      <c r="J6" s="441">
        <f>'SVB-รายสัปดาห์'!J11</f>
        <v>31</v>
      </c>
      <c r="K6" s="441">
        <f>'SVB-รายสัปดาห์'!K11</f>
        <v>49</v>
      </c>
      <c r="L6" s="441">
        <f>'SVB-รายสัปดาห์'!L11</f>
        <v>49</v>
      </c>
      <c r="M6" s="441">
        <f>'SVB-รายสัปดาห์'!M11</f>
        <v>97</v>
      </c>
      <c r="N6" s="441">
        <f>'SVB-รายสัปดาห์'!N11</f>
        <v>50</v>
      </c>
      <c r="O6" s="441">
        <f>'SVB-รายสัปดาห์'!O11</f>
        <v>58</v>
      </c>
      <c r="P6" s="441">
        <f>'SVB-รายสัปดาห์'!P11</f>
        <v>77</v>
      </c>
      <c r="Q6" s="441">
        <f>'SVB-รายสัปดาห์'!Q11</f>
        <v>88</v>
      </c>
      <c r="R6" s="441">
        <f>'SVB-รายสัปดาห์'!R11</f>
        <v>67</v>
      </c>
      <c r="S6" s="441">
        <f>'SVB-รายสัปดาห์'!S11</f>
        <v>55</v>
      </c>
      <c r="T6" s="441">
        <f>'SVB-รายสัปดาห์'!T11</f>
        <v>22</v>
      </c>
      <c r="U6" s="441">
        <f>'SVB-รายสัปดาห์'!U11</f>
        <v>0</v>
      </c>
      <c r="V6" s="441">
        <f t="shared" si="1"/>
        <v>1121</v>
      </c>
      <c r="X6" s="503" t="s">
        <v>1229</v>
      </c>
      <c r="Y6" s="646">
        <v>0.2</v>
      </c>
      <c r="Z6" s="646">
        <f>R7*Y6</f>
        <v>6.4</v>
      </c>
      <c r="AB6" s="440" t="s">
        <v>1230</v>
      </c>
      <c r="AC6" s="441">
        <f t="shared" ref="AC6:AR6" si="3">B6*$Y$5</f>
        <v>70.400000000000006</v>
      </c>
      <c r="AD6" s="441">
        <f t="shared" si="3"/>
        <v>36</v>
      </c>
      <c r="AE6" s="441">
        <f t="shared" si="3"/>
        <v>51.2</v>
      </c>
      <c r="AF6" s="441">
        <f t="shared" si="3"/>
        <v>42.400000000000006</v>
      </c>
      <c r="AG6" s="441">
        <f t="shared" si="3"/>
        <v>80.800000000000011</v>
      </c>
      <c r="AH6" s="441">
        <f t="shared" si="3"/>
        <v>49.6</v>
      </c>
      <c r="AI6" s="441">
        <f t="shared" si="3"/>
        <v>24</v>
      </c>
      <c r="AJ6" s="441">
        <f t="shared" si="3"/>
        <v>28</v>
      </c>
      <c r="AK6" s="441">
        <f t="shared" si="3"/>
        <v>24.8</v>
      </c>
      <c r="AL6" s="441">
        <f t="shared" si="3"/>
        <v>39.200000000000003</v>
      </c>
      <c r="AM6" s="441">
        <f t="shared" si="3"/>
        <v>39.200000000000003</v>
      </c>
      <c r="AN6" s="441">
        <f t="shared" si="3"/>
        <v>77.600000000000009</v>
      </c>
      <c r="AO6" s="441">
        <f t="shared" si="3"/>
        <v>40</v>
      </c>
      <c r="AP6" s="441">
        <f t="shared" si="3"/>
        <v>46.400000000000006</v>
      </c>
      <c r="AQ6" s="441">
        <f t="shared" si="3"/>
        <v>61.6</v>
      </c>
      <c r="AR6" s="441">
        <f t="shared" si="3"/>
        <v>70.400000000000006</v>
      </c>
      <c r="AS6" s="441">
        <f>SUM(AC6:AR6)</f>
        <v>781.6</v>
      </c>
    </row>
    <row r="7" spans="1:45" ht="18" customHeight="1">
      <c r="A7" s="440" t="s">
        <v>896</v>
      </c>
      <c r="B7" s="441">
        <f>'SVB-รายสัปดาห์'!B15</f>
        <v>43</v>
      </c>
      <c r="C7" s="441">
        <f>'SVB-รายสัปดาห์'!C15</f>
        <v>24</v>
      </c>
      <c r="D7" s="441">
        <f>'SVB-รายสัปดาห์'!D15</f>
        <v>0</v>
      </c>
      <c r="E7" s="441">
        <f>'SVB-รายสัปดาห์'!E15</f>
        <v>0</v>
      </c>
      <c r="F7" s="441">
        <f>'SVB-รายสัปดาห์'!F15</f>
        <v>0</v>
      </c>
      <c r="G7" s="441">
        <f>'SVB-รายสัปดาห์'!G15</f>
        <v>177</v>
      </c>
      <c r="H7" s="441">
        <f>'SVB-รายสัปดาห์'!H15</f>
        <v>19</v>
      </c>
      <c r="I7" s="441">
        <f>'SVB-รายสัปดาห์'!I15</f>
        <v>15</v>
      </c>
      <c r="J7" s="441">
        <f>'SVB-รายสัปดาห์'!J15</f>
        <v>0</v>
      </c>
      <c r="K7" s="441">
        <f>'SVB-รายสัปดาห์'!K15</f>
        <v>37</v>
      </c>
      <c r="L7" s="441">
        <f>'SVB-รายสัปดาห์'!L15</f>
        <v>44</v>
      </c>
      <c r="M7" s="441">
        <f>'SVB-รายสัปดาห์'!M15</f>
        <v>0</v>
      </c>
      <c r="N7" s="441">
        <f>'SVB-รายสัปดาห์'!N15</f>
        <v>0</v>
      </c>
      <c r="O7" s="441">
        <f>'SVB-รายสัปดาห์'!O15</f>
        <v>0</v>
      </c>
      <c r="P7" s="441">
        <f>'SVB-รายสัปดาห์'!P15</f>
        <v>0</v>
      </c>
      <c r="Q7" s="441">
        <f>'SVB-รายสัปดาห์'!Q15</f>
        <v>11</v>
      </c>
      <c r="R7" s="441">
        <f>'SVB-รายสัปดาห์'!R15</f>
        <v>32</v>
      </c>
      <c r="S7" s="441">
        <f>'SVB-รายสัปดาห์'!S15</f>
        <v>42</v>
      </c>
      <c r="T7" s="441">
        <f>'SVB-รายสัปดาห์'!T15</f>
        <v>1</v>
      </c>
      <c r="U7" s="441">
        <f>'SVB-รายสัปดาห์'!U15</f>
        <v>0</v>
      </c>
      <c r="V7" s="441">
        <f t="shared" si="1"/>
        <v>445</v>
      </c>
      <c r="Y7" s="648" t="s">
        <v>1231</v>
      </c>
      <c r="Z7" s="647">
        <f>SUM(Z5:Z6)</f>
        <v>60</v>
      </c>
      <c r="AB7" s="440" t="s">
        <v>1232</v>
      </c>
      <c r="AC7" s="441">
        <f t="shared" ref="AC7:AR7" si="4">B7*$Y$6</f>
        <v>8.6</v>
      </c>
      <c r="AD7" s="441">
        <f t="shared" si="4"/>
        <v>4.8000000000000007</v>
      </c>
      <c r="AE7" s="441">
        <f t="shared" si="4"/>
        <v>0</v>
      </c>
      <c r="AF7" s="441">
        <f t="shared" si="4"/>
        <v>0</v>
      </c>
      <c r="AG7" s="441">
        <f t="shared" si="4"/>
        <v>0</v>
      </c>
      <c r="AH7" s="441">
        <f t="shared" si="4"/>
        <v>35.4</v>
      </c>
      <c r="AI7" s="441">
        <f t="shared" si="4"/>
        <v>3.8000000000000003</v>
      </c>
      <c r="AJ7" s="441">
        <f t="shared" si="4"/>
        <v>3</v>
      </c>
      <c r="AK7" s="441">
        <f t="shared" si="4"/>
        <v>0</v>
      </c>
      <c r="AL7" s="441">
        <f t="shared" si="4"/>
        <v>7.4</v>
      </c>
      <c r="AM7" s="441">
        <f t="shared" si="4"/>
        <v>8.8000000000000007</v>
      </c>
      <c r="AN7" s="441">
        <f t="shared" si="4"/>
        <v>0</v>
      </c>
      <c r="AO7" s="441">
        <f t="shared" si="4"/>
        <v>0</v>
      </c>
      <c r="AP7" s="441">
        <f t="shared" si="4"/>
        <v>0</v>
      </c>
      <c r="AQ7" s="441">
        <f t="shared" si="4"/>
        <v>0</v>
      </c>
      <c r="AR7" s="441">
        <f t="shared" si="4"/>
        <v>2.2000000000000002</v>
      </c>
      <c r="AS7" s="441">
        <f>SUM(AC7:AR7)</f>
        <v>74</v>
      </c>
    </row>
    <row r="8" spans="1:45" ht="18" customHeight="1">
      <c r="A8" s="442" t="s">
        <v>339</v>
      </c>
      <c r="B8" s="443">
        <f>'SVB-รายสัปดาห์'!B20</f>
        <v>179</v>
      </c>
      <c r="C8" s="443">
        <f>'SVB-รายสัปดาห์'!C20</f>
        <v>45</v>
      </c>
      <c r="D8" s="443">
        <f>'SVB-รายสัปดาห์'!D20</f>
        <v>64</v>
      </c>
      <c r="E8" s="443">
        <f>'SVB-รายสัปดาห์'!E20</f>
        <v>51</v>
      </c>
      <c r="F8" s="443">
        <f>'SVB-รายสัปดาห์'!F20</f>
        <v>120</v>
      </c>
      <c r="G8" s="443"/>
      <c r="H8" s="443"/>
      <c r="I8" s="443"/>
      <c r="J8" s="443"/>
      <c r="K8" s="443"/>
      <c r="L8" s="443"/>
      <c r="M8" s="443"/>
      <c r="N8" s="443"/>
      <c r="O8" s="443"/>
      <c r="P8" s="443"/>
      <c r="Q8" s="443"/>
      <c r="R8" s="443"/>
      <c r="S8" s="443"/>
      <c r="T8" s="443"/>
      <c r="U8" s="443"/>
      <c r="V8" s="641">
        <f t="shared" si="1"/>
        <v>459</v>
      </c>
      <c r="AB8" s="442" t="s">
        <v>1233</v>
      </c>
      <c r="AC8" s="641">
        <f>SUM(AC9:AC10)</f>
        <v>83.800000000000011</v>
      </c>
      <c r="AD8" s="641">
        <f t="shared" ref="AD8:AR8" si="5">SUM(AD9:AD10)</f>
        <v>36</v>
      </c>
      <c r="AE8" s="641">
        <f t="shared" si="5"/>
        <v>51.2</v>
      </c>
      <c r="AF8" s="641">
        <f t="shared" si="5"/>
        <v>40.800000000000004</v>
      </c>
      <c r="AG8" s="641">
        <f t="shared" si="5"/>
        <v>96</v>
      </c>
      <c r="AH8" s="641">
        <f t="shared" si="5"/>
        <v>0</v>
      </c>
      <c r="AI8" s="641">
        <f t="shared" si="5"/>
        <v>0</v>
      </c>
      <c r="AJ8" s="641">
        <f t="shared" si="5"/>
        <v>0</v>
      </c>
      <c r="AK8" s="641">
        <f t="shared" si="5"/>
        <v>0</v>
      </c>
      <c r="AL8" s="641">
        <f t="shared" si="5"/>
        <v>0</v>
      </c>
      <c r="AM8" s="641">
        <f t="shared" si="5"/>
        <v>0</v>
      </c>
      <c r="AN8" s="641">
        <f t="shared" si="5"/>
        <v>0</v>
      </c>
      <c r="AO8" s="641">
        <f t="shared" si="5"/>
        <v>0</v>
      </c>
      <c r="AP8" s="641">
        <f t="shared" si="5"/>
        <v>0</v>
      </c>
      <c r="AQ8" s="641">
        <f t="shared" si="5"/>
        <v>0</v>
      </c>
      <c r="AR8" s="641">
        <f t="shared" si="5"/>
        <v>0</v>
      </c>
      <c r="AS8" s="641">
        <f t="shared" ref="AS8:AS10" si="6">SUM(AC8:AR8)</f>
        <v>307.8</v>
      </c>
    </row>
    <row r="9" spans="1:45" ht="18" customHeight="1">
      <c r="A9" s="442" t="s">
        <v>340</v>
      </c>
      <c r="B9" s="443">
        <f>'SVB-รายสัปดาห์'!B25</f>
        <v>179</v>
      </c>
      <c r="C9" s="443">
        <f>'SVB-รายสัปดาห์'!C25</f>
        <v>45</v>
      </c>
      <c r="D9" s="443">
        <f>'SVB-รายสัปดาห์'!D25</f>
        <v>64</v>
      </c>
      <c r="E9" s="443">
        <f>'SVB-รายสัปดาห์'!E25</f>
        <v>51</v>
      </c>
      <c r="F9" s="443">
        <f>'SVB-รายสัปดาห์'!F25</f>
        <v>120</v>
      </c>
      <c r="G9" s="443"/>
      <c r="H9" s="443"/>
      <c r="I9" s="443"/>
      <c r="J9" s="443"/>
      <c r="K9" s="443"/>
      <c r="L9" s="443"/>
      <c r="M9" s="443"/>
      <c r="N9" s="443"/>
      <c r="O9" s="443"/>
      <c r="P9" s="443"/>
      <c r="Q9" s="443"/>
      <c r="R9" s="443"/>
      <c r="S9" s="443"/>
      <c r="T9" s="443"/>
      <c r="U9" s="443"/>
      <c r="V9" s="641">
        <f t="shared" si="1"/>
        <v>459</v>
      </c>
      <c r="AB9" s="442" t="s">
        <v>1234</v>
      </c>
      <c r="AC9" s="641">
        <f t="shared" ref="AC9:AR9" si="7">B11*$Y$5</f>
        <v>70.400000000000006</v>
      </c>
      <c r="AD9" s="641">
        <f t="shared" si="7"/>
        <v>36</v>
      </c>
      <c r="AE9" s="641">
        <f t="shared" si="7"/>
        <v>51.2</v>
      </c>
      <c r="AF9" s="641">
        <f t="shared" si="7"/>
        <v>40.800000000000004</v>
      </c>
      <c r="AG9" s="641">
        <f t="shared" si="7"/>
        <v>96</v>
      </c>
      <c r="AH9" s="641">
        <f t="shared" si="7"/>
        <v>0</v>
      </c>
      <c r="AI9" s="641">
        <f t="shared" si="7"/>
        <v>0</v>
      </c>
      <c r="AJ9" s="641">
        <f t="shared" si="7"/>
        <v>0</v>
      </c>
      <c r="AK9" s="641">
        <f t="shared" si="7"/>
        <v>0</v>
      </c>
      <c r="AL9" s="641">
        <f t="shared" si="7"/>
        <v>0</v>
      </c>
      <c r="AM9" s="641">
        <f t="shared" si="7"/>
        <v>0</v>
      </c>
      <c r="AN9" s="641">
        <f t="shared" si="7"/>
        <v>0</v>
      </c>
      <c r="AO9" s="641">
        <f t="shared" si="7"/>
        <v>0</v>
      </c>
      <c r="AP9" s="641">
        <f t="shared" si="7"/>
        <v>0</v>
      </c>
      <c r="AQ9" s="641">
        <f t="shared" si="7"/>
        <v>0</v>
      </c>
      <c r="AR9" s="641">
        <f t="shared" si="7"/>
        <v>0</v>
      </c>
      <c r="AS9" s="641">
        <f t="shared" si="6"/>
        <v>294.40000000000003</v>
      </c>
    </row>
    <row r="10" spans="1:45" ht="18" customHeight="1">
      <c r="A10" s="442" t="s">
        <v>341</v>
      </c>
      <c r="B10" s="443">
        <f>'SVB-รายสัปดาห์'!B30</f>
        <v>179</v>
      </c>
      <c r="C10" s="443">
        <f>'SVB-รายสัปดาห์'!C30</f>
        <v>45</v>
      </c>
      <c r="D10" s="443">
        <f>'SVB-รายสัปดาห์'!D30</f>
        <v>64</v>
      </c>
      <c r="E10" s="443">
        <f>'SVB-รายสัปดาห์'!E30</f>
        <v>51</v>
      </c>
      <c r="F10" s="443">
        <f>'SVB-รายสัปดาห์'!F30</f>
        <v>120</v>
      </c>
      <c r="G10" s="443"/>
      <c r="H10" s="443"/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641">
        <f t="shared" si="1"/>
        <v>459</v>
      </c>
      <c r="AB10" s="442" t="s">
        <v>1235</v>
      </c>
      <c r="AC10" s="641">
        <f t="shared" ref="AC10:AR10" si="8">B12*$Y$6</f>
        <v>13.4</v>
      </c>
      <c r="AD10" s="641">
        <f t="shared" si="8"/>
        <v>0</v>
      </c>
      <c r="AE10" s="641">
        <f t="shared" si="8"/>
        <v>0</v>
      </c>
      <c r="AF10" s="641">
        <f t="shared" si="8"/>
        <v>0</v>
      </c>
      <c r="AG10" s="641">
        <f t="shared" si="8"/>
        <v>0</v>
      </c>
      <c r="AH10" s="641">
        <f t="shared" si="8"/>
        <v>0</v>
      </c>
      <c r="AI10" s="641">
        <f t="shared" si="8"/>
        <v>0</v>
      </c>
      <c r="AJ10" s="641">
        <f t="shared" si="8"/>
        <v>0</v>
      </c>
      <c r="AK10" s="641">
        <f t="shared" si="8"/>
        <v>0</v>
      </c>
      <c r="AL10" s="641">
        <f t="shared" si="8"/>
        <v>0</v>
      </c>
      <c r="AM10" s="641">
        <f t="shared" si="8"/>
        <v>0</v>
      </c>
      <c r="AN10" s="641">
        <f t="shared" si="8"/>
        <v>0</v>
      </c>
      <c r="AO10" s="641">
        <f t="shared" si="8"/>
        <v>0</v>
      </c>
      <c r="AP10" s="641">
        <f t="shared" si="8"/>
        <v>0</v>
      </c>
      <c r="AQ10" s="641">
        <f t="shared" si="8"/>
        <v>0</v>
      </c>
      <c r="AR10" s="641">
        <f t="shared" si="8"/>
        <v>0</v>
      </c>
      <c r="AS10" s="641">
        <f t="shared" si="6"/>
        <v>13.4</v>
      </c>
    </row>
    <row r="11" spans="1:45" ht="18" customHeight="1">
      <c r="A11" s="442" t="s">
        <v>1236</v>
      </c>
      <c r="B11" s="443">
        <f>'SVB-รายสัปดาห์'!B37</f>
        <v>88</v>
      </c>
      <c r="C11" s="443">
        <f>'SVB-รายสัปดาห์'!C37</f>
        <v>45</v>
      </c>
      <c r="D11" s="443">
        <f>'SVB-รายสัปดาห์'!D37</f>
        <v>64</v>
      </c>
      <c r="E11" s="443">
        <f>'SVB-รายสัปดาห์'!E37</f>
        <v>51</v>
      </c>
      <c r="F11" s="443">
        <f>'SVB-รายสัปดาห์'!F37</f>
        <v>120</v>
      </c>
      <c r="G11" s="443"/>
      <c r="H11" s="443"/>
      <c r="I11" s="443"/>
      <c r="J11" s="443"/>
      <c r="K11" s="443"/>
      <c r="L11" s="443"/>
      <c r="M11" s="443"/>
      <c r="N11" s="443"/>
      <c r="O11" s="443"/>
      <c r="P11" s="443"/>
      <c r="Q11" s="443"/>
      <c r="R11" s="443"/>
      <c r="S11" s="443"/>
      <c r="T11" s="443"/>
      <c r="U11" s="443"/>
      <c r="V11" s="641">
        <f t="shared" si="1"/>
        <v>368</v>
      </c>
      <c r="AB11" s="446" t="s">
        <v>1237</v>
      </c>
      <c r="AC11" s="447">
        <f t="shared" ref="AC11:AR11" si="9">(AC5/$AS$5)</f>
        <v>9.2332865825151919E-2</v>
      </c>
      <c r="AD11" s="447">
        <f t="shared" si="9"/>
        <v>4.7685834502103779E-2</v>
      </c>
      <c r="AE11" s="447">
        <f t="shared" si="9"/>
        <v>5.9841047218326317E-2</v>
      </c>
      <c r="AF11" s="447">
        <f t="shared" si="9"/>
        <v>4.9555867227676485E-2</v>
      </c>
      <c r="AG11" s="447">
        <f t="shared" si="9"/>
        <v>9.4436652641421218E-2</v>
      </c>
      <c r="AH11" s="447">
        <f t="shared" si="9"/>
        <v>9.9345488546049535E-2</v>
      </c>
      <c r="AI11" s="447">
        <f t="shared" si="9"/>
        <v>3.2491818606825616E-2</v>
      </c>
      <c r="AJ11" s="447">
        <f t="shared" si="9"/>
        <v>3.6231884057971009E-2</v>
      </c>
      <c r="AK11" s="447">
        <f t="shared" si="9"/>
        <v>2.8985507246376808E-2</v>
      </c>
      <c r="AL11" s="447">
        <f t="shared" si="9"/>
        <v>5.4464703132304809E-2</v>
      </c>
      <c r="AM11" s="447">
        <f t="shared" si="9"/>
        <v>5.6100981767180917E-2</v>
      </c>
      <c r="AN11" s="447">
        <f t="shared" si="9"/>
        <v>9.0696587190275832E-2</v>
      </c>
      <c r="AO11" s="447">
        <f t="shared" si="9"/>
        <v>4.6750818139317432E-2</v>
      </c>
      <c r="AP11" s="447">
        <f t="shared" si="9"/>
        <v>5.4230949041608224E-2</v>
      </c>
      <c r="AQ11" s="447">
        <f t="shared" si="9"/>
        <v>7.1996259934548848E-2</v>
      </c>
      <c r="AR11" s="447">
        <f t="shared" si="9"/>
        <v>8.4852734922861148E-2</v>
      </c>
      <c r="AS11" s="649">
        <f>SUM(AC11:AR11)</f>
        <v>0.99999999999999989</v>
      </c>
    </row>
    <row r="12" spans="1:45" ht="18" customHeight="1">
      <c r="A12" s="442" t="s">
        <v>1235</v>
      </c>
      <c r="B12" s="443">
        <f>'SVB-รายสัปดาห์'!B44</f>
        <v>67</v>
      </c>
      <c r="C12" s="443">
        <f>'SVB-รายสัปดาห์'!C44</f>
        <v>0</v>
      </c>
      <c r="D12" s="443">
        <f>'SVB-รายสัปดาห์'!D44</f>
        <v>0</v>
      </c>
      <c r="E12" s="443">
        <f>'SVB-รายสัปดาห์'!E44</f>
        <v>0</v>
      </c>
      <c r="F12" s="443">
        <f>'SVB-รายสัปดาห์'!F44</f>
        <v>0</v>
      </c>
      <c r="G12" s="443"/>
      <c r="H12" s="443"/>
      <c r="I12" s="443"/>
      <c r="J12" s="443"/>
      <c r="K12" s="443"/>
      <c r="L12" s="443"/>
      <c r="M12" s="443"/>
      <c r="N12" s="443"/>
      <c r="O12" s="443"/>
      <c r="P12" s="443"/>
      <c r="Q12" s="443"/>
      <c r="R12" s="443"/>
      <c r="S12" s="443"/>
      <c r="T12" s="443"/>
      <c r="U12" s="443"/>
      <c r="V12" s="641">
        <f t="shared" si="1"/>
        <v>67</v>
      </c>
      <c r="AB12" s="446" t="s">
        <v>1238</v>
      </c>
      <c r="AC12" s="649">
        <f>SUM(AC11)</f>
        <v>9.2332865825151919E-2</v>
      </c>
      <c r="AD12" s="649">
        <f>SUM(AC11:AD11)</f>
        <v>0.14001870032725569</v>
      </c>
      <c r="AE12" s="649">
        <f>SUM(AC11:AE11)</f>
        <v>0.199859747545582</v>
      </c>
      <c r="AF12" s="649">
        <f>SUM(AC11:AF11)</f>
        <v>0.24941561477325849</v>
      </c>
      <c r="AG12" s="649">
        <f>SUM(AC11:AG11)</f>
        <v>0.34385226741467972</v>
      </c>
      <c r="AH12" s="649">
        <f>SUM(AC11:AH11)</f>
        <v>0.44319775596072924</v>
      </c>
      <c r="AI12" s="649">
        <f>SUM(AC11:AI11)</f>
        <v>0.47568957456755484</v>
      </c>
      <c r="AJ12" s="649">
        <f>SUM(AC11:AJ11)</f>
        <v>0.51192145862552585</v>
      </c>
      <c r="AK12" s="649">
        <f>SUM(AC11:AK11)</f>
        <v>0.54090696587190268</v>
      </c>
      <c r="AL12" s="649">
        <f>SUM(AC11:AL11)</f>
        <v>0.59537166900420746</v>
      </c>
      <c r="AM12" s="649">
        <f>SUM(AC11:AM11)</f>
        <v>0.65147265077138838</v>
      </c>
      <c r="AN12" s="649">
        <f>SUM(AC11:AN11)</f>
        <v>0.74216923796166423</v>
      </c>
      <c r="AO12" s="649">
        <f>SUM(AC11:AO11)</f>
        <v>0.7889200561009817</v>
      </c>
      <c r="AP12" s="649">
        <f>SUM(AC11:AP11)</f>
        <v>0.84315100514258989</v>
      </c>
      <c r="AQ12" s="649">
        <f>SUM(AC11:AQ11)</f>
        <v>0.91514726507713873</v>
      </c>
      <c r="AR12" s="649">
        <f>SUM(AC11:AR11)</f>
        <v>0.99999999999999989</v>
      </c>
      <c r="AS12" s="649"/>
    </row>
    <row r="13" spans="1:45" ht="18" customHeight="1">
      <c r="A13" s="442" t="s">
        <v>342</v>
      </c>
      <c r="B13" s="443">
        <f>'SVB-รายสัปดาห์'!B53</f>
        <v>179</v>
      </c>
      <c r="C13" s="443">
        <f>'SVB-รายสัปดาห์'!C53</f>
        <v>224</v>
      </c>
      <c r="D13" s="443">
        <f>'SVB-รายสัปดาห์'!D53</f>
        <v>288</v>
      </c>
      <c r="E13" s="443">
        <f>'SVB-รายสัปดาห์'!E53</f>
        <v>339</v>
      </c>
      <c r="F13" s="443">
        <f>'SVB-รายสัปดาห์'!F53</f>
        <v>459</v>
      </c>
      <c r="G13" s="443"/>
      <c r="H13" s="443"/>
      <c r="I13" s="443"/>
      <c r="J13" s="443"/>
      <c r="K13" s="443"/>
      <c r="L13" s="443"/>
      <c r="M13" s="443"/>
      <c r="N13" s="443"/>
      <c r="O13" s="443"/>
      <c r="P13" s="443"/>
      <c r="Q13" s="443"/>
      <c r="R13" s="443"/>
      <c r="S13" s="443"/>
      <c r="T13" s="443"/>
      <c r="U13" s="443"/>
      <c r="V13" s="641"/>
      <c r="AB13" s="446" t="s">
        <v>1239</v>
      </c>
      <c r="AC13" s="447">
        <f t="shared" ref="AC13:AR13" si="10">(AC8/$AS$5)</f>
        <v>9.7942964001870025E-2</v>
      </c>
      <c r="AD13" s="447">
        <f t="shared" si="10"/>
        <v>4.2075736325385686E-2</v>
      </c>
      <c r="AE13" s="447">
        <f t="shared" si="10"/>
        <v>5.9841047218326317E-2</v>
      </c>
      <c r="AF13" s="447">
        <f t="shared" si="10"/>
        <v>4.7685834502103785E-2</v>
      </c>
      <c r="AG13" s="447">
        <f t="shared" si="10"/>
        <v>0.11220196353436183</v>
      </c>
      <c r="AH13" s="447">
        <f t="shared" si="10"/>
        <v>0</v>
      </c>
      <c r="AI13" s="447">
        <f t="shared" si="10"/>
        <v>0</v>
      </c>
      <c r="AJ13" s="447">
        <f t="shared" si="10"/>
        <v>0</v>
      </c>
      <c r="AK13" s="447">
        <f t="shared" si="10"/>
        <v>0</v>
      </c>
      <c r="AL13" s="447">
        <f t="shared" si="10"/>
        <v>0</v>
      </c>
      <c r="AM13" s="447">
        <f t="shared" si="10"/>
        <v>0</v>
      </c>
      <c r="AN13" s="447">
        <f t="shared" si="10"/>
        <v>0</v>
      </c>
      <c r="AO13" s="447">
        <f t="shared" si="10"/>
        <v>0</v>
      </c>
      <c r="AP13" s="447">
        <f t="shared" si="10"/>
        <v>0</v>
      </c>
      <c r="AQ13" s="447">
        <f t="shared" si="10"/>
        <v>0</v>
      </c>
      <c r="AR13" s="447">
        <f t="shared" si="10"/>
        <v>0</v>
      </c>
      <c r="AS13" s="649">
        <f>SUM(AC13:AR13)</f>
        <v>0.35974754558204763</v>
      </c>
    </row>
    <row r="14" spans="1:45" ht="18" customHeight="1">
      <c r="A14" s="442" t="s">
        <v>1240</v>
      </c>
      <c r="B14" s="443">
        <f>'SVB-รายสัปดาห์'!B61</f>
        <v>88</v>
      </c>
      <c r="C14" s="443">
        <f>'SVB-รายสัปดาห์'!C61</f>
        <v>133</v>
      </c>
      <c r="D14" s="443">
        <f>'SVB-รายสัปดาห์'!D61</f>
        <v>197</v>
      </c>
      <c r="E14" s="443">
        <f>'SVB-รายสัปดาห์'!E61</f>
        <v>248</v>
      </c>
      <c r="F14" s="443">
        <f>'SVB-รายสัปดาห์'!F61</f>
        <v>368</v>
      </c>
      <c r="G14" s="443"/>
      <c r="H14" s="443"/>
      <c r="I14" s="443"/>
      <c r="J14" s="443"/>
      <c r="K14" s="443"/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641"/>
      <c r="AB14" s="446" t="s">
        <v>1241</v>
      </c>
      <c r="AC14" s="649">
        <f>SUM(AC13)</f>
        <v>9.7942964001870025E-2</v>
      </c>
      <c r="AD14" s="649">
        <f>SUM(AC13:AD13)</f>
        <v>0.14001870032725572</v>
      </c>
      <c r="AE14" s="649">
        <f>SUM(AC13:AE13)</f>
        <v>0.19985974754558203</v>
      </c>
      <c r="AF14" s="649">
        <f>SUM(AC13:AF13)</f>
        <v>0.24754558204768581</v>
      </c>
      <c r="AG14" s="649"/>
      <c r="AH14" s="649"/>
      <c r="AI14" s="649"/>
      <c r="AJ14" s="649"/>
      <c r="AK14" s="649"/>
      <c r="AL14" s="649"/>
      <c r="AM14" s="649"/>
      <c r="AN14" s="649"/>
      <c r="AO14" s="649"/>
      <c r="AP14" s="649"/>
      <c r="AQ14" s="649"/>
      <c r="AR14" s="649"/>
      <c r="AS14" s="649"/>
    </row>
    <row r="15" spans="1:45" ht="18" customHeight="1">
      <c r="A15" s="442" t="s">
        <v>1242</v>
      </c>
      <c r="B15" s="443">
        <f>'SVB-รายสัปดาห์'!B69</f>
        <v>67</v>
      </c>
      <c r="C15" s="443">
        <f>'SVB-รายสัปดาห์'!C69</f>
        <v>67</v>
      </c>
      <c r="D15" s="443">
        <f>'SVB-รายสัปดาห์'!D69</f>
        <v>67</v>
      </c>
      <c r="E15" s="443">
        <f>'SVB-รายสัปดาห์'!E69</f>
        <v>67</v>
      </c>
      <c r="F15" s="443">
        <f>'SVB-รายสัปดาห์'!F69</f>
        <v>67</v>
      </c>
      <c r="G15" s="443"/>
      <c r="H15" s="443"/>
      <c r="I15" s="443"/>
      <c r="J15" s="443"/>
      <c r="K15" s="443"/>
      <c r="L15" s="443"/>
      <c r="M15" s="443"/>
      <c r="N15" s="443"/>
      <c r="O15" s="443"/>
      <c r="P15" s="443"/>
      <c r="Q15" s="443"/>
      <c r="R15" s="443"/>
      <c r="S15" s="443"/>
      <c r="T15" s="443"/>
      <c r="U15" s="443"/>
      <c r="V15" s="641"/>
    </row>
    <row r="16" spans="1:45" ht="18" customHeight="1">
      <c r="A16" s="446" t="s">
        <v>322</v>
      </c>
      <c r="B16" s="635">
        <f>'SVB-รายสัปดาห์'!B31</f>
        <v>26</v>
      </c>
      <c r="C16" s="635">
        <f>'SVB-รายสัปดาห์'!C31</f>
        <v>0</v>
      </c>
      <c r="D16" s="635">
        <f>'SVB-รายสัปดาห์'!D31</f>
        <v>0</v>
      </c>
      <c r="E16" s="635">
        <f>'SVB-รายสัปดาห์'!E31</f>
        <v>0</v>
      </c>
      <c r="F16" s="635">
        <f>'SVB-รายสัปดาห์'!F31</f>
        <v>19</v>
      </c>
      <c r="G16" s="635"/>
      <c r="H16" s="635"/>
      <c r="I16" s="635"/>
      <c r="J16" s="635"/>
      <c r="K16" s="635"/>
      <c r="L16" s="635"/>
      <c r="M16" s="635"/>
      <c r="N16" s="635"/>
      <c r="O16" s="635"/>
      <c r="P16" s="635"/>
      <c r="Q16" s="635"/>
      <c r="R16" s="635"/>
      <c r="S16" s="635"/>
      <c r="T16" s="635"/>
      <c r="U16" s="635"/>
      <c r="V16" s="635">
        <f t="shared" ref="V16:V21" si="11">SUM(B16:U16)</f>
        <v>45</v>
      </c>
    </row>
    <row r="17" spans="1:22" ht="18" customHeight="1">
      <c r="A17" s="446" t="s">
        <v>323</v>
      </c>
      <c r="B17" s="635">
        <f>'SVB-รายสัปดาห์'!B32</f>
        <v>0</v>
      </c>
      <c r="C17" s="635">
        <f>'SVB-รายสัปดาห์'!C32</f>
        <v>24</v>
      </c>
      <c r="D17" s="635">
        <f>'SVB-รายสัปดาห์'!D32</f>
        <v>2</v>
      </c>
      <c r="E17" s="635">
        <f>'SVB-รายสัปดาห์'!E32</f>
        <v>2</v>
      </c>
      <c r="F17" s="635">
        <f>'SVB-รายสัปดาห์'!F32</f>
        <v>0</v>
      </c>
      <c r="G17" s="635"/>
      <c r="H17" s="635"/>
      <c r="I17" s="635"/>
      <c r="J17" s="635"/>
      <c r="K17" s="635"/>
      <c r="L17" s="635"/>
      <c r="M17" s="635"/>
      <c r="N17" s="635"/>
      <c r="O17" s="635"/>
      <c r="P17" s="635"/>
      <c r="Q17" s="635"/>
      <c r="R17" s="635"/>
      <c r="S17" s="635"/>
      <c r="T17" s="635"/>
      <c r="U17" s="635"/>
      <c r="V17" s="635">
        <f t="shared" si="11"/>
        <v>28</v>
      </c>
    </row>
    <row r="18" spans="1:22" ht="18" customHeight="1">
      <c r="A18" s="446" t="s">
        <v>892</v>
      </c>
      <c r="B18" s="635">
        <f>'SVB-รายสัปดาห์'!B38</f>
        <v>0</v>
      </c>
      <c r="C18" s="635">
        <f>'SVB-รายสัปดาห์'!C38</f>
        <v>0</v>
      </c>
      <c r="D18" s="635">
        <f>'SVB-รายสัปดาห์'!D38</f>
        <v>0</v>
      </c>
      <c r="E18" s="635">
        <f>'SVB-รายสัปดาห์'!E38</f>
        <v>0</v>
      </c>
      <c r="F18" s="635">
        <f>'SVB-รายสัปดาห์'!F38</f>
        <v>19</v>
      </c>
      <c r="G18" s="635"/>
      <c r="H18" s="635"/>
      <c r="I18" s="635"/>
      <c r="J18" s="635"/>
      <c r="K18" s="635"/>
      <c r="L18" s="635"/>
      <c r="M18" s="635"/>
      <c r="N18" s="635"/>
      <c r="O18" s="635"/>
      <c r="P18" s="635"/>
      <c r="Q18" s="635"/>
      <c r="R18" s="635"/>
      <c r="S18" s="635"/>
      <c r="T18" s="635"/>
      <c r="U18" s="635"/>
      <c r="V18" s="635">
        <f t="shared" si="11"/>
        <v>19</v>
      </c>
    </row>
    <row r="19" spans="1:22" ht="18" customHeight="1">
      <c r="A19" s="446" t="s">
        <v>893</v>
      </c>
      <c r="B19" s="635">
        <f>'SVB-รายสัปดาห์'!B39</f>
        <v>0</v>
      </c>
      <c r="C19" s="635">
        <f>'SVB-รายสัปดาห์'!C39</f>
        <v>0</v>
      </c>
      <c r="D19" s="635">
        <f>'SVB-รายสัปดาห์'!D39</f>
        <v>0</v>
      </c>
      <c r="E19" s="635">
        <f>'SVB-รายสัปดาห์'!E39</f>
        <v>2</v>
      </c>
      <c r="F19" s="635">
        <f>'SVB-รายสัปดาห์'!F39</f>
        <v>0</v>
      </c>
      <c r="G19" s="635"/>
      <c r="H19" s="635"/>
      <c r="I19" s="635"/>
      <c r="J19" s="635"/>
      <c r="K19" s="635"/>
      <c r="L19" s="635"/>
      <c r="M19" s="635"/>
      <c r="N19" s="635"/>
      <c r="O19" s="635"/>
      <c r="P19" s="635"/>
      <c r="Q19" s="635"/>
      <c r="R19" s="635"/>
      <c r="S19" s="635"/>
      <c r="T19" s="635"/>
      <c r="U19" s="635"/>
      <c r="V19" s="635">
        <f t="shared" si="11"/>
        <v>2</v>
      </c>
    </row>
    <row r="20" spans="1:22" ht="18" customHeight="1">
      <c r="A20" s="446" t="s">
        <v>898</v>
      </c>
      <c r="B20" s="635">
        <f>'SVB-รายสัปดาห์'!B45</f>
        <v>24</v>
      </c>
      <c r="C20" s="635">
        <f>'SVB-รายสัปดาห์'!C45</f>
        <v>0</v>
      </c>
      <c r="D20" s="635">
        <f>'SVB-รายสัปดาห์'!D45</f>
        <v>0</v>
      </c>
      <c r="E20" s="635">
        <f>'SVB-รายสัปดาห์'!E45</f>
        <v>0</v>
      </c>
      <c r="F20" s="635">
        <f>'SVB-รายสัปดาห์'!F45</f>
        <v>0</v>
      </c>
      <c r="G20" s="635"/>
      <c r="H20" s="635"/>
      <c r="I20" s="635"/>
      <c r="J20" s="635"/>
      <c r="K20" s="635"/>
      <c r="L20" s="635"/>
      <c r="M20" s="635"/>
      <c r="N20" s="635"/>
      <c r="O20" s="635"/>
      <c r="P20" s="635"/>
      <c r="Q20" s="635"/>
      <c r="R20" s="635"/>
      <c r="S20" s="635"/>
      <c r="T20" s="635"/>
      <c r="U20" s="635"/>
      <c r="V20" s="635">
        <f t="shared" si="11"/>
        <v>24</v>
      </c>
    </row>
    <row r="21" spans="1:22" ht="18" customHeight="1">
      <c r="A21" s="446" t="s">
        <v>899</v>
      </c>
      <c r="B21" s="635">
        <f>'SVB-รายสัปดาห์'!B46</f>
        <v>0</v>
      </c>
      <c r="C21" s="635">
        <f>'SVB-รายสัปดาห์'!C46</f>
        <v>24</v>
      </c>
      <c r="D21" s="635">
        <f>'SVB-รายสัปดาห์'!D46</f>
        <v>0</v>
      </c>
      <c r="E21" s="635">
        <f>'SVB-รายสัปดาห์'!E46</f>
        <v>0</v>
      </c>
      <c r="F21" s="635">
        <f>'SVB-รายสัปดาห์'!F46</f>
        <v>0</v>
      </c>
      <c r="G21" s="635"/>
      <c r="H21" s="635"/>
      <c r="I21" s="635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5">
        <f t="shared" si="11"/>
        <v>24</v>
      </c>
    </row>
    <row r="22" spans="1:22" ht="18" customHeight="1">
      <c r="A22" s="444" t="s">
        <v>1243</v>
      </c>
      <c r="B22" s="445">
        <f>'SVB-รายสัปดาห์'!B50</f>
        <v>1.1699346405228759</v>
      </c>
      <c r="C22" s="445">
        <f>'SVB-รายสัปดาห์'!C50</f>
        <v>0.65217391304347827</v>
      </c>
      <c r="D22" s="445">
        <f>'SVB-รายสัปดาห์'!D50</f>
        <v>0.96969696969696972</v>
      </c>
      <c r="E22" s="445">
        <f>'SVB-รายสัปดาห์'!E50</f>
        <v>0.96226415094339623</v>
      </c>
      <c r="F22" s="445">
        <f>'SVB-รายสัปดาห์'!F50</f>
        <v>1.1881188118811881</v>
      </c>
      <c r="G22" s="445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</row>
    <row r="23" spans="1:22" ht="18" customHeight="1">
      <c r="A23" s="446" t="s">
        <v>344</v>
      </c>
      <c r="B23" s="447">
        <f>'SVB-รายสัปดาห์'!B55</f>
        <v>9.6105527638190955E-2</v>
      </c>
      <c r="C23" s="447">
        <f>'SVB-รายสัปดาห์'!C55</f>
        <v>0.13944723618090452</v>
      </c>
      <c r="D23" s="447">
        <f>'SVB-รายสัปดาห์'!D55</f>
        <v>0.18090452261306533</v>
      </c>
      <c r="E23" s="447">
        <f>'SVB-รายสัปดาห์'!E55</f>
        <v>0.21419597989949749</v>
      </c>
      <c r="F23" s="447">
        <f>'SVB-รายสัปดาห์'!F55</f>
        <v>0.27763819095477388</v>
      </c>
      <c r="G23" s="447">
        <f>'SVB-รายสัปดาห์'!G55</f>
        <v>0.42902010050251255</v>
      </c>
      <c r="H23" s="447">
        <f>'SVB-รายสัปดาห์'!H55</f>
        <v>0.45979899497487436</v>
      </c>
      <c r="I23" s="447">
        <f>'SVB-รายสัปดาห์'!I55</f>
        <v>0.49120603015075376</v>
      </c>
      <c r="J23" s="447">
        <f>'SVB-รายสัปดาห์'!J55</f>
        <v>0.51067839195979903</v>
      </c>
      <c r="K23" s="447">
        <f>'SVB-รายสัปดาห์'!K55</f>
        <v>0.56469849246231152</v>
      </c>
      <c r="L23" s="447">
        <f>'SVB-รายสัปดาห์'!L55</f>
        <v>0.62311557788944727</v>
      </c>
      <c r="M23" s="447">
        <f>'SVB-รายสัปดาห์'!M55</f>
        <v>0.68404522613065322</v>
      </c>
      <c r="N23" s="447">
        <f>'SVB-รายสัปดาห์'!N55</f>
        <v>0.71545226130653261</v>
      </c>
      <c r="O23" s="447">
        <f>'SVB-รายสัปดาห์'!O55</f>
        <v>0.75188442211055273</v>
      </c>
      <c r="P23" s="447">
        <f>'SVB-รายสัปดาห์'!P55</f>
        <v>0.80025125628140703</v>
      </c>
      <c r="Q23" s="447">
        <f>'SVB-รายสัปดาห์'!Q55</f>
        <v>0.86243718592964824</v>
      </c>
      <c r="R23" s="447">
        <f>'SVB-รายสัปดาห์'!R55</f>
        <v>0.92462311557788945</v>
      </c>
      <c r="S23" s="447">
        <f>'SVB-รายสัปดาห์'!S55</f>
        <v>0.98555276381909551</v>
      </c>
      <c r="T23" s="447">
        <f>'SVB-รายสัปดาห์'!T55</f>
        <v>1</v>
      </c>
      <c r="U23" s="447">
        <f>'SVB-รายสัปดาห์'!U55</f>
        <v>1</v>
      </c>
      <c r="V23" s="447"/>
    </row>
    <row r="24" spans="1:22" ht="18" customHeight="1">
      <c r="A24" s="446" t="s">
        <v>345</v>
      </c>
      <c r="B24" s="447">
        <f>'SVB-รายสัปดาห์'!B54</f>
        <v>0.11243718592964824</v>
      </c>
      <c r="C24" s="447">
        <f>'SVB-รายสัปดาห์'!C54</f>
        <v>0.1407035175879397</v>
      </c>
      <c r="D24" s="447">
        <f>'SVB-รายสัปดาห์'!D54</f>
        <v>0.18090452261306533</v>
      </c>
      <c r="E24" s="447">
        <f>'SVB-รายสัปดาห์'!E54</f>
        <v>0.2129396984924623</v>
      </c>
      <c r="F24" s="447">
        <f>'SVB-รายสัปดาห์'!F54</f>
        <v>0.28831658291457285</v>
      </c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</row>
    <row r="25" spans="1:22" ht="18" customHeight="1">
      <c r="A25" s="446" t="s">
        <v>1244</v>
      </c>
      <c r="B25" s="447">
        <f>'SVB-รายสัปดาห์'!B63</f>
        <v>7.8501338090990191E-2</v>
      </c>
      <c r="C25" s="447">
        <f>'SVB-รายสัปดาห์'!C63</f>
        <v>0.11864406779661017</v>
      </c>
      <c r="D25" s="447">
        <f>'SVB-รายสัปดาห์'!D63</f>
        <v>0.17573595004460305</v>
      </c>
      <c r="E25" s="447">
        <f>'SVB-รายสัปดาห์'!E63</f>
        <v>0.22301516503122212</v>
      </c>
      <c r="F25" s="447">
        <f>'SVB-รายสัปดาห์'!F63</f>
        <v>0.31311329170383584</v>
      </c>
      <c r="G25" s="447">
        <f>'SVB-รายสัปดาห์'!G63</f>
        <v>0.36842105263157893</v>
      </c>
      <c r="H25" s="447">
        <f>'SVB-รายสัปดาห์'!H63</f>
        <v>0.39518287243532563</v>
      </c>
      <c r="I25" s="447">
        <f>'SVB-รายสัปดาห์'!I63</f>
        <v>0.42640499553969669</v>
      </c>
      <c r="J25" s="447">
        <f>'SVB-รายสัปดาห์'!J63</f>
        <v>0.45405887600356826</v>
      </c>
      <c r="K25" s="447">
        <f>'SVB-รายสัปดาห์'!K63</f>
        <v>0.49776984834968779</v>
      </c>
      <c r="L25" s="447">
        <f>'SVB-รายสัปดาห์'!L63</f>
        <v>0.54148082069580727</v>
      </c>
      <c r="M25" s="447">
        <f>'SVB-รายสัปดาห์'!M63</f>
        <v>0.62801070472792153</v>
      </c>
      <c r="N25" s="447">
        <f>'SVB-รายสัปดาห์'!N63</f>
        <v>0.67261373773416588</v>
      </c>
      <c r="O25" s="447">
        <f>'SVB-รายสัปดาห์'!O63</f>
        <v>0.72435325602140943</v>
      </c>
      <c r="P25" s="447">
        <f>'SVB-รายสัปดาห์'!P63</f>
        <v>0.79304192685102592</v>
      </c>
      <c r="Q25" s="447">
        <f>'SVB-รายสัปดาห์'!Q63</f>
        <v>0.87154326494201606</v>
      </c>
      <c r="R25" s="447">
        <f>'SVB-รายสัปดาห์'!R63</f>
        <v>0.93131132917038362</v>
      </c>
      <c r="S25" s="447">
        <f>'SVB-รายสัปดาห์'!S63</f>
        <v>0.98037466547725249</v>
      </c>
      <c r="T25" s="447">
        <f>'SVB-รายสัปดาห์'!T63</f>
        <v>1</v>
      </c>
      <c r="U25" s="447">
        <f>'SVB-รายสัปดาห์'!U63</f>
        <v>1</v>
      </c>
      <c r="V25" s="447"/>
    </row>
    <row r="26" spans="1:22" ht="18" customHeight="1">
      <c r="A26" s="446" t="s">
        <v>1245</v>
      </c>
      <c r="B26" s="447">
        <f>'SVB-รายสัปดาห์'!B62</f>
        <v>7.8501338090990191E-2</v>
      </c>
      <c r="C26" s="447">
        <f>'SVB-รายสัปดาห์'!C62</f>
        <v>0.11864406779661017</v>
      </c>
      <c r="D26" s="447">
        <f>'SVB-รายสัปดาห์'!D62</f>
        <v>0.17573595004460305</v>
      </c>
      <c r="E26" s="447">
        <f>'SVB-รายสัปดาห์'!E62</f>
        <v>0.22123104371097235</v>
      </c>
      <c r="F26" s="447">
        <f>'SVB-รายสัปดาห์'!F62</f>
        <v>0.32827832292595899</v>
      </c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  <c r="V26" s="447"/>
    </row>
    <row r="27" spans="1:22" ht="18" customHeight="1">
      <c r="A27" s="446" t="s">
        <v>1246</v>
      </c>
      <c r="B27" s="447">
        <f>'SVB-รายสัปดาห์'!B71</f>
        <v>9.662921348314607E-2</v>
      </c>
      <c r="C27" s="447">
        <f>'SVB-รายสัปดาห์'!C71</f>
        <v>0.15056179775280898</v>
      </c>
      <c r="D27" s="447">
        <f>'SVB-รายสัปดาห์'!D71</f>
        <v>0.15056179775280898</v>
      </c>
      <c r="E27" s="447">
        <f>'SVB-รายสัปดาห์'!E71</f>
        <v>0.15056179775280898</v>
      </c>
      <c r="F27" s="447">
        <f>'SVB-รายสัปดาห์'!F71</f>
        <v>0.15056179775280898</v>
      </c>
      <c r="G27" s="447">
        <f>'SVB-รายสัปดาห์'!G71</f>
        <v>0.54831460674157306</v>
      </c>
      <c r="H27" s="447">
        <f>'SVB-รายสัปดาห์'!H71</f>
        <v>0.59101123595505622</v>
      </c>
      <c r="I27" s="447">
        <f>'SVB-รายสัปดาห์'!I71</f>
        <v>0.62471910112359552</v>
      </c>
      <c r="J27" s="447">
        <f>'SVB-รายสัปดาห์'!J71</f>
        <v>0.62471910112359552</v>
      </c>
      <c r="K27" s="447">
        <f>'SVB-รายสัปดาห์'!K71</f>
        <v>0.7078651685393258</v>
      </c>
      <c r="L27" s="447">
        <f>'SVB-รายสัปดาห์'!L71</f>
        <v>0.80674157303370786</v>
      </c>
      <c r="M27" s="447">
        <f>'SVB-รายสัปดาห์'!M71</f>
        <v>0.80674157303370786</v>
      </c>
      <c r="N27" s="447">
        <f>'SVB-รายสัปดาห์'!N71</f>
        <v>0.80674157303370786</v>
      </c>
      <c r="O27" s="447">
        <f>'SVB-รายสัปดาห์'!O71</f>
        <v>0.80674157303370786</v>
      </c>
      <c r="P27" s="447">
        <f>'SVB-รายสัปดาห์'!P71</f>
        <v>0.80674157303370786</v>
      </c>
      <c r="Q27" s="447">
        <f>'SVB-รายสัปดาห์'!Q71</f>
        <v>0.8314606741573034</v>
      </c>
      <c r="R27" s="447">
        <f>'SVB-รายสัปดาห์'!R71</f>
        <v>0.90337078651685399</v>
      </c>
      <c r="S27" s="447">
        <f>'SVB-รายสัปดาห์'!S71</f>
        <v>0.99775280898876406</v>
      </c>
      <c r="T27" s="447">
        <f>'SVB-รายสัปดาห์'!T71</f>
        <v>1</v>
      </c>
      <c r="U27" s="447">
        <f>'SVB-รายสัปดาห์'!U71</f>
        <v>1</v>
      </c>
      <c r="V27" s="447"/>
    </row>
    <row r="28" spans="1:22" ht="18" customHeight="1">
      <c r="A28" s="446" t="s">
        <v>1247</v>
      </c>
      <c r="B28" s="447">
        <f>'SVB-รายสัปดาห์'!B70</f>
        <v>0.15056179775280898</v>
      </c>
      <c r="C28" s="447">
        <f>'SVB-รายสัปดาห์'!C70</f>
        <v>0.15056179775280898</v>
      </c>
      <c r="D28" s="447">
        <f>'SVB-รายสัปดาห์'!D70</f>
        <v>0.15056179775280898</v>
      </c>
      <c r="E28" s="447">
        <f>'SVB-รายสัปดาห์'!E70</f>
        <v>0.15056179775280898</v>
      </c>
      <c r="F28" s="447">
        <f>'SVB-รายสัปดาห์'!F70</f>
        <v>0.15056179775280898</v>
      </c>
      <c r="G28" s="447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7"/>
      <c r="V28" s="447"/>
    </row>
    <row r="29" spans="1:22" ht="18" customHeight="1">
      <c r="A29" s="448" t="s">
        <v>1248</v>
      </c>
      <c r="B29" s="449">
        <f t="shared" ref="B29:C29" si="12">IF(B5=0,0,B8/B5)</f>
        <v>1.1699346405228759</v>
      </c>
      <c r="C29" s="449">
        <f t="shared" si="12"/>
        <v>0.65217391304347827</v>
      </c>
      <c r="D29" s="449">
        <f t="shared" ref="D29:E29" si="13">IF(D5=0,0,D8/D5)</f>
        <v>0.96969696969696972</v>
      </c>
      <c r="E29" s="449">
        <f t="shared" si="13"/>
        <v>0.96226415094339623</v>
      </c>
      <c r="F29" s="449">
        <f t="shared" ref="F29" si="14">IF(F5=0,0,F8/F5)</f>
        <v>1.1881188118811881</v>
      </c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</row>
    <row r="30" spans="1:22" ht="18" customHeight="1">
      <c r="A30" s="448" t="s">
        <v>1249</v>
      </c>
      <c r="B30" s="449">
        <f t="shared" ref="B30:C30" si="15">IF(B5=0,0,B9/B5)</f>
        <v>1.1699346405228759</v>
      </c>
      <c r="C30" s="449">
        <f t="shared" si="15"/>
        <v>0.65217391304347827</v>
      </c>
      <c r="D30" s="449">
        <f t="shared" ref="D30:E30" si="16">IF(D5=0,0,D9/D5)</f>
        <v>0.96969696969696972</v>
      </c>
      <c r="E30" s="449">
        <f t="shared" si="16"/>
        <v>0.96226415094339623</v>
      </c>
      <c r="F30" s="449">
        <f t="shared" ref="F30" si="17">IF(F5=0,0,F9/F5)</f>
        <v>1.1881188118811881</v>
      </c>
      <c r="G30" s="449"/>
      <c r="H30" s="449"/>
      <c r="I30" s="449"/>
      <c r="J30" s="449"/>
      <c r="K30" s="449"/>
      <c r="L30" s="449"/>
      <c r="M30" s="449"/>
      <c r="N30" s="449"/>
      <c r="O30" s="449"/>
      <c r="P30" s="449"/>
      <c r="Q30" s="449"/>
      <c r="R30" s="449"/>
      <c r="S30" s="449"/>
      <c r="T30" s="449"/>
      <c r="U30" s="449"/>
      <c r="V30" s="449"/>
    </row>
    <row r="31" spans="1:22" ht="18" customHeight="1">
      <c r="A31" s="448" t="s">
        <v>1250</v>
      </c>
      <c r="B31" s="449">
        <f t="shared" ref="B31:C31" si="18">IF(B5=0,0,B10/B5)</f>
        <v>1.1699346405228759</v>
      </c>
      <c r="C31" s="449">
        <f t="shared" si="18"/>
        <v>0.65217391304347827</v>
      </c>
      <c r="D31" s="449">
        <f t="shared" ref="D31:E31" si="19">IF(D5=0,0,D10/D5)</f>
        <v>0.96969696969696972</v>
      </c>
      <c r="E31" s="449">
        <f t="shared" si="19"/>
        <v>0.96226415094339623</v>
      </c>
      <c r="F31" s="449">
        <f t="shared" ref="F31" si="20">IF(F5=0,0,F10/F5)</f>
        <v>1.1881188118811881</v>
      </c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B1BA-065F-463F-9C5A-A998F47C5490}">
  <dimension ref="A1:Z57"/>
  <sheetViews>
    <sheetView zoomScale="80" zoomScaleNormal="80" workbookViewId="0">
      <selection activeCell="N46" sqref="N46"/>
    </sheetView>
  </sheetViews>
  <sheetFormatPr defaultColWidth="8.6640625" defaultRowHeight="14.4"/>
  <cols>
    <col min="1" max="1" width="18" style="416" customWidth="1"/>
    <col min="2" max="8" width="14" style="416" customWidth="1"/>
    <col min="9" max="9" width="8.6640625" style="416"/>
    <col min="10" max="10" width="16.33203125" style="416" customWidth="1"/>
    <col min="11" max="16" width="14.33203125" style="416" customWidth="1"/>
    <col min="17" max="17" width="14.6640625" style="416" customWidth="1"/>
    <col min="18" max="18" width="8.6640625" style="416"/>
    <col min="19" max="26" width="15.33203125" style="416" customWidth="1"/>
    <col min="27" max="16384" width="8.6640625" style="416"/>
  </cols>
  <sheetData>
    <row r="1" spans="1:26" ht="30" customHeight="1">
      <c r="A1" s="1130" t="s">
        <v>1251</v>
      </c>
      <c r="B1" s="1130"/>
      <c r="C1" s="1130"/>
      <c r="D1" s="1130"/>
      <c r="E1" s="1130"/>
      <c r="F1" s="1130"/>
      <c r="G1" s="1130"/>
      <c r="H1" s="1130"/>
      <c r="J1" s="1130" t="s">
        <v>1252</v>
      </c>
      <c r="K1" s="1130"/>
      <c r="L1" s="1130"/>
      <c r="M1" s="1130"/>
      <c r="N1" s="1130"/>
      <c r="O1" s="1130"/>
      <c r="P1" s="1130"/>
      <c r="Q1" s="1130"/>
      <c r="S1" s="1130" t="s">
        <v>1253</v>
      </c>
      <c r="T1" s="1130"/>
      <c r="U1" s="1130"/>
      <c r="V1" s="1130"/>
      <c r="W1" s="1130"/>
      <c r="X1" s="1130"/>
      <c r="Y1" s="1130"/>
      <c r="Z1" s="1130"/>
    </row>
    <row r="2" spans="1:26" ht="18" customHeight="1">
      <c r="A2" s="1198" t="s">
        <v>1254</v>
      </c>
      <c r="B2" s="1198"/>
      <c r="C2" s="1198"/>
      <c r="D2" s="1198"/>
      <c r="E2" s="1198"/>
      <c r="F2" s="1198"/>
      <c r="G2" s="1198"/>
      <c r="H2" s="1198"/>
      <c r="J2" s="1198" t="s">
        <v>1254</v>
      </c>
      <c r="K2" s="1198"/>
      <c r="L2" s="1198"/>
      <c r="M2" s="1198"/>
      <c r="N2" s="1198"/>
      <c r="O2" s="1198"/>
      <c r="P2" s="1198"/>
      <c r="Q2" s="1198"/>
      <c r="S2" s="1198" t="s">
        <v>1254</v>
      </c>
      <c r="T2" s="1198"/>
      <c r="U2" s="1198"/>
      <c r="V2" s="1198"/>
      <c r="W2" s="1198"/>
      <c r="X2" s="1198"/>
      <c r="Y2" s="1198"/>
      <c r="Z2" s="1198"/>
    </row>
    <row r="4" spans="1:26" ht="15.75" customHeight="1">
      <c r="A4" s="531" t="s">
        <v>1255</v>
      </c>
      <c r="B4" s="532" t="s">
        <v>1256</v>
      </c>
      <c r="J4" s="531" t="s">
        <v>1255</v>
      </c>
      <c r="K4" s="532" t="s">
        <v>362</v>
      </c>
      <c r="S4" s="531" t="s">
        <v>1255</v>
      </c>
      <c r="T4" s="532" t="s">
        <v>541</v>
      </c>
    </row>
    <row r="5" spans="1:26" ht="4.5" customHeight="1"/>
    <row r="6" spans="1:26" ht="19.5" customHeight="1">
      <c r="A6" s="602" t="s">
        <v>353</v>
      </c>
      <c r="B6" s="602" t="s">
        <v>1257</v>
      </c>
      <c r="C6" s="602" t="s">
        <v>1258</v>
      </c>
      <c r="D6" s="602" t="s">
        <v>1259</v>
      </c>
      <c r="E6" s="602" t="s">
        <v>28</v>
      </c>
      <c r="F6" s="602" t="s">
        <v>1248</v>
      </c>
      <c r="G6" s="602" t="s">
        <v>1249</v>
      </c>
      <c r="H6" s="602" t="s">
        <v>1250</v>
      </c>
      <c r="J6" s="602" t="s">
        <v>353</v>
      </c>
      <c r="K6" s="602" t="s">
        <v>1257</v>
      </c>
      <c r="L6" s="602" t="s">
        <v>1258</v>
      </c>
      <c r="M6" s="602" t="s">
        <v>1259</v>
      </c>
      <c r="N6" s="602" t="s">
        <v>28</v>
      </c>
      <c r="O6" s="602" t="s">
        <v>1248</v>
      </c>
      <c r="P6" s="602" t="s">
        <v>1249</v>
      </c>
      <c r="Q6" s="602" t="s">
        <v>1250</v>
      </c>
      <c r="S6" s="602" t="s">
        <v>353</v>
      </c>
      <c r="T6" s="602" t="s">
        <v>1257</v>
      </c>
      <c r="U6" s="602" t="s">
        <v>1258</v>
      </c>
      <c r="V6" s="602" t="s">
        <v>1259</v>
      </c>
      <c r="W6" s="602" t="s">
        <v>28</v>
      </c>
      <c r="X6" s="602" t="s">
        <v>1248</v>
      </c>
      <c r="Y6" s="602" t="s">
        <v>1249</v>
      </c>
      <c r="Z6" s="602" t="s">
        <v>1250</v>
      </c>
    </row>
    <row r="7" spans="1:26" ht="18" customHeight="1">
      <c r="A7" s="527" t="s">
        <v>1256</v>
      </c>
      <c r="B7" s="533" cm="1">
        <f t="array" ref="B7">SUMPRODUCT((SVB!$B$2:$B$740&lt;&gt;"")*(ISNUMBER(SVB!$F$2:$F$740))*(SVB!$F$2:$F$740))</f>
        <v>1592</v>
      </c>
      <c r="C7" s="533" cm="1">
        <f t="array" ref="C7">SUMPRODUCT((SVB!$B$2:$B$740&lt;&gt;"")*(ISNUMBER(SVB!$M$2:$M$740))*(SVB!$M$2:$M$740))</f>
        <v>460</v>
      </c>
      <c r="D7" s="533" cm="1">
        <f t="array" ref="D7">SUMPRODUCT((SVB!$B$2:$B$740&lt;&gt;"")*(ISNUMBER(SVB!$N$2:$N$740))*(SVB!$N$2:$N$740))</f>
        <v>460</v>
      </c>
      <c r="E7" s="533" cm="1">
        <f t="array" ref="E7">SUMPRODUCT((SVB!$B$2:$B$740&lt;&gt;"")*(ISNUMBER(SVB!$O$2:$O$740))*(SVB!$O$2:$O$740))</f>
        <v>460</v>
      </c>
      <c r="F7" s="534">
        <f t="shared" ref="F7:F14" si="0">IF(B7=0,"-",C7/B7)</f>
        <v>0.28894472361809043</v>
      </c>
      <c r="G7" s="534">
        <f t="shared" ref="G7:G14" si="1">IF(B7=0,"-",D7/B7)</f>
        <v>0.28894472361809043</v>
      </c>
      <c r="H7" s="534">
        <f t="shared" ref="H7:H14" si="2">IF(B7=0,"-",E7/B7)</f>
        <v>0.28894472361809043</v>
      </c>
      <c r="J7" s="527" t="s">
        <v>1256</v>
      </c>
      <c r="K7" s="533" cm="1">
        <f t="array" ref="K7">SUMPRODUCT((SVB!$B$2:$B$740&lt;&gt;"")*(SVB!$K$2:$K$740="Switch")*(ISNUMBER(SVB!$F$2:$F$740))*(SVB!$F$2:$F$740))</f>
        <v>1121</v>
      </c>
      <c r="L7" s="533" cm="1">
        <f t="array" ref="L7">SUMPRODUCT((SVB!$B$2:$B$740&lt;&gt;"")*(SVB!$K$2:$K$740="Switch")*(ISNUMBER(SVB!$M$2:$M$740))*(SVB!$M$2:$M$740))</f>
        <v>369</v>
      </c>
      <c r="M7" s="533" cm="1">
        <f t="array" ref="M7">SUMPRODUCT((SVB!$B$2:$B$740&lt;&gt;"")*(SVB!$K$2:$K$740="Switch")*(ISNUMBER(SVB!$N$2:$N$740))*(SVB!$N$2:$N$740))</f>
        <v>369</v>
      </c>
      <c r="N7" s="533" cm="1">
        <f t="array" ref="N7">SUMPRODUCT((SVB!$B$2:$B$740&lt;&gt;"")*(SVB!$K$2:$K$740="Switch")*(ISNUMBER(SVB!$O$2:$O$740))*(SVB!$O$2:$O$740))</f>
        <v>369</v>
      </c>
      <c r="O7" s="534">
        <f t="shared" ref="O7:O14" si="3">IF(K7=0,"-",L7/K7)</f>
        <v>0.32917038358608386</v>
      </c>
      <c r="P7" s="534">
        <f t="shared" ref="P7:P14" si="4">IF(K7=0,"-",M7/K7)</f>
        <v>0.32917038358608386</v>
      </c>
      <c r="Q7" s="534">
        <f t="shared" ref="Q7:Q14" si="5">IF(K7=0,"-",N7/K7)</f>
        <v>0.32917038358608386</v>
      </c>
      <c r="S7" s="527" t="s">
        <v>1256</v>
      </c>
      <c r="T7" s="533" cm="1">
        <f t="array" ref="T7">SUMPRODUCT((SVB!$B$2:$B$740&lt;&gt;"")*(SVB!$K$2:$K$740="AP")*(ISNUMBER(SVB!$F$2:$F$740))*(SVB!$F$2:$F$740))</f>
        <v>445</v>
      </c>
      <c r="U7" s="533" cm="1">
        <f t="array" ref="U7">SUMPRODUCT((SVB!$B$2:$B$740&lt;&gt;"")*(SVB!$K$2:$K$740="Switch")*(ISNUMBER(SVB!$M$2:$M$740))*(SVB!$M$2:$M$740))</f>
        <v>369</v>
      </c>
      <c r="V7" s="533" cm="1">
        <f t="array" ref="V7">SUMPRODUCT((SVB!$B$2:$B$740&lt;&gt;"")*(SVB!$K$2:$K$740="Switch")*(ISNUMBER(SVB!$N$2:$N$740))*(SVB!$N$2:$N$740))</f>
        <v>369</v>
      </c>
      <c r="W7" s="533" cm="1">
        <f t="array" ref="W7">SUMPRODUCT((SVB!$B$2:$B$740&lt;&gt;"")*(SVB!$K$2:$K$740="Switch")*(ISNUMBER(SVB!$O$2:$O$740))*(SVB!$O$2:$O$740))</f>
        <v>369</v>
      </c>
      <c r="X7" s="534">
        <f t="shared" ref="X7:X14" si="6">IF(T7=0,"-",U7/T7)</f>
        <v>0.82921348314606746</v>
      </c>
      <c r="Y7" s="534">
        <f t="shared" ref="Y7:Y14" si="7">IF(T7=0,"-",V7/T7)</f>
        <v>0.82921348314606746</v>
      </c>
      <c r="Z7" s="534">
        <f t="shared" ref="Z7:Z14" si="8">IF(T7=0,"-",W7/T7)</f>
        <v>0.82921348314606746</v>
      </c>
    </row>
    <row r="8" spans="1:26" ht="18" customHeight="1">
      <c r="A8" s="603" t="s">
        <v>815</v>
      </c>
      <c r="B8" s="604" cm="1">
        <f t="array" ref="B8">SUMPRODUCT((SVB!$B$2:$B$740="AMF")*(ISNUMBER(SVB!$F$2:$F$740))*(SVB!$F$2:$F$740))</f>
        <v>114</v>
      </c>
      <c r="C8" s="604" cm="1">
        <f t="array" ref="C8">SUMPRODUCT((SVB!$B$2:$B$740="AMF")*(ISNUMBER(SVB!$M$2:$M$740))*(SVB!$M$2:$M$740))</f>
        <v>2</v>
      </c>
      <c r="D8" s="604" cm="1">
        <f t="array" ref="D8">SUMPRODUCT((SVB!$B$2:$B$740="AMF")*(ISNUMBER(SVB!$N$2:$N$740))*(SVB!$N$2:$N$740))</f>
        <v>2</v>
      </c>
      <c r="E8" s="604" cm="1">
        <f t="array" ref="E8">SUMPRODUCT((SVB!$B$2:$B$740="AMF")*(ISNUMBER(SVB!$O$2:$O$740))*(SVB!$O$2:$O$740))</f>
        <v>2</v>
      </c>
      <c r="F8" s="605">
        <f t="shared" si="0"/>
        <v>1.7543859649122806E-2</v>
      </c>
      <c r="G8" s="605">
        <f t="shared" si="1"/>
        <v>1.7543859649122806E-2</v>
      </c>
      <c r="H8" s="605">
        <f t="shared" si="2"/>
        <v>1.7543859649122806E-2</v>
      </c>
      <c r="J8" s="603" t="s">
        <v>815</v>
      </c>
      <c r="K8" s="604" cm="1">
        <f t="array" ref="K8">SUMPRODUCT((SVB!$B$2:$B$740="AMF")*(SVB!$K$2:$K$740="Switch")*(ISNUMBER(SVB!$F$2:$F$740))*(SVB!$F$2:$F$740))</f>
        <v>69</v>
      </c>
      <c r="L8" s="604" cm="1">
        <f t="array" ref="L8">SUMPRODUCT((SVB!$B$2:$B$740="AMF")*(SVB!$K$2:$K$740="Switch")*(ISNUMBER(SVB!$M$2:$M$740))*(SVB!$M$2:$M$740))</f>
        <v>0</v>
      </c>
      <c r="M8" s="604" cm="1">
        <f t="array" ref="M8">SUMPRODUCT((SVB!$B$2:$B$740="AMF")*(SVB!$K$2:$K$740="Switch")*(ISNUMBER(SVB!$N$2:$N$740))*(SVB!$N$2:$N$740))</f>
        <v>0</v>
      </c>
      <c r="N8" s="604" cm="1">
        <f t="array" ref="N8">SUMPRODUCT((SVB!$B$2:$B$740="AMF")*(SVB!$K$2:$K$740="Switch")*(ISNUMBER(SVB!$O$2:$O$740))*(SVB!$O$2:$O$740))</f>
        <v>0</v>
      </c>
      <c r="O8" s="605">
        <f t="shared" si="3"/>
        <v>0</v>
      </c>
      <c r="P8" s="605">
        <f t="shared" si="4"/>
        <v>0</v>
      </c>
      <c r="Q8" s="605">
        <f t="shared" si="5"/>
        <v>0</v>
      </c>
      <c r="S8" s="603" t="s">
        <v>815</v>
      </c>
      <c r="T8" s="604" cm="1">
        <f t="array" ref="T8">SUMPRODUCT((SVB!$B$2:$B$740="AMF")*(SVB!$K$2:$K$740="AP")*(ISNUMBER(SVB!$F$2:$F$740))*(SVB!$F$2:$F$740))</f>
        <v>43</v>
      </c>
      <c r="U8" s="604" cm="1">
        <f t="array" ref="U8">SUMPRODUCT((SVB!$B$2:$B$740="AMF")*(SVB!$K$2:$K$740="AP")*(ISNUMBER(SVB!$M$2:$M$740))*(SVB!$M$2:$M$740))</f>
        <v>0</v>
      </c>
      <c r="V8" s="604" cm="1">
        <f t="array" ref="V8">SUMPRODUCT((SVB!$B$2:$B$740="AMF")*(SVB!$K$2:$K$740="AP")*(ISNUMBER(SVB!$N$2:$N$740))*(SVB!$N$2:$N$740))</f>
        <v>0</v>
      </c>
      <c r="W8" s="604" cm="1">
        <f t="array" ref="W8">SUMPRODUCT((SVB!$B$2:$B$740="AMF")*(SVB!$K$2:$K$740="AP")*(ISNUMBER(SVB!$O$2:$O$740))*(SVB!$O$2:$O$740))</f>
        <v>0</v>
      </c>
      <c r="X8" s="605">
        <f t="shared" si="6"/>
        <v>0</v>
      </c>
      <c r="Y8" s="605">
        <f t="shared" si="7"/>
        <v>0</v>
      </c>
      <c r="Z8" s="605">
        <f t="shared" si="8"/>
        <v>0</v>
      </c>
    </row>
    <row r="9" spans="1:26" ht="18" customHeight="1">
      <c r="A9" s="603" t="s">
        <v>541</v>
      </c>
      <c r="B9" s="604" cm="1">
        <f t="array" ref="B9">SUMPRODUCT((SVB!$B$2:$B$740="CFZ")*(ISNUMBER(SVB!$F$2:$F$740))*(SVB!$F$2:$F$740))</f>
        <v>187</v>
      </c>
      <c r="C9" s="604" cm="1">
        <f t="array" ref="C9">SUMPRODUCT((SVB!$B$2:$B$740="CFZ")*(ISNUMBER(SVB!$M$2:$M$740))*(SVB!$M$2:$M$740))</f>
        <v>169</v>
      </c>
      <c r="D9" s="604" cm="1">
        <f t="array" ref="D9">SUMPRODUCT((SVB!$B$2:$B$740="CFZ")*(ISNUMBER(SVB!$N$2:$N$740))*(SVB!$N$2:$N$740))</f>
        <v>169</v>
      </c>
      <c r="E9" s="604" cm="1">
        <f t="array" ref="E9">SUMPRODUCT((SVB!$B$2:$B$740="CFZ")*(ISNUMBER(SVB!$O$2:$O$740))*(SVB!$O$2:$O$740))</f>
        <v>169</v>
      </c>
      <c r="F9" s="605">
        <f t="shared" si="0"/>
        <v>0.90374331550802134</v>
      </c>
      <c r="G9" s="605">
        <f t="shared" si="1"/>
        <v>0.90374331550802134</v>
      </c>
      <c r="H9" s="605">
        <f t="shared" si="2"/>
        <v>0.90374331550802134</v>
      </c>
      <c r="J9" s="603" t="s">
        <v>541</v>
      </c>
      <c r="K9" s="604" cm="1">
        <f t="array" ref="K9">SUMPRODUCT((SVB!$B$2:$B$740="CFZ")*(SVB!$K$2:$K$740="Switch")*(ISNUMBER(SVB!$F$2:$F$740))*(SVB!$F$2:$F$740))</f>
        <v>156</v>
      </c>
      <c r="L9" s="604" cm="1">
        <f t="array" ref="L9">SUMPRODUCT((SVB!$B$2:$B$740="CFZ")*(SVB!$K$2:$K$740="Switch")*(ISNUMBER(SVB!$M$2:$M$740))*(SVB!$M$2:$M$740))</f>
        <v>141</v>
      </c>
      <c r="M9" s="604" cm="1">
        <f t="array" ref="M9">SUMPRODUCT((SVB!$B$2:$B$740="CFZ")*(SVB!$K$2:$K$740="Switch")*(ISNUMBER(SVB!$N$2:$N$740))*(SVB!$N$2:$N$740))</f>
        <v>141</v>
      </c>
      <c r="N9" s="604" cm="1">
        <f t="array" ref="N9">SUMPRODUCT((SVB!$B$2:$B$740="CFZ")*(SVB!$K$2:$K$740="Switch")*(ISNUMBER(SVB!$O$2:$O$740))*(SVB!$O$2:$O$740))</f>
        <v>141</v>
      </c>
      <c r="O9" s="605">
        <f t="shared" si="3"/>
        <v>0.90384615384615385</v>
      </c>
      <c r="P9" s="605">
        <f t="shared" si="4"/>
        <v>0.90384615384615385</v>
      </c>
      <c r="Q9" s="605">
        <f t="shared" si="5"/>
        <v>0.90384615384615385</v>
      </c>
      <c r="S9" s="603" t="s">
        <v>541</v>
      </c>
      <c r="T9" s="604" cm="1">
        <f t="array" ref="T9">SUMPRODUCT((SVB!$B$2:$B$740="CFZ")*(SVB!$K$2:$K$740="AP")*(ISNUMBER(SVB!$F$2:$F$740))*(SVB!$F$2:$F$740))</f>
        <v>25</v>
      </c>
      <c r="U9" s="604" cm="1">
        <f t="array" ref="U9">SUMPRODUCT((SVB!$B$2:$B$740="CFZ")*(SVB!$K$2:$K$740="AP")*(ISNUMBER(SVB!$M$2:$M$740))*(SVB!$M$2:$M$740))</f>
        <v>24</v>
      </c>
      <c r="V9" s="604" cm="1">
        <f t="array" ref="V9">SUMPRODUCT((SVB!$B$2:$B$740="CFZ")*(SVB!$K$2:$K$740="AP")*(ISNUMBER(SVB!$N$2:$N$740))*(SVB!$N$2:$N$740))</f>
        <v>24</v>
      </c>
      <c r="W9" s="604" cm="1">
        <f t="array" ref="W9">SUMPRODUCT((SVB!$B$2:$B$740="CFZ")*(SVB!$K$2:$K$740="AP")*(ISNUMBER(SVB!$O$2:$O$740))*(SVB!$O$2:$O$740))</f>
        <v>24</v>
      </c>
      <c r="X9" s="605">
        <f t="shared" si="6"/>
        <v>0.96</v>
      </c>
      <c r="Y9" s="605">
        <f t="shared" si="7"/>
        <v>0.96</v>
      </c>
      <c r="Z9" s="605">
        <f t="shared" si="8"/>
        <v>0.96</v>
      </c>
    </row>
    <row r="10" spans="1:26" ht="18" customHeight="1">
      <c r="A10" s="603" t="s">
        <v>362</v>
      </c>
      <c r="B10" s="604" cm="1">
        <f t="array" ref="B10">SUMPRODUCT((SVB!$B$2:$B$740="D1-041")*(ISNUMBER(SVB!$F$2:$F$740))*(SVB!$F$2:$F$740))</f>
        <v>710</v>
      </c>
      <c r="C10" s="604" cm="1">
        <f t="array" ref="C10">SUMPRODUCT((SVB!$B$2:$B$740="D1-041")*(ISNUMBER(SVB!$M$2:$M$740))*(SVB!$M$2:$M$740))</f>
        <v>281</v>
      </c>
      <c r="D10" s="604" cm="1">
        <f t="array" ref="D10">SUMPRODUCT((SVB!$B$2:$B$740="D1-041")*(ISNUMBER(SVB!$N$2:$N$740))*(SVB!$N$2:$N$740))</f>
        <v>281</v>
      </c>
      <c r="E10" s="604" cm="1">
        <f t="array" ref="E10">SUMPRODUCT((SVB!$B$2:$B$740="D1-041")*(ISNUMBER(SVB!$O$2:$O$740))*(SVB!$O$2:$O$740))</f>
        <v>281</v>
      </c>
      <c r="F10" s="605">
        <f t="shared" si="0"/>
        <v>0.39577464788732392</v>
      </c>
      <c r="G10" s="605">
        <f t="shared" si="1"/>
        <v>0.39577464788732392</v>
      </c>
      <c r="H10" s="605">
        <f t="shared" si="2"/>
        <v>0.39577464788732392</v>
      </c>
      <c r="J10" s="603" t="s">
        <v>362</v>
      </c>
      <c r="K10" s="604" cm="1">
        <f t="array" ref="K10">SUMPRODUCT((SVB!$B$2:$B$740="D1-041")*(SVB!$K$2:$K$740="Switch")*(ISNUMBER(SVB!$F$2:$F$740))*(SVB!$F$2:$F$740))</f>
        <v>410</v>
      </c>
      <c r="L10" s="604" cm="1">
        <f t="array" ref="L10">SUMPRODUCT((SVB!$B$2:$B$740="D1-041")*(SVB!$K$2:$K$740="Switch")*(ISNUMBER(SVB!$M$2:$M$740))*(SVB!$M$2:$M$740))</f>
        <v>228</v>
      </c>
      <c r="M10" s="604" cm="1">
        <f t="array" ref="M10">SUMPRODUCT((SVB!$B$2:$B$740="D1-041")*(SVB!$K$2:$K$740="Switch")*(ISNUMBER(SVB!$N$2:$N$740))*(SVB!$N$2:$N$740))</f>
        <v>228</v>
      </c>
      <c r="N10" s="604" cm="1">
        <f t="array" ref="N10">SUMPRODUCT((SVB!$B$2:$B$740="D1-041")*(SVB!$K$2:$K$740="Switch")*(ISNUMBER(SVB!$O$2:$O$740))*(SVB!$O$2:$O$740))</f>
        <v>228</v>
      </c>
      <c r="O10" s="605">
        <f t="shared" si="3"/>
        <v>0.55609756097560981</v>
      </c>
      <c r="P10" s="605">
        <f t="shared" si="4"/>
        <v>0.55609756097560981</v>
      </c>
      <c r="Q10" s="605">
        <f t="shared" si="5"/>
        <v>0.55609756097560981</v>
      </c>
      <c r="S10" s="603" t="s">
        <v>362</v>
      </c>
      <c r="T10" s="604" cm="1">
        <f t="array" ref="T10">SUMPRODUCT((SVB!$B$2:$B$740="D1-041")*(SVB!$K$2:$K$740="AP")*(ISNUMBER(SVB!$F$2:$F$740))*(SVB!$F$2:$F$740))</f>
        <v>290</v>
      </c>
      <c r="U10" s="604" cm="1">
        <f t="array" ref="U10">SUMPRODUCT((SVB!$B$2:$B$740="D1-041")*(SVB!$K$2:$K$740="AP")*(ISNUMBER(SVB!$M$2:$M$740))*(SVB!$M$2:$M$740))</f>
        <v>43</v>
      </c>
      <c r="V10" s="604" cm="1">
        <f t="array" ref="V10">SUMPRODUCT((SVB!$B$2:$B$740="D1-041")*(SVB!$K$2:$K$740="AP")*(ISNUMBER(SVB!$N$2:$N$740))*(SVB!$N$2:$N$740))</f>
        <v>43</v>
      </c>
      <c r="W10" s="604" cm="1">
        <f t="array" ref="W10">SUMPRODUCT((SVB!$B$2:$B$740="D1-041")*(SVB!$K$2:$K$740="AP")*(ISNUMBER(SVB!$O$2:$O$740))*(SVB!$O$2:$O$740))</f>
        <v>43</v>
      </c>
      <c r="X10" s="605">
        <f t="shared" si="6"/>
        <v>0.14827586206896551</v>
      </c>
      <c r="Y10" s="605">
        <f t="shared" si="7"/>
        <v>0.14827586206896551</v>
      </c>
      <c r="Z10" s="605">
        <f t="shared" si="8"/>
        <v>0.14827586206896551</v>
      </c>
    </row>
    <row r="11" spans="1:26" ht="18" customHeight="1">
      <c r="A11" s="603" t="s">
        <v>425</v>
      </c>
      <c r="B11" s="604" cm="1">
        <f t="array" ref="B11">SUMPRODUCT((SVB!$B$2:$B$740="D1-091")*(ISNUMBER(SVB!$F$2:$F$740))*(SVB!$F$2:$F$740))</f>
        <v>147</v>
      </c>
      <c r="C11" s="604" cm="1">
        <f t="array" ref="C11">SUMPRODUCT((SVB!$B$2:$B$740="D1-091")*(ISNUMBER(SVB!$M$2:$M$740))*(SVB!$M$2:$M$740))</f>
        <v>2</v>
      </c>
      <c r="D11" s="604" cm="1">
        <f t="array" ref="D11">SUMPRODUCT((SVB!$B$2:$B$740="D1-091")*(ISNUMBER(SVB!$N$2:$N$740))*(SVB!$N$2:$N$740))</f>
        <v>2</v>
      </c>
      <c r="E11" s="604" cm="1">
        <f t="array" ref="E11">SUMPRODUCT((SVB!$B$2:$B$740="D1-091")*(ISNUMBER(SVB!$O$2:$O$740))*(SVB!$O$2:$O$740))</f>
        <v>2</v>
      </c>
      <c r="F11" s="605">
        <f t="shared" si="0"/>
        <v>1.3605442176870748E-2</v>
      </c>
      <c r="G11" s="605">
        <f t="shared" si="1"/>
        <v>1.3605442176870748E-2</v>
      </c>
      <c r="H11" s="605">
        <f t="shared" si="2"/>
        <v>1.3605442176870748E-2</v>
      </c>
      <c r="J11" s="603" t="s">
        <v>425</v>
      </c>
      <c r="K11" s="604" cm="1">
        <f t="array" ref="K11">SUMPRODUCT((SVB!$B$2:$B$740="D1-091")*(SVB!$K$2:$K$740="Switch")*(ISNUMBER(SVB!$F$2:$F$740))*(SVB!$F$2:$F$740))</f>
        <v>134</v>
      </c>
      <c r="L11" s="604" cm="1">
        <f t="array" ref="L11">SUMPRODUCT((SVB!$B$2:$B$740="D1-091")*(SVB!$K$2:$K$740="Switch")*(ISNUMBER(SVB!$M$2:$M$740))*(SVB!$M$2:$M$740))</f>
        <v>0</v>
      </c>
      <c r="M11" s="604" cm="1">
        <f t="array" ref="M11">SUMPRODUCT((SVB!$B$2:$B$740="D1-091")*(SVB!$K$2:$K$740="Switch")*(ISNUMBER(SVB!$N$2:$N$740))*(SVB!$N$2:$N$740))</f>
        <v>0</v>
      </c>
      <c r="N11" s="604" cm="1">
        <f t="array" ref="N11">SUMPRODUCT((SVB!$B$2:$B$740="D1-091")*(SVB!$K$2:$K$740="Switch")*(ISNUMBER(SVB!$O$2:$O$740))*(SVB!$O$2:$O$740))</f>
        <v>0</v>
      </c>
      <c r="O11" s="605">
        <f t="shared" si="3"/>
        <v>0</v>
      </c>
      <c r="P11" s="605">
        <f t="shared" si="4"/>
        <v>0</v>
      </c>
      <c r="Q11" s="605">
        <f t="shared" si="5"/>
        <v>0</v>
      </c>
      <c r="S11" s="603" t="s">
        <v>425</v>
      </c>
      <c r="T11" s="604" cm="1">
        <f t="array" ref="T11">SUMPRODUCT((SVB!$B$2:$B$740="D1-091")*(SVB!$K$2:$K$740="AP")*(ISNUMBER(SVB!$F$2:$F$740))*(SVB!$F$2:$F$740))</f>
        <v>11</v>
      </c>
      <c r="U11" s="604" cm="1">
        <f t="array" ref="U11">SUMPRODUCT((SVB!$B$2:$B$740="D1-091")*(SVB!$K$2:$K$740="AP")*(ISNUMBER(SVB!$M$2:$M$740))*(SVB!$M$2:$M$740))</f>
        <v>0</v>
      </c>
      <c r="V11" s="604" cm="1">
        <f t="array" ref="V11">SUMPRODUCT((SVB!$B$2:$B$740="D1-091")*(SVB!$K$2:$K$740="AP")*(ISNUMBER(SVB!$N$2:$N$740))*(SVB!$N$2:$N$740))</f>
        <v>0</v>
      </c>
      <c r="W11" s="604" cm="1">
        <f t="array" ref="W11">SUMPRODUCT((SVB!$B$2:$B$740="D1-091")*(SVB!$K$2:$K$740="AP")*(ISNUMBER(SVB!$O$2:$O$740))*(SVB!$O$2:$O$740))</f>
        <v>0</v>
      </c>
      <c r="X11" s="605">
        <f t="shared" si="6"/>
        <v>0</v>
      </c>
      <c r="Y11" s="605">
        <f t="shared" si="7"/>
        <v>0</v>
      </c>
      <c r="Z11" s="605">
        <f t="shared" si="8"/>
        <v>0</v>
      </c>
    </row>
    <row r="12" spans="1:26" ht="18" customHeight="1">
      <c r="A12" s="603" t="s">
        <v>857</v>
      </c>
      <c r="B12" s="604" cm="1">
        <f t="array" ref="B12">SUMPRODUCT((SVB!$B$2:$B$740="PPW")*(ISNUMBER(SVB!$F$2:$F$740))*(SVB!$F$2:$F$740))</f>
        <v>8</v>
      </c>
      <c r="C12" s="604" cm="1">
        <f t="array" ref="C12">SUMPRODUCT((SVB!$B$2:$B$740="PPW")*(ISNUMBER(SVB!$M$2:$M$740))*(SVB!$M$2:$M$740))</f>
        <v>2</v>
      </c>
      <c r="D12" s="604" cm="1">
        <f t="array" ref="D12">SUMPRODUCT((SVB!$B$2:$B$740="PPW")*(ISNUMBER(SVB!$N$2:$N$740))*(SVB!$N$2:$N$740))</f>
        <v>2</v>
      </c>
      <c r="E12" s="604" cm="1">
        <f t="array" ref="E12">SUMPRODUCT((SVB!$B$2:$B$740="PPW")*(ISNUMBER(SVB!$O$2:$O$740))*(SVB!$O$2:$O$740))</f>
        <v>2</v>
      </c>
      <c r="F12" s="605">
        <f t="shared" si="0"/>
        <v>0.25</v>
      </c>
      <c r="G12" s="605">
        <f t="shared" si="1"/>
        <v>0.25</v>
      </c>
      <c r="H12" s="605">
        <f t="shared" si="2"/>
        <v>0.25</v>
      </c>
      <c r="J12" s="603" t="s">
        <v>857</v>
      </c>
      <c r="K12" s="604" cm="1">
        <f t="array" ref="K12">SUMPRODUCT((SVB!$B$2:$B$740="PPW")*(SVB!$K$2:$K$740="Switch")*(ISNUMBER(SVB!$F$2:$F$740))*(SVB!$F$2:$F$740))</f>
        <v>6</v>
      </c>
      <c r="L12" s="604" cm="1">
        <f t="array" ref="L12">SUMPRODUCT((SVB!$B$2:$B$740="PPW")*(SVB!$K$2:$K$740="Switch")*(ISNUMBER(SVB!$M$2:$M$740))*(SVB!$M$2:$M$740))</f>
        <v>0</v>
      </c>
      <c r="M12" s="604" cm="1">
        <f t="array" ref="M12">SUMPRODUCT((SVB!$B$2:$B$740="PPW")*(SVB!$K$2:$K$740="Switch")*(ISNUMBER(SVB!$N$2:$N$740))*(SVB!$N$2:$N$740))</f>
        <v>0</v>
      </c>
      <c r="N12" s="604" cm="1">
        <f t="array" ref="N12">SUMPRODUCT((SVB!$B$2:$B$740="PPW")*(SVB!$K$2:$K$740="Switch")*(ISNUMBER(SVB!$O$2:$O$740))*(SVB!$O$2:$O$740))</f>
        <v>0</v>
      </c>
      <c r="O12" s="605">
        <f t="shared" si="3"/>
        <v>0</v>
      </c>
      <c r="P12" s="605">
        <f t="shared" si="4"/>
        <v>0</v>
      </c>
      <c r="Q12" s="605">
        <f t="shared" si="5"/>
        <v>0</v>
      </c>
      <c r="S12" s="603" t="s">
        <v>857</v>
      </c>
      <c r="T12" s="604" cm="1">
        <f t="array" ref="T12">SUMPRODUCT((SVB!$B$2:$B$740="PPW")*(SVB!$K$2:$K$740="AP")*(ISNUMBER(SVB!$F$2:$F$740))*(SVB!$F$2:$F$740))</f>
        <v>0</v>
      </c>
      <c r="U12" s="604" cm="1">
        <f t="array" ref="U12">SUMPRODUCT((SVB!$B$2:$B$740="PPW")*(SVB!$K$2:$K$740="AP")*(ISNUMBER(SVB!$M$2:$M$740))*(SVB!$M$2:$M$740))</f>
        <v>0</v>
      </c>
      <c r="V12" s="604" cm="1">
        <f t="array" ref="V12">SUMPRODUCT((SVB!$B$2:$B$740="PPW")*(SVB!$K$2:$K$740="AP")*(ISNUMBER(SVB!$N$2:$N$740))*(SVB!$N$2:$N$740))</f>
        <v>0</v>
      </c>
      <c r="W12" s="604" cm="1">
        <f t="array" ref="W12">SUMPRODUCT((SVB!$B$2:$B$740="PPW")*(SVB!$K$2:$K$740="AP")*(ISNUMBER(SVB!$O$2:$O$740))*(SVB!$O$2:$O$740))</f>
        <v>0</v>
      </c>
      <c r="X12" s="605" t="str">
        <f t="shared" si="6"/>
        <v>-</v>
      </c>
      <c r="Y12" s="605" t="str">
        <f t="shared" si="7"/>
        <v>-</v>
      </c>
      <c r="Z12" s="605" t="str">
        <f t="shared" si="8"/>
        <v>-</v>
      </c>
    </row>
    <row r="13" spans="1:26" ht="18" customHeight="1">
      <c r="A13" s="603" t="s">
        <v>773</v>
      </c>
      <c r="B13" s="604" cm="1">
        <f t="array" ref="B13">SUMPRODUCT((SVB!$B$2:$B$740="RFF")*(ISNUMBER(SVB!$F$2:$F$740))*(SVB!$F$2:$F$740))</f>
        <v>99</v>
      </c>
      <c r="C13" s="604" cm="1">
        <f t="array" ref="C13">SUMPRODUCT((SVB!$B$2:$B$740="RFF")*(ISNUMBER(SVB!$M$2:$M$740))*(SVB!$M$2:$M$740))</f>
        <v>2</v>
      </c>
      <c r="D13" s="604" cm="1">
        <f t="array" ref="D13">SUMPRODUCT((SVB!$B$2:$B$740="RFF")*(ISNUMBER(SVB!$N$2:$N$740))*(SVB!$N$2:$N$740))</f>
        <v>2</v>
      </c>
      <c r="E13" s="604" cm="1">
        <f t="array" ref="E13">SUMPRODUCT((SVB!$B$2:$B$740="RFF")*(ISNUMBER(SVB!$O$2:$O$740))*(SVB!$O$2:$O$740))</f>
        <v>2</v>
      </c>
      <c r="F13" s="605">
        <f t="shared" si="0"/>
        <v>2.0202020202020204E-2</v>
      </c>
      <c r="G13" s="605">
        <f t="shared" si="1"/>
        <v>2.0202020202020204E-2</v>
      </c>
      <c r="H13" s="605">
        <f t="shared" si="2"/>
        <v>2.0202020202020204E-2</v>
      </c>
      <c r="J13" s="603" t="s">
        <v>773</v>
      </c>
      <c r="K13" s="604" cm="1">
        <f t="array" ref="K13">SUMPRODUCT((SVB!$B$2:$B$740="RFF")*(SVB!$K$2:$K$740="Switch")*(ISNUMBER(SVB!$F$2:$F$740))*(SVB!$F$2:$F$740))</f>
        <v>65</v>
      </c>
      <c r="L13" s="604" cm="1">
        <f t="array" ref="L13">SUMPRODUCT((SVB!$B$2:$B$740="RFF")*(SVB!$K$2:$K$740="Switch")*(ISNUMBER(SVB!$M$2:$M$740))*(SVB!$M$2:$M$740))</f>
        <v>0</v>
      </c>
      <c r="M13" s="604" cm="1">
        <f t="array" ref="M13">SUMPRODUCT((SVB!$B$2:$B$740="RFF")*(SVB!$K$2:$K$740="Switch")*(ISNUMBER(SVB!$N$2:$N$740))*(SVB!$N$2:$N$740))</f>
        <v>0</v>
      </c>
      <c r="N13" s="604" cm="1">
        <f t="array" ref="N13">SUMPRODUCT((SVB!$B$2:$B$740="RFF")*(SVB!$K$2:$K$740="Switch")*(ISNUMBER(SVB!$O$2:$O$740))*(SVB!$O$2:$O$740))</f>
        <v>0</v>
      </c>
      <c r="O13" s="605">
        <f t="shared" si="3"/>
        <v>0</v>
      </c>
      <c r="P13" s="605">
        <f t="shared" si="4"/>
        <v>0</v>
      </c>
      <c r="Q13" s="605">
        <f t="shared" si="5"/>
        <v>0</v>
      </c>
      <c r="S13" s="603" t="s">
        <v>773</v>
      </c>
      <c r="T13" s="604" cm="1">
        <f t="array" ref="T13">SUMPRODUCT((SVB!$B$2:$B$740="RFF")*(SVB!$K$2:$K$740="AP")*(ISNUMBER(SVB!$F$2:$F$740))*(SVB!$F$2:$F$740))</f>
        <v>32</v>
      </c>
      <c r="U13" s="604" cm="1">
        <f t="array" ref="U13">SUMPRODUCT((SVB!$B$2:$B$740="RFF")*(SVB!$K$2:$K$740="AP")*(ISNUMBER(SVB!$M$2:$M$740))*(SVB!$M$2:$M$740))</f>
        <v>0</v>
      </c>
      <c r="V13" s="604" cm="1">
        <f t="array" ref="V13">SUMPRODUCT((SVB!$B$2:$B$740="RFF")*(SVB!$K$2:$K$740="AP")*(ISNUMBER(SVB!$N$2:$N$740))*(SVB!$N$2:$N$740))</f>
        <v>0</v>
      </c>
      <c r="W13" s="604" cm="1">
        <f t="array" ref="W13">SUMPRODUCT((SVB!$B$2:$B$740="RFF")*(SVB!$K$2:$K$740="AP")*(ISNUMBER(SVB!$O$2:$O$740))*(SVB!$O$2:$O$740))</f>
        <v>0</v>
      </c>
      <c r="X13" s="605">
        <f t="shared" si="6"/>
        <v>0</v>
      </c>
      <c r="Y13" s="605">
        <f t="shared" si="7"/>
        <v>0</v>
      </c>
      <c r="Z13" s="605">
        <f t="shared" si="8"/>
        <v>0</v>
      </c>
    </row>
    <row r="14" spans="1:26" ht="18" customHeight="1">
      <c r="A14" s="603" t="s">
        <v>636</v>
      </c>
      <c r="B14" s="604" cm="1">
        <f t="array" ref="B14">SUMPRODUCT((SVB!$B$2:$B$740="T1-015")*(ISNUMBER(SVB!$F$2:$F$740))*(SVB!$F$2:$F$740))</f>
        <v>327</v>
      </c>
      <c r="C14" s="604" cm="1">
        <f t="array" ref="C14">SUMPRODUCT((SVB!$B$2:$B$740="T1-015")*(ISNUMBER(SVB!$M$2:$M$740))*(SVB!$M$2:$M$740))</f>
        <v>2</v>
      </c>
      <c r="D14" s="604" cm="1">
        <f t="array" ref="D14">SUMPRODUCT((SVB!$B$2:$B$740="T1-015")*(ISNUMBER(SVB!$N$2:$N$740))*(SVB!$N$2:$N$740))</f>
        <v>2</v>
      </c>
      <c r="E14" s="604" cm="1">
        <f t="array" ref="E14">SUMPRODUCT((SVB!$B$2:$B$740="T1-015")*(ISNUMBER(SVB!$O$2:$O$740))*(SVB!$O$2:$O$740))</f>
        <v>2</v>
      </c>
      <c r="F14" s="605">
        <f t="shared" si="0"/>
        <v>6.1162079510703364E-3</v>
      </c>
      <c r="G14" s="605">
        <f t="shared" si="1"/>
        <v>6.1162079510703364E-3</v>
      </c>
      <c r="H14" s="605">
        <f t="shared" si="2"/>
        <v>6.1162079510703364E-3</v>
      </c>
      <c r="J14" s="603" t="s">
        <v>636</v>
      </c>
      <c r="K14" s="604" cm="1">
        <f t="array" ref="K14">SUMPRODUCT((SVB!$B$2:$B$740="T1-015")*(SVB!$K$2:$K$740="Switch")*(ISNUMBER(SVB!$F$2:$F$740))*(SVB!$F$2:$F$740))</f>
        <v>281</v>
      </c>
      <c r="L14" s="604" cm="1">
        <f t="array" ref="L14">SUMPRODUCT((SVB!$B$2:$B$740="T1-015")*(SVB!$K$2:$K$740="Switch")*(ISNUMBER(SVB!$M$2:$M$740))*(SVB!$M$2:$M$740))</f>
        <v>0</v>
      </c>
      <c r="M14" s="604" cm="1">
        <f t="array" ref="M14">SUMPRODUCT((SVB!$B$2:$B$740="T1-015")*(SVB!$K$2:$K$740="Switch")*(ISNUMBER(SVB!$N$2:$N$740))*(SVB!$N$2:$N$740))</f>
        <v>0</v>
      </c>
      <c r="N14" s="604" cm="1">
        <f t="array" ref="N14">SUMPRODUCT((SVB!$B$2:$B$740="T1-015")*(SVB!$K$2:$K$740="Switch")*(ISNUMBER(SVB!$O$2:$O$740))*(SVB!$O$2:$O$740))</f>
        <v>0</v>
      </c>
      <c r="O14" s="605">
        <f t="shared" si="3"/>
        <v>0</v>
      </c>
      <c r="P14" s="605">
        <f t="shared" si="4"/>
        <v>0</v>
      </c>
      <c r="Q14" s="605">
        <f t="shared" si="5"/>
        <v>0</v>
      </c>
      <c r="S14" s="603" t="s">
        <v>636</v>
      </c>
      <c r="T14" s="604" cm="1">
        <f t="array" ref="T14">SUMPRODUCT((SVB!$B$2:$B$740="T1-015")*(SVB!$K$2:$K$740="AP")*(ISNUMBER(SVB!$F$2:$F$740))*(SVB!$F$2:$F$740))</f>
        <v>44</v>
      </c>
      <c r="U14" s="604" cm="1">
        <f t="array" ref="U14">SUMPRODUCT((SVB!$B$2:$B$740="T1-015")*(SVB!$K$2:$K$740="AP")*(ISNUMBER(SVB!$M$2:$M$740))*(SVB!$M$2:$M$740))</f>
        <v>0</v>
      </c>
      <c r="V14" s="604" cm="1">
        <f t="array" ref="V14">SUMPRODUCT((SVB!$B$2:$B$740="T1-015")*(SVB!$K$2:$K$740="AP")*(ISNUMBER(SVB!$N$2:$N$740))*(SVB!$N$2:$N$740))</f>
        <v>0</v>
      </c>
      <c r="W14" s="604" cm="1">
        <f t="array" ref="W14">SUMPRODUCT((SVB!$B$2:$B$740="T1-015")*(SVB!$K$2:$K$740="AP")*(ISNUMBER(SVB!$O$2:$O$740))*(SVB!$O$2:$O$740))</f>
        <v>0</v>
      </c>
      <c r="X14" s="605">
        <f t="shared" si="6"/>
        <v>0</v>
      </c>
      <c r="Y14" s="605">
        <f t="shared" si="7"/>
        <v>0</v>
      </c>
      <c r="Z14" s="605">
        <f t="shared" si="8"/>
        <v>0</v>
      </c>
    </row>
    <row r="15" spans="1:26" ht="4.5" customHeight="1"/>
    <row r="16" spans="1:26" ht="30.75" customHeight="1">
      <c r="A16" s="535" t="s">
        <v>1260</v>
      </c>
      <c r="J16" s="535" t="s">
        <v>1260</v>
      </c>
      <c r="S16" s="535" t="s">
        <v>1260</v>
      </c>
    </row>
    <row r="17" spans="1:26" ht="19.5" customHeight="1">
      <c r="A17" s="536" t="s">
        <v>353</v>
      </c>
      <c r="B17" s="536" t="s">
        <v>1257</v>
      </c>
      <c r="C17" s="536" t="s">
        <v>1258</v>
      </c>
      <c r="D17" s="536" t="s">
        <v>1259</v>
      </c>
      <c r="E17" s="536" t="s">
        <v>28</v>
      </c>
      <c r="F17" s="536" t="s">
        <v>1248</v>
      </c>
      <c r="G17" s="536" t="s">
        <v>1249</v>
      </c>
      <c r="H17" s="536" t="s">
        <v>1250</v>
      </c>
      <c r="J17" s="536" t="s">
        <v>353</v>
      </c>
      <c r="K17" s="536" t="s">
        <v>1257</v>
      </c>
      <c r="L17" s="536" t="s">
        <v>1258</v>
      </c>
      <c r="M17" s="536" t="s">
        <v>1259</v>
      </c>
      <c r="N17" s="536" t="s">
        <v>28</v>
      </c>
      <c r="O17" s="536" t="s">
        <v>1248</v>
      </c>
      <c r="P17" s="536" t="s">
        <v>1249</v>
      </c>
      <c r="Q17" s="536" t="s">
        <v>1250</v>
      </c>
      <c r="S17" s="536" t="s">
        <v>353</v>
      </c>
      <c r="T17" s="536" t="s">
        <v>1257</v>
      </c>
      <c r="U17" s="536" t="s">
        <v>1258</v>
      </c>
      <c r="V17" s="536" t="s">
        <v>1259</v>
      </c>
      <c r="W17" s="536" t="s">
        <v>28</v>
      </c>
      <c r="X17" s="536" t="s">
        <v>1248</v>
      </c>
      <c r="Y17" s="536" t="s">
        <v>1249</v>
      </c>
      <c r="Z17" s="536" t="s">
        <v>1250</v>
      </c>
    </row>
    <row r="18" spans="1:26" ht="18" customHeight="1">
      <c r="A18" s="537" t="str">
        <f>$B$4</f>
        <v>ทั้งหมด</v>
      </c>
      <c r="B18" s="538">
        <f>IFERROR(VLOOKUP($A$18,$A$7:$H$14,2,FALSE()),"-")</f>
        <v>1592</v>
      </c>
      <c r="C18" s="538">
        <f>IFERROR(VLOOKUP($A$18,$A$7:$H$14,3,FALSE()),"-")</f>
        <v>460</v>
      </c>
      <c r="D18" s="538">
        <f>IFERROR(VLOOKUP($A$18,$A$7:$H$14,4,FALSE()),"-")</f>
        <v>460</v>
      </c>
      <c r="E18" s="538">
        <f>IFERROR(VLOOKUP($A$18,$A$7:$H$14,5,FALSE()),"-")</f>
        <v>460</v>
      </c>
      <c r="F18" s="539">
        <f>IFERROR(VLOOKUP($A$18,$A$7:$H$14,6,FALSE()),"-")</f>
        <v>0.28894472361809043</v>
      </c>
      <c r="G18" s="539">
        <f>IFERROR(VLOOKUP($A$18,$A$7:$H$14,7,FALSE()),"-")</f>
        <v>0.28894472361809043</v>
      </c>
      <c r="H18" s="539">
        <f>IFERROR(VLOOKUP($A$18,$A$7:$H$14,8,FALSE()),"-")</f>
        <v>0.28894472361809043</v>
      </c>
      <c r="J18" s="537" t="str">
        <f>$K$4</f>
        <v>D1-041</v>
      </c>
      <c r="K18" s="538">
        <f>IFERROR(VLOOKUP($J$18,$J$7:$Q$14,2,FALSE()),"-")</f>
        <v>410</v>
      </c>
      <c r="L18" s="538">
        <f>IFERROR(VLOOKUP($J$18,$J$7:$Q$14,3,FALSE()),"-")</f>
        <v>228</v>
      </c>
      <c r="M18" s="538">
        <f>IFERROR(VLOOKUP($J$18,$J$7:$Q$14,4,FALSE()),"-")</f>
        <v>228</v>
      </c>
      <c r="N18" s="538">
        <f>IFERROR(VLOOKUP($J$18,$J$7:$Q$14,5,FALSE()),"-")</f>
        <v>228</v>
      </c>
      <c r="O18" s="539">
        <f>IFERROR(VLOOKUP($J$18,$J$7:$Q$14,6,FALSE()),"-")</f>
        <v>0.55609756097560981</v>
      </c>
      <c r="P18" s="539">
        <f>IFERROR(VLOOKUP($J$18,$J$7:$Q$14,7,FALSE()),"-")</f>
        <v>0.55609756097560981</v>
      </c>
      <c r="Q18" s="539">
        <f>IFERROR(VLOOKUP($J$18,$J$7:$Q$14,8,FALSE()),"-")</f>
        <v>0.55609756097560981</v>
      </c>
      <c r="S18" s="537" t="str">
        <f>$T$4</f>
        <v>CFZ</v>
      </c>
      <c r="T18" s="538">
        <f>IFERROR(VLOOKUP($S$18,$S$7:$Z$14,2,FALSE()),"-")</f>
        <v>25</v>
      </c>
      <c r="U18" s="538">
        <f>IFERROR(VLOOKUP($S$18,$S$7:$Z$14,3,FALSE()),"-")</f>
        <v>24</v>
      </c>
      <c r="V18" s="538">
        <f>IFERROR(VLOOKUP($S$18,$S$7:$Z$14,4,FALSE()),"-")</f>
        <v>24</v>
      </c>
      <c r="W18" s="538">
        <f>IFERROR(VLOOKUP($S$18,$S$7:$Z$14,5,FALSE()),"-")</f>
        <v>24</v>
      </c>
      <c r="X18" s="539">
        <f>IFERROR(VLOOKUP($S$18,$S$7:$Z$14,6,FALSE()),"-")</f>
        <v>0.96</v>
      </c>
      <c r="Y18" s="539">
        <f>IFERROR(VLOOKUP($S$18,$S$7:$Z$14,7,FALSE()),"-")</f>
        <v>0.96</v>
      </c>
      <c r="Z18" s="539">
        <f>IFERROR(VLOOKUP($S$18,$S$7:$Z$14,8,FALSE()),"-")</f>
        <v>0.96</v>
      </c>
    </row>
    <row r="50" spans="1:1" ht="15" hidden="1" customHeight="1">
      <c r="A50" s="540" t="s">
        <v>1256</v>
      </c>
    </row>
    <row r="51" spans="1:1" ht="15" hidden="1" customHeight="1">
      <c r="A51" s="416" t="s">
        <v>815</v>
      </c>
    </row>
    <row r="52" spans="1:1" ht="15" hidden="1" customHeight="1">
      <c r="A52" s="416" t="s">
        <v>541</v>
      </c>
    </row>
    <row r="53" spans="1:1" ht="15" hidden="1" customHeight="1">
      <c r="A53" s="416" t="s">
        <v>362</v>
      </c>
    </row>
    <row r="54" spans="1:1" ht="15" hidden="1" customHeight="1">
      <c r="A54" s="416" t="s">
        <v>425</v>
      </c>
    </row>
    <row r="55" spans="1:1" ht="15" hidden="1" customHeight="1">
      <c r="A55" s="416" t="s">
        <v>857</v>
      </c>
    </row>
    <row r="56" spans="1:1" ht="15" hidden="1" customHeight="1">
      <c r="A56" s="416" t="s">
        <v>773</v>
      </c>
    </row>
    <row r="57" spans="1:1" ht="15" hidden="1" customHeight="1">
      <c r="A57" s="416" t="s">
        <v>636</v>
      </c>
    </row>
  </sheetData>
  <mergeCells count="6">
    <mergeCell ref="A1:H1"/>
    <mergeCell ref="A2:H2"/>
    <mergeCell ref="J1:Q1"/>
    <mergeCell ref="J2:Q2"/>
    <mergeCell ref="S1:Z1"/>
    <mergeCell ref="S2:Z2"/>
  </mergeCells>
  <dataValidations count="1">
    <dataValidation type="list" sqref="B4 K4 T4" xr:uid="{F3C157A4-20B1-448C-A9DE-084CCB1766F6}">
      <formula1>$A$50:$A$57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4BD3-C25D-43B1-9969-1C4F31B0DDEE}">
  <dimension ref="A1:V145"/>
  <sheetViews>
    <sheetView topLeftCell="A179" zoomScale="70" zoomScaleNormal="70" workbookViewId="0">
      <selection activeCell="P202" sqref="P202"/>
    </sheetView>
  </sheetViews>
  <sheetFormatPr defaultColWidth="8.6640625" defaultRowHeight="14.4"/>
  <cols>
    <col min="1" max="1" width="26" style="416" customWidth="1"/>
    <col min="2" max="3" width="8.5546875" style="416" bestFit="1" customWidth="1"/>
    <col min="4" max="5" width="7.6640625" style="416" bestFit="1" customWidth="1"/>
    <col min="6" max="7" width="8.5546875" style="416" bestFit="1" customWidth="1"/>
    <col min="8" max="8" width="9.33203125" style="416" customWidth="1"/>
    <col min="9" max="9" width="8.33203125" style="416" customWidth="1"/>
    <col min="10" max="11" width="8.5546875" style="416" bestFit="1" customWidth="1"/>
    <col min="12" max="12" width="7.6640625" style="416" bestFit="1" customWidth="1"/>
    <col min="13" max="13" width="6.88671875" style="416" bestFit="1" customWidth="1"/>
    <col min="14" max="14" width="7.6640625" style="416" bestFit="1" customWidth="1"/>
    <col min="15" max="16" width="8.5546875" style="416" bestFit="1" customWidth="1"/>
    <col min="17" max="17" width="8.33203125" style="416" customWidth="1"/>
    <col min="18" max="16384" width="8.6640625" style="416"/>
  </cols>
  <sheetData>
    <row r="1" spans="1:22" ht="30" customHeight="1">
      <c r="A1" s="1130" t="s">
        <v>1261</v>
      </c>
      <c r="B1" s="1130"/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0"/>
      <c r="Q1" s="1130"/>
      <c r="R1" s="1130"/>
      <c r="S1" s="1130"/>
      <c r="T1" s="1130"/>
    </row>
    <row r="2" spans="1:22" ht="18" customHeight="1">
      <c r="A2" s="1198" t="s">
        <v>1262</v>
      </c>
      <c r="B2" s="1198"/>
      <c r="C2" s="1198"/>
      <c r="D2" s="1198"/>
      <c r="E2" s="1198"/>
      <c r="F2" s="1198"/>
      <c r="G2" s="1198"/>
      <c r="H2" s="1198"/>
      <c r="I2" s="1198"/>
      <c r="J2" s="1198"/>
      <c r="K2" s="1198"/>
      <c r="L2" s="1198"/>
      <c r="M2" s="1198"/>
      <c r="N2" s="1198"/>
      <c r="O2" s="1198"/>
      <c r="P2" s="1198"/>
      <c r="Q2" s="1198"/>
      <c r="R2" s="1198"/>
      <c r="S2" s="1198"/>
      <c r="T2" s="1198"/>
    </row>
    <row r="3" spans="1:22" ht="18">
      <c r="A3" s="565" t="s">
        <v>1263</v>
      </c>
    </row>
    <row r="4" spans="1:22" ht="28.8">
      <c r="A4" s="606"/>
      <c r="B4" s="606" t="str">
        <f>'SVB-รายสัปดาห์ทั้งหมด'!B4</f>
        <v>W.1
(14/2-20/2)</v>
      </c>
      <c r="C4" s="606" t="str">
        <f>'SVB-รายสัปดาห์ทั้งหมด'!C4</f>
        <v>W.2
(21/2-27/2)</v>
      </c>
      <c r="D4" s="606" t="str">
        <f>'SVB-รายสัปดาห์ทั้งหมด'!D4</f>
        <v>W.3
(28/2-6/3)</v>
      </c>
      <c r="E4" s="606" t="str">
        <f>'SVB-รายสัปดาห์ทั้งหมด'!E4</f>
        <v>W.4
(7/3-13/3)</v>
      </c>
      <c r="F4" s="606" t="str">
        <f>'SVB-รายสัปดาห์ทั้งหมด'!F4</f>
        <v>W.5
(14/3-20/3)</v>
      </c>
      <c r="G4" s="606" t="str">
        <f>'SVB-รายสัปดาห์ทั้งหมด'!G4</f>
        <v>W.6
(21/3-27/3)</v>
      </c>
      <c r="H4" s="606" t="str">
        <f>'SVB-รายสัปดาห์ทั้งหมด'!H4</f>
        <v>W.7
(28/3-3/4)</v>
      </c>
      <c r="I4" s="606" t="str">
        <f>'SVB-รายสัปดาห์ทั้งหมด'!I4</f>
        <v>W.8
(4/4-10/4)</v>
      </c>
      <c r="J4" s="606" t="str">
        <f>'SVB-รายสัปดาห์ทั้งหมด'!J4</f>
        <v>W.9
(11/4-17/4)</v>
      </c>
      <c r="K4" s="606" t="str">
        <f>'SVB-รายสัปดาห์ทั้งหมด'!K4</f>
        <v>W.10
(18/4-24/4)</v>
      </c>
      <c r="L4" s="606" t="str">
        <f>'SVB-รายสัปดาห์ทั้งหมด'!L4</f>
        <v>W.11
(25/4-1/5)</v>
      </c>
      <c r="M4" s="606" t="str">
        <f>'SVB-รายสัปดาห์ทั้งหมด'!M4</f>
        <v>W.12
(2/5-8/5)</v>
      </c>
      <c r="N4" s="606" t="str">
        <f>'SVB-รายสัปดาห์ทั้งหมด'!N4</f>
        <v>W.13
(9/5-15/5)</v>
      </c>
      <c r="O4" s="606" t="str">
        <f>'SVB-รายสัปดาห์ทั้งหมด'!O4</f>
        <v>W.14
(16/5-22/5)</v>
      </c>
      <c r="P4" s="606" t="str">
        <f>'SVB-รายสัปดาห์ทั้งหมด'!P4</f>
        <v>W.15
(23/5-29/5)</v>
      </c>
      <c r="Q4" s="606" t="str">
        <f>'SVB-รายสัปดาห์ทั้งหมด'!Q4</f>
        <v>W.16
(30/5-5/6)</v>
      </c>
      <c r="R4" s="606" t="str">
        <f>'SVB-รายสัปดาห์ทั้งหมด'!R4</f>
        <v>W.17
(6/6-12/6)</v>
      </c>
      <c r="S4" s="606" t="str">
        <f>'SVB-รายสัปดาห์ทั้งหมด'!S4</f>
        <v>W.18
(13/6-19/6)</v>
      </c>
      <c r="T4" s="606" t="str">
        <f>'SVB-รายสัปดาห์ทั้งหมด'!T4</f>
        <v>W.19
(20/6-26/6)</v>
      </c>
      <c r="U4" s="606" t="str">
        <f>'SVB-รายสัปดาห์ทั้งหมด'!U4</f>
        <v>W.20
(27/6-3/7)</v>
      </c>
      <c r="V4" s="417" t="s">
        <v>29</v>
      </c>
    </row>
    <row r="5" spans="1:22" ht="18" customHeight="1">
      <c r="A5" s="440" t="s">
        <v>316</v>
      </c>
      <c r="B5" s="441">
        <f>'SVB-รายสัปดาห์ทั้งหมด'!B64</f>
        <v>139</v>
      </c>
      <c r="C5" s="441">
        <f>'SVB-รายสัปดาห์ทั้งหมด'!C64</f>
        <v>0</v>
      </c>
      <c r="D5" s="441">
        <f>'SVB-รายสัปดาห์ทั้งหมด'!D64</f>
        <v>12</v>
      </c>
      <c r="E5" s="441">
        <f>'SVB-รายสัปดาห์ทั้งหมด'!E64</f>
        <v>53</v>
      </c>
      <c r="F5" s="441">
        <f>'SVB-รายสัปดาห์ทั้งหมด'!F64</f>
        <v>60</v>
      </c>
      <c r="G5" s="441">
        <f>'SVB-รายสัปดาห์ทั้งหมด'!G64</f>
        <v>224</v>
      </c>
      <c r="H5" s="441">
        <f>'SVB-รายสัปดาห์ทั้งหมด'!H64</f>
        <v>49</v>
      </c>
      <c r="I5" s="441">
        <f>'SVB-รายสัปดาห์ทั้งหมด'!I64</f>
        <v>50</v>
      </c>
      <c r="J5" s="441">
        <f>'SVB-รายสัปดาห์ทั้งหมด'!J64</f>
        <v>31</v>
      </c>
      <c r="K5" s="441">
        <f>'SVB-รายสัปดาห์ทั้งหมด'!K64</f>
        <v>86</v>
      </c>
      <c r="L5" s="441">
        <f>'SVB-รายสัปดาห์ทั้งหมด'!L64</f>
        <v>0</v>
      </c>
      <c r="M5" s="441">
        <f>'SVB-รายสัปดาห์ทั้งหมด'!M64</f>
        <v>0</v>
      </c>
      <c r="N5" s="441">
        <f>'SVB-รายสัปดาห์ทั้งหมด'!N64</f>
        <v>0</v>
      </c>
      <c r="O5" s="441">
        <f>'SVB-รายสัปดาห์ทั้งหมด'!O64</f>
        <v>0</v>
      </c>
      <c r="P5" s="441">
        <f>'SVB-รายสัปดาห์ทั้งหมด'!P64</f>
        <v>0</v>
      </c>
      <c r="Q5" s="441">
        <f>'SVB-รายสัปดาห์ทั้งหมด'!Q64</f>
        <v>6</v>
      </c>
      <c r="R5" s="441">
        <f>'SVB-รายสัปดาห์ทั้งหมด'!R64</f>
        <v>0</v>
      </c>
      <c r="S5" s="441">
        <f>'SVB-รายสัปดาห์ทั้งหมด'!S64</f>
        <v>0</v>
      </c>
      <c r="T5" s="441">
        <f>'SVB-รายสัปดาห์ทั้งหมด'!T64</f>
        <v>0</v>
      </c>
      <c r="U5" s="441">
        <f>'SVB-รายสัปดาห์ทั้งหมด'!U64</f>
        <v>0</v>
      </c>
      <c r="V5" s="441">
        <f>SUM(B5:U5)</f>
        <v>710</v>
      </c>
    </row>
    <row r="6" spans="1:22" ht="18" customHeight="1">
      <c r="A6" s="440" t="s">
        <v>890</v>
      </c>
      <c r="B6" s="441">
        <f>'SVB-รายสัปดาห์ทั้งหมด'!B65</f>
        <v>86</v>
      </c>
      <c r="C6" s="441">
        <f>'SVB-รายสัปดาห์ทั้งหมด'!C65</f>
        <v>0</v>
      </c>
      <c r="D6" s="441">
        <f>'SVB-รายสัปดาห์ทั้งหมด'!D65</f>
        <v>12</v>
      </c>
      <c r="E6" s="441">
        <f>'SVB-รายสัปดาห์ทั้งหมด'!E65</f>
        <v>53</v>
      </c>
      <c r="F6" s="441">
        <f>'SVB-รายสัปดาห์ทั้งหมด'!F65</f>
        <v>60</v>
      </c>
      <c r="G6" s="441">
        <f>'SVB-รายสัปดาห์ทั้งหมด'!G65</f>
        <v>48</v>
      </c>
      <c r="H6" s="441">
        <f>'SVB-รายสัปดาห์ทั้งหมด'!H65</f>
        <v>30</v>
      </c>
      <c r="I6" s="441">
        <f>'SVB-รายสัปดาห์ทั้งหมด'!I65</f>
        <v>35</v>
      </c>
      <c r="J6" s="441">
        <f>'SVB-รายสัปดาห์ทั้งหมด'!J65</f>
        <v>31</v>
      </c>
      <c r="K6" s="441">
        <f>'SVB-รายสัปดาห์ทั้งหมด'!K65</f>
        <v>49</v>
      </c>
      <c r="L6" s="441">
        <f>'SVB-รายสัปดาห์ทั้งหมด'!L65</f>
        <v>0</v>
      </c>
      <c r="M6" s="441">
        <f>'SVB-รายสัปดาห์ทั้งหมด'!M65</f>
        <v>0</v>
      </c>
      <c r="N6" s="441">
        <f>'SVB-รายสัปดาห์ทั้งหมด'!N65</f>
        <v>0</v>
      </c>
      <c r="O6" s="441">
        <f>'SVB-รายสัปดาห์ทั้งหมด'!O65</f>
        <v>0</v>
      </c>
      <c r="P6" s="441">
        <f>'SVB-รายสัปดาห์ทั้งหมด'!P65</f>
        <v>0</v>
      </c>
      <c r="Q6" s="441">
        <f>'SVB-รายสัปดาห์ทั้งหมด'!Q65</f>
        <v>6</v>
      </c>
      <c r="R6" s="441">
        <f>'SVB-รายสัปดาห์ทั้งหมด'!R65</f>
        <v>0</v>
      </c>
      <c r="S6" s="441">
        <f>'SVB-รายสัปดาห์ทั้งหมด'!S65</f>
        <v>0</v>
      </c>
      <c r="T6" s="441">
        <f>'SVB-รายสัปดาห์ทั้งหมด'!T65</f>
        <v>0</v>
      </c>
      <c r="U6" s="441">
        <f>'SVB-รายสัปดาห์ทั้งหมด'!U65</f>
        <v>0</v>
      </c>
      <c r="V6" s="441">
        <f t="shared" ref="V6:V12" si="0">SUM(B6:U6)</f>
        <v>410</v>
      </c>
    </row>
    <row r="7" spans="1:22" ht="18" customHeight="1">
      <c r="A7" s="440" t="s">
        <v>896</v>
      </c>
      <c r="B7" s="441">
        <f>'SVB-รายสัปดาห์ทั้งหมด'!B66</f>
        <v>43</v>
      </c>
      <c r="C7" s="441">
        <f>'SVB-รายสัปดาห์ทั้งหมด'!C66</f>
        <v>0</v>
      </c>
      <c r="D7" s="441">
        <f>'SVB-รายสัปดาห์ทั้งหมด'!D66</f>
        <v>0</v>
      </c>
      <c r="E7" s="441">
        <f>'SVB-รายสัปดาห์ทั้งหมด'!E66</f>
        <v>0</v>
      </c>
      <c r="F7" s="441">
        <f>'SVB-รายสัปดาห์ทั้งหมด'!F66</f>
        <v>0</v>
      </c>
      <c r="G7" s="441">
        <f>'SVB-รายสัปดาห์ทั้งหมด'!G66</f>
        <v>176</v>
      </c>
      <c r="H7" s="441">
        <f>'SVB-รายสัปดาห์ทั้งหมด'!H66</f>
        <v>19</v>
      </c>
      <c r="I7" s="441">
        <f>'SVB-รายสัปดาห์ทั้งหมด'!I66</f>
        <v>15</v>
      </c>
      <c r="J7" s="441">
        <f>'SVB-รายสัปดาห์ทั้งหมด'!J66</f>
        <v>0</v>
      </c>
      <c r="K7" s="441">
        <f>'SVB-รายสัปดาห์ทั้งหมด'!K66</f>
        <v>37</v>
      </c>
      <c r="L7" s="441">
        <f>'SVB-รายสัปดาห์ทั้งหมด'!L66</f>
        <v>0</v>
      </c>
      <c r="M7" s="441">
        <f>'SVB-รายสัปดาห์ทั้งหมด'!M66</f>
        <v>0</v>
      </c>
      <c r="N7" s="441">
        <f>'SVB-รายสัปดาห์ทั้งหมด'!N66</f>
        <v>0</v>
      </c>
      <c r="O7" s="441">
        <f>'SVB-รายสัปดาห์ทั้งหมด'!O66</f>
        <v>0</v>
      </c>
      <c r="P7" s="441">
        <f>'SVB-รายสัปดาห์ทั้งหมด'!P66</f>
        <v>0</v>
      </c>
      <c r="Q7" s="441">
        <f>'SVB-รายสัปดาห์ทั้งหมด'!Q66</f>
        <v>0</v>
      </c>
      <c r="R7" s="441">
        <f>'SVB-รายสัปดาห์ทั้งหมด'!R66</f>
        <v>0</v>
      </c>
      <c r="S7" s="441">
        <f>'SVB-รายสัปดาห์ทั้งหมด'!S66</f>
        <v>0</v>
      </c>
      <c r="T7" s="441">
        <f>'SVB-รายสัปดาห์ทั้งหมด'!T66</f>
        <v>0</v>
      </c>
      <c r="U7" s="441">
        <f>'SVB-รายสัปดาห์ทั้งหมด'!U66</f>
        <v>0</v>
      </c>
      <c r="V7" s="441">
        <f t="shared" si="0"/>
        <v>290</v>
      </c>
    </row>
    <row r="8" spans="1:22" ht="18" customHeight="1">
      <c r="A8" s="442" t="s">
        <v>339</v>
      </c>
      <c r="B8" s="443">
        <f>'SVB-รายสัปดาห์ทั้งหมด'!B68</f>
        <v>139</v>
      </c>
      <c r="C8" s="443">
        <f>'SVB-รายสัปดาห์ทั้งหมด'!C68</f>
        <v>0</v>
      </c>
      <c r="D8" s="443">
        <f>'SVB-รายสัปดาห์ทั้งหมด'!D68</f>
        <v>12</v>
      </c>
      <c r="E8" s="443">
        <f>'SVB-รายสัปดาห์ทั้งหมด'!E68</f>
        <v>51</v>
      </c>
      <c r="F8" s="443">
        <f>'SVB-รายสัปดาห์ทั้งหมด'!F68</f>
        <v>78</v>
      </c>
      <c r="G8" s="443"/>
      <c r="H8" s="443"/>
      <c r="I8" s="443"/>
      <c r="J8" s="443"/>
      <c r="K8" s="443"/>
      <c r="L8" s="443"/>
      <c r="M8" s="443"/>
      <c r="N8" s="443"/>
      <c r="O8" s="443"/>
      <c r="P8" s="443"/>
      <c r="Q8" s="443"/>
      <c r="R8" s="443"/>
      <c r="S8" s="443"/>
      <c r="T8" s="443"/>
      <c r="U8" s="443"/>
      <c r="V8" s="641">
        <f t="shared" si="0"/>
        <v>280</v>
      </c>
    </row>
    <row r="9" spans="1:22" ht="18" customHeight="1">
      <c r="A9" s="442" t="s">
        <v>340</v>
      </c>
      <c r="B9" s="443">
        <f>'SVB-รายสัปดาห์ทั้งหมด'!B69</f>
        <v>139</v>
      </c>
      <c r="C9" s="443">
        <f>'SVB-รายสัปดาห์ทั้งหมด'!C69</f>
        <v>0</v>
      </c>
      <c r="D9" s="443">
        <f>'SVB-รายสัปดาห์ทั้งหมด'!D69</f>
        <v>12</v>
      </c>
      <c r="E9" s="443">
        <f>'SVB-รายสัปดาห์ทั้งหมด'!E69</f>
        <v>51</v>
      </c>
      <c r="F9" s="443">
        <f>'SVB-รายสัปดาห์ทั้งหมด'!F69</f>
        <v>78</v>
      </c>
      <c r="G9" s="443"/>
      <c r="H9" s="443"/>
      <c r="I9" s="443"/>
      <c r="J9" s="443"/>
      <c r="K9" s="443"/>
      <c r="L9" s="443"/>
      <c r="M9" s="443"/>
      <c r="N9" s="443"/>
      <c r="O9" s="443"/>
      <c r="P9" s="443"/>
      <c r="Q9" s="443"/>
      <c r="R9" s="443"/>
      <c r="S9" s="443"/>
      <c r="T9" s="443"/>
      <c r="U9" s="443"/>
      <c r="V9" s="641">
        <f t="shared" si="0"/>
        <v>280</v>
      </c>
    </row>
    <row r="10" spans="1:22" ht="18" customHeight="1">
      <c r="A10" s="442" t="s">
        <v>341</v>
      </c>
      <c r="B10" s="443">
        <f>'SVB-รายสัปดาห์ทั้งหมด'!B70</f>
        <v>139</v>
      </c>
      <c r="C10" s="443">
        <f>'SVB-รายสัปดาห์ทั้งหมด'!C70</f>
        <v>0</v>
      </c>
      <c r="D10" s="443">
        <f>'SVB-รายสัปดาห์ทั้งหมด'!D70</f>
        <v>12</v>
      </c>
      <c r="E10" s="443">
        <f>'SVB-รายสัปดาห์ทั้งหมด'!E70</f>
        <v>51</v>
      </c>
      <c r="F10" s="443">
        <f>'SVB-รายสัปดาห์ทั้งหมด'!F70</f>
        <v>78</v>
      </c>
      <c r="G10" s="443"/>
      <c r="H10" s="443"/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641">
        <f t="shared" si="0"/>
        <v>280</v>
      </c>
    </row>
    <row r="11" spans="1:22" ht="18" customHeight="1">
      <c r="A11" s="442" t="s">
        <v>1236</v>
      </c>
      <c r="B11" s="443">
        <f>'SVB-รายสัปดาห์ทั้งหมด'!B71</f>
        <v>86</v>
      </c>
      <c r="C11" s="443">
        <f>'SVB-รายสัปดาห์ทั้งหมด'!C71</f>
        <v>0</v>
      </c>
      <c r="D11" s="443">
        <f>'SVB-รายสัปดาห์ทั้งหมด'!D71</f>
        <v>12</v>
      </c>
      <c r="E11" s="443">
        <f>'SVB-รายสัปดาห์ทั้งหมด'!E71</f>
        <v>51</v>
      </c>
      <c r="F11" s="443">
        <f>'SVB-รายสัปดาห์ทั้งหมด'!F71</f>
        <v>78</v>
      </c>
      <c r="G11" s="443"/>
      <c r="H11" s="443"/>
      <c r="I11" s="443"/>
      <c r="J11" s="443"/>
      <c r="K11" s="443"/>
      <c r="L11" s="443"/>
      <c r="M11" s="443"/>
      <c r="N11" s="443"/>
      <c r="O11" s="443"/>
      <c r="P11" s="443"/>
      <c r="Q11" s="443"/>
      <c r="R11" s="443"/>
      <c r="S11" s="443"/>
      <c r="T11" s="443"/>
      <c r="U11" s="443"/>
      <c r="V11" s="641">
        <f t="shared" si="0"/>
        <v>227</v>
      </c>
    </row>
    <row r="12" spans="1:22" ht="18" customHeight="1">
      <c r="A12" s="442" t="s">
        <v>1235</v>
      </c>
      <c r="B12" s="443">
        <f>'SVB-รายสัปดาห์ทั้งหมด'!B72</f>
        <v>43</v>
      </c>
      <c r="C12" s="443">
        <f>'SVB-รายสัปดาห์ทั้งหมด'!C72</f>
        <v>0</v>
      </c>
      <c r="D12" s="443">
        <f>'SVB-รายสัปดาห์ทั้งหมด'!D72</f>
        <v>0</v>
      </c>
      <c r="E12" s="443">
        <f>'SVB-รายสัปดาห์ทั้งหมด'!E72</f>
        <v>0</v>
      </c>
      <c r="F12" s="443">
        <f>'SVB-รายสัปดาห์ทั้งหมด'!F72</f>
        <v>0</v>
      </c>
      <c r="G12" s="443"/>
      <c r="H12" s="443"/>
      <c r="I12" s="443"/>
      <c r="J12" s="443"/>
      <c r="K12" s="443"/>
      <c r="L12" s="443"/>
      <c r="M12" s="443"/>
      <c r="N12" s="443"/>
      <c r="O12" s="443"/>
      <c r="P12" s="443"/>
      <c r="Q12" s="443"/>
      <c r="R12" s="443"/>
      <c r="S12" s="443"/>
      <c r="T12" s="443"/>
      <c r="U12" s="443"/>
      <c r="V12" s="641">
        <f t="shared" si="0"/>
        <v>43</v>
      </c>
    </row>
    <row r="13" spans="1:22" ht="18" customHeight="1">
      <c r="A13" s="442" t="s">
        <v>342</v>
      </c>
      <c r="B13" s="443">
        <f>'SVB-รายสัปดาห์ทั้งหมด'!B83</f>
        <v>139</v>
      </c>
      <c r="C13" s="443">
        <f>'SVB-รายสัปดาห์ทั้งหมด'!C83</f>
        <v>139</v>
      </c>
      <c r="D13" s="443">
        <f>'SVB-รายสัปดาห์ทั้งหมด'!D83</f>
        <v>151</v>
      </c>
      <c r="E13" s="443">
        <f>'SVB-รายสัปดาห์ทั้งหมด'!E83</f>
        <v>202</v>
      </c>
      <c r="F13" s="443">
        <f>'SVB-รายสัปดาห์ทั้งหมด'!F83</f>
        <v>280</v>
      </c>
      <c r="G13" s="443"/>
      <c r="H13" s="443"/>
      <c r="I13" s="443"/>
      <c r="J13" s="443"/>
      <c r="K13" s="443"/>
      <c r="L13" s="443"/>
      <c r="M13" s="443"/>
      <c r="N13" s="443"/>
      <c r="O13" s="443"/>
      <c r="P13" s="443"/>
      <c r="Q13" s="443"/>
      <c r="R13" s="443"/>
      <c r="S13" s="443"/>
      <c r="T13" s="443"/>
      <c r="U13" s="443"/>
      <c r="V13" s="641"/>
    </row>
    <row r="14" spans="1:22" ht="18" customHeight="1">
      <c r="A14" s="442" t="s">
        <v>1240</v>
      </c>
      <c r="B14" s="443">
        <f>'SVB-รายสัปดาห์ทั้งหมด'!B84</f>
        <v>86</v>
      </c>
      <c r="C14" s="443">
        <f>'SVB-รายสัปดาห์ทั้งหมด'!C84</f>
        <v>86</v>
      </c>
      <c r="D14" s="443">
        <f>'SVB-รายสัปดาห์ทั้งหมด'!D84</f>
        <v>98</v>
      </c>
      <c r="E14" s="443">
        <f>'SVB-รายสัปดาห์ทั้งหมด'!E84</f>
        <v>149</v>
      </c>
      <c r="F14" s="443">
        <f>'SVB-รายสัปดาห์ทั้งหมด'!F84</f>
        <v>227</v>
      </c>
      <c r="G14" s="443"/>
      <c r="H14" s="443"/>
      <c r="I14" s="443"/>
      <c r="J14" s="443"/>
      <c r="K14" s="443"/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641"/>
    </row>
    <row r="15" spans="1:22" ht="18" customHeight="1">
      <c r="A15" s="442" t="s">
        <v>1242</v>
      </c>
      <c r="B15" s="443">
        <f>'SVB-รายสัปดาห์ทั้งหมด'!B85</f>
        <v>43</v>
      </c>
      <c r="C15" s="443">
        <f>'SVB-รายสัปดาห์ทั้งหมด'!C85</f>
        <v>43</v>
      </c>
      <c r="D15" s="443">
        <f>'SVB-รายสัปดาห์ทั้งหมด'!D85</f>
        <v>43</v>
      </c>
      <c r="E15" s="443">
        <f>'SVB-รายสัปดาห์ทั้งหมด'!E85</f>
        <v>43</v>
      </c>
      <c r="F15" s="443">
        <f>'SVB-รายสัปดาห์ทั้งหมด'!F85</f>
        <v>43</v>
      </c>
      <c r="G15" s="443"/>
      <c r="H15" s="443"/>
      <c r="I15" s="443"/>
      <c r="J15" s="443"/>
      <c r="K15" s="443"/>
      <c r="L15" s="443"/>
      <c r="M15" s="443"/>
      <c r="N15" s="443"/>
      <c r="O15" s="443"/>
      <c r="P15" s="443"/>
      <c r="Q15" s="443"/>
      <c r="R15" s="443"/>
      <c r="S15" s="443"/>
      <c r="T15" s="443"/>
      <c r="U15" s="443"/>
      <c r="V15" s="641"/>
    </row>
    <row r="16" spans="1:22" ht="18" customHeight="1">
      <c r="A16" s="446" t="s">
        <v>322</v>
      </c>
      <c r="B16" s="635">
        <f>'SVB-รายสัปดาห์ทั้งหมด'!B74</f>
        <v>0</v>
      </c>
      <c r="C16" s="635">
        <f>'SVB-รายสัปดาห์ทั้งหมด'!C74</f>
        <v>0</v>
      </c>
      <c r="D16" s="635">
        <f>'SVB-รายสัปดาห์ทั้งหมด'!D74</f>
        <v>0</v>
      </c>
      <c r="E16" s="635">
        <f>'SVB-รายสัปดาห์ทั้งหมด'!E74</f>
        <v>0</v>
      </c>
      <c r="F16" s="635">
        <f>'SVB-รายสัปดาห์ทั้งหมด'!F74</f>
        <v>18</v>
      </c>
      <c r="G16" s="635"/>
      <c r="H16" s="635"/>
      <c r="I16" s="635"/>
      <c r="J16" s="635"/>
      <c r="K16" s="635"/>
      <c r="L16" s="635"/>
      <c r="M16" s="635"/>
      <c r="N16" s="635"/>
      <c r="O16" s="635"/>
      <c r="P16" s="635"/>
      <c r="Q16" s="635"/>
      <c r="R16" s="635"/>
      <c r="S16" s="635"/>
      <c r="T16" s="635"/>
      <c r="U16" s="635"/>
      <c r="V16" s="642">
        <f>SUM(B16:U16)</f>
        <v>18</v>
      </c>
    </row>
    <row r="17" spans="1:22" ht="18" customHeight="1">
      <c r="A17" s="446" t="s">
        <v>323</v>
      </c>
      <c r="B17" s="635">
        <f>'SVB-รายสัปดาห์ทั้งหมด'!B75</f>
        <v>0</v>
      </c>
      <c r="C17" s="635">
        <f>'SVB-รายสัปดาห์ทั้งหมด'!C75</f>
        <v>0</v>
      </c>
      <c r="D17" s="635">
        <f>'SVB-รายสัปดาห์ทั้งหมด'!D75</f>
        <v>0</v>
      </c>
      <c r="E17" s="635">
        <f>'SVB-รายสัปดาห์ทั้งหมด'!E75</f>
        <v>2</v>
      </c>
      <c r="F17" s="635">
        <f>'SVB-รายสัปดาห์ทั้งหมด'!F75</f>
        <v>0</v>
      </c>
      <c r="G17" s="635"/>
      <c r="H17" s="635"/>
      <c r="I17" s="635"/>
      <c r="J17" s="635"/>
      <c r="K17" s="635"/>
      <c r="L17" s="635"/>
      <c r="M17" s="635"/>
      <c r="N17" s="635"/>
      <c r="O17" s="635"/>
      <c r="P17" s="635"/>
      <c r="Q17" s="635"/>
      <c r="R17" s="635"/>
      <c r="S17" s="635"/>
      <c r="T17" s="635"/>
      <c r="U17" s="635"/>
      <c r="V17" s="642">
        <f t="shared" ref="V17:V21" si="1">SUM(B17:U17)</f>
        <v>2</v>
      </c>
    </row>
    <row r="18" spans="1:22" ht="18" customHeight="1">
      <c r="A18" s="446" t="s">
        <v>892</v>
      </c>
      <c r="B18" s="635">
        <f>'SVB-รายสัปดาห์ทั้งหมด'!B76</f>
        <v>0</v>
      </c>
      <c r="C18" s="635">
        <f>'SVB-รายสัปดาห์ทั้งหมด'!C76</f>
        <v>0</v>
      </c>
      <c r="D18" s="635">
        <f>'SVB-รายสัปดาห์ทั้งหมด'!D76</f>
        <v>0</v>
      </c>
      <c r="E18" s="635">
        <f>'SVB-รายสัปดาห์ทั้งหมด'!E76</f>
        <v>0</v>
      </c>
      <c r="F18" s="635">
        <f>'SVB-รายสัปดาห์ทั้งหมด'!F76</f>
        <v>18</v>
      </c>
      <c r="G18" s="635"/>
      <c r="H18" s="635"/>
      <c r="I18" s="635"/>
      <c r="J18" s="635"/>
      <c r="K18" s="635"/>
      <c r="L18" s="635"/>
      <c r="M18" s="635"/>
      <c r="N18" s="635"/>
      <c r="O18" s="635"/>
      <c r="P18" s="635"/>
      <c r="Q18" s="635"/>
      <c r="R18" s="635"/>
      <c r="S18" s="635"/>
      <c r="T18" s="635"/>
      <c r="U18" s="635"/>
      <c r="V18" s="642">
        <f t="shared" si="1"/>
        <v>18</v>
      </c>
    </row>
    <row r="19" spans="1:22" ht="18" customHeight="1">
      <c r="A19" s="446" t="s">
        <v>893</v>
      </c>
      <c r="B19" s="635">
        <f>'SVB-รายสัปดาห์ทั้งหมด'!B77</f>
        <v>0</v>
      </c>
      <c r="C19" s="635">
        <f>'SVB-รายสัปดาห์ทั้งหมด'!C77</f>
        <v>0</v>
      </c>
      <c r="D19" s="635">
        <f>'SVB-รายสัปดาห์ทั้งหมด'!D77</f>
        <v>0</v>
      </c>
      <c r="E19" s="635">
        <f>'SVB-รายสัปดาห์ทั้งหมด'!E77</f>
        <v>2</v>
      </c>
      <c r="F19" s="635">
        <f>'SVB-รายสัปดาห์ทั้งหมด'!F77</f>
        <v>0</v>
      </c>
      <c r="G19" s="635"/>
      <c r="H19" s="635"/>
      <c r="I19" s="635"/>
      <c r="J19" s="635"/>
      <c r="K19" s="635"/>
      <c r="L19" s="635"/>
      <c r="M19" s="635"/>
      <c r="N19" s="635"/>
      <c r="O19" s="635"/>
      <c r="P19" s="635"/>
      <c r="Q19" s="635"/>
      <c r="R19" s="635"/>
      <c r="S19" s="635"/>
      <c r="T19" s="635"/>
      <c r="U19" s="635"/>
      <c r="V19" s="642">
        <f t="shared" si="1"/>
        <v>2</v>
      </c>
    </row>
    <row r="20" spans="1:22" ht="18" customHeight="1">
      <c r="A20" s="446" t="s">
        <v>898</v>
      </c>
      <c r="B20" s="635">
        <f>'SVB-รายสัปดาห์ทั้งหมด'!B78</f>
        <v>0</v>
      </c>
      <c r="C20" s="635">
        <f>'SVB-รายสัปดาห์ทั้งหมด'!C78</f>
        <v>0</v>
      </c>
      <c r="D20" s="635">
        <f>'SVB-รายสัปดาห์ทั้งหมด'!D78</f>
        <v>0</v>
      </c>
      <c r="E20" s="635">
        <f>'SVB-รายสัปดาห์ทั้งหมด'!E78</f>
        <v>0</v>
      </c>
      <c r="F20" s="635">
        <f>'SVB-รายสัปดาห์ทั้งหมด'!F78</f>
        <v>0</v>
      </c>
      <c r="G20" s="635"/>
      <c r="H20" s="635"/>
      <c r="I20" s="635"/>
      <c r="J20" s="635"/>
      <c r="K20" s="635"/>
      <c r="L20" s="635"/>
      <c r="M20" s="635"/>
      <c r="N20" s="635"/>
      <c r="O20" s="635"/>
      <c r="P20" s="635"/>
      <c r="Q20" s="635"/>
      <c r="R20" s="635"/>
      <c r="S20" s="635"/>
      <c r="T20" s="635"/>
      <c r="U20" s="635"/>
      <c r="V20" s="642">
        <f t="shared" si="1"/>
        <v>0</v>
      </c>
    </row>
    <row r="21" spans="1:22" ht="18" customHeight="1">
      <c r="A21" s="446" t="s">
        <v>899</v>
      </c>
      <c r="B21" s="635">
        <f>'SVB-รายสัปดาห์ทั้งหมด'!B79</f>
        <v>0</v>
      </c>
      <c r="C21" s="635">
        <f>'SVB-รายสัปดาห์ทั้งหมด'!C79</f>
        <v>0</v>
      </c>
      <c r="D21" s="635">
        <f>'SVB-รายสัปดาห์ทั้งหมด'!D79</f>
        <v>0</v>
      </c>
      <c r="E21" s="635">
        <f>'SVB-รายสัปดาห์ทั้งหมด'!E79</f>
        <v>0</v>
      </c>
      <c r="F21" s="635">
        <f>'SVB-รายสัปดาห์ทั้งหมด'!F79</f>
        <v>0</v>
      </c>
      <c r="G21" s="635"/>
      <c r="H21" s="635"/>
      <c r="I21" s="635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42">
        <f t="shared" si="1"/>
        <v>0</v>
      </c>
    </row>
    <row r="22" spans="1:22" ht="18" customHeight="1">
      <c r="A22" s="444" t="s">
        <v>1243</v>
      </c>
      <c r="B22" s="445">
        <f>'SVB-รายสัปดาห์ทั้งหมด'!B80</f>
        <v>1</v>
      </c>
      <c r="C22" s="445" t="str">
        <f>'SVB-รายสัปดาห์ทั้งหมด'!C80</f>
        <v>-</v>
      </c>
      <c r="D22" s="445">
        <f>'SVB-รายสัปดาห์ทั้งหมด'!D80</f>
        <v>1</v>
      </c>
      <c r="E22" s="445">
        <f>'SVB-รายสัปดาห์ทั้งหมด'!E80</f>
        <v>0.96226415094339623</v>
      </c>
      <c r="F22" s="445">
        <f>'SVB-รายสัปดาห์ทั้งหมด'!F80</f>
        <v>1.3</v>
      </c>
      <c r="G22" s="445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</row>
    <row r="23" spans="1:22" ht="18" customHeight="1">
      <c r="A23" s="446" t="s">
        <v>344</v>
      </c>
      <c r="B23" s="447">
        <f>'SVB-รายสัปดาห์ทั้งหมด'!B101</f>
        <v>0.19577464788732393</v>
      </c>
      <c r="C23" s="447">
        <f>'SVB-รายสัปดาห์ทั้งหมด'!C101</f>
        <v>0.19577464788732393</v>
      </c>
      <c r="D23" s="447">
        <f>'SVB-รายสัปดาห์ทั้งหมด'!D101</f>
        <v>0.21267605633802816</v>
      </c>
      <c r="E23" s="447">
        <f>'SVB-รายสัปดาห์ทั้งหมด'!E101</f>
        <v>0.28732394366197184</v>
      </c>
      <c r="F23" s="447">
        <f>'SVB-รายสัปดาห์ทั้งหมด'!F101</f>
        <v>0.37183098591549296</v>
      </c>
      <c r="G23" s="447">
        <f>'SVB-รายสัปดาห์ทั้งหมด'!G101</f>
        <v>0.6873239436619718</v>
      </c>
      <c r="H23" s="447">
        <f>'SVB-รายสัปดาห์ทั้งหมด'!H101</f>
        <v>0.75633802816901408</v>
      </c>
      <c r="I23" s="447">
        <f>'SVB-รายสัปดาห์ทั้งหมด'!I101</f>
        <v>0.8267605633802817</v>
      </c>
      <c r="J23" s="447">
        <f>'SVB-รายสัปดาห์ทั้งหมด'!J101</f>
        <v>0.87042253521126756</v>
      </c>
      <c r="K23" s="447">
        <f>'SVB-รายสัปดาห์ทั้งหมด'!K101</f>
        <v>0.9915492957746479</v>
      </c>
      <c r="L23" s="447">
        <f>'SVB-รายสัปดาห์ทั้งหมด'!L101</f>
        <v>0.9915492957746479</v>
      </c>
      <c r="M23" s="447">
        <f>'SVB-รายสัปดาห์ทั้งหมด'!M101</f>
        <v>0.9915492957746479</v>
      </c>
      <c r="N23" s="447">
        <f>'SVB-รายสัปดาห์ทั้งหมด'!N101</f>
        <v>0.9915492957746479</v>
      </c>
      <c r="O23" s="447">
        <f>'SVB-รายสัปดาห์ทั้งหมด'!O101</f>
        <v>0.9915492957746479</v>
      </c>
      <c r="P23" s="447">
        <f>'SVB-รายสัปดาห์ทั้งหมด'!P101</f>
        <v>0.9915492957746479</v>
      </c>
      <c r="Q23" s="447">
        <f>'SVB-รายสัปดาห์ทั้งหมด'!Q101</f>
        <v>1</v>
      </c>
      <c r="R23" s="447">
        <f>'SVB-รายสัปดาห์ทั้งหมด'!R101</f>
        <v>1</v>
      </c>
      <c r="S23" s="447">
        <f>'SVB-รายสัปดาห์ทั้งหมด'!S101</f>
        <v>1</v>
      </c>
      <c r="T23" s="447">
        <f>'SVB-รายสัปดาห์ทั้งหมด'!T101</f>
        <v>1</v>
      </c>
      <c r="U23" s="447">
        <f>'SVB-รายสัปดาห์ทั้งหมด'!U101</f>
        <v>1</v>
      </c>
      <c r="V23" s="447"/>
    </row>
    <row r="24" spans="1:22" ht="18" customHeight="1">
      <c r="A24" s="446" t="s">
        <v>345</v>
      </c>
      <c r="B24" s="447">
        <f>'SVB-รายสัปดาห์ทั้งหมด'!B98</f>
        <v>0.19577464788732393</v>
      </c>
      <c r="C24" s="447">
        <f>'SVB-รายสัปดาห์ทั้งหมด'!C98</f>
        <v>0.19577464788732393</v>
      </c>
      <c r="D24" s="447">
        <f>'SVB-รายสัปดาห์ทั้งหมด'!D98</f>
        <v>0.21267605633802816</v>
      </c>
      <c r="E24" s="447">
        <f>'SVB-รายสัปดาห์ทั้งหมด'!E98</f>
        <v>0.28450704225352114</v>
      </c>
      <c r="F24" s="447">
        <f>'SVB-รายสัปดาห์ทั้งหมด'!F98</f>
        <v>0.39436619718309857</v>
      </c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</row>
    <row r="25" spans="1:22" ht="18" customHeight="1">
      <c r="A25" s="446" t="s">
        <v>1244</v>
      </c>
      <c r="B25" s="447">
        <f>'SVB-รายสัปดาห์ทั้งหมด'!B102</f>
        <v>0.2097560975609756</v>
      </c>
      <c r="C25" s="447">
        <f>'SVB-รายสัปดาห์ทั้งหมด'!C102</f>
        <v>0.2097560975609756</v>
      </c>
      <c r="D25" s="447">
        <f>'SVB-รายสัปดาห์ทั้งหมด'!D102</f>
        <v>0.23902439024390243</v>
      </c>
      <c r="E25" s="447">
        <f>'SVB-รายสัปดาห์ทั้งหมด'!E102</f>
        <v>0.36829268292682926</v>
      </c>
      <c r="F25" s="447">
        <f>'SVB-รายสัปดาห์ทั้งหมด'!F102</f>
        <v>0.51463414634146343</v>
      </c>
      <c r="G25" s="447">
        <f>'SVB-รายสัปดาห์ทั้งหมด'!G102</f>
        <v>0.63170731707317074</v>
      </c>
      <c r="H25" s="447">
        <f>'SVB-รายสัปดาห์ทั้งหมด'!H102</f>
        <v>0.70487804878048776</v>
      </c>
      <c r="I25" s="447">
        <f>'SVB-รายสัปดาห์ทั้งหมด'!I102</f>
        <v>0.79024390243902443</v>
      </c>
      <c r="J25" s="447">
        <f>'SVB-รายสัปดาห์ทั้งหมด'!J102</f>
        <v>0.86585365853658536</v>
      </c>
      <c r="K25" s="447">
        <f>'SVB-รายสัปดาห์ทั้งหมด'!K102</f>
        <v>0.98536585365853657</v>
      </c>
      <c r="L25" s="447">
        <f>'SVB-รายสัปดาห์ทั้งหมด'!L102</f>
        <v>0.98536585365853657</v>
      </c>
      <c r="M25" s="447">
        <f>'SVB-รายสัปดาห์ทั้งหมด'!M102</f>
        <v>0.98536585365853657</v>
      </c>
      <c r="N25" s="447">
        <f>'SVB-รายสัปดาห์ทั้งหมด'!N102</f>
        <v>0.98536585365853657</v>
      </c>
      <c r="O25" s="447">
        <f>'SVB-รายสัปดาห์ทั้งหมด'!O102</f>
        <v>0.98536585365853657</v>
      </c>
      <c r="P25" s="447">
        <f>'SVB-รายสัปดาห์ทั้งหมด'!P102</f>
        <v>0.98536585365853657</v>
      </c>
      <c r="Q25" s="447">
        <f>'SVB-รายสัปดาห์ทั้งหมด'!Q102</f>
        <v>1</v>
      </c>
      <c r="R25" s="447">
        <f>'SVB-รายสัปดาห์ทั้งหมด'!R102</f>
        <v>1</v>
      </c>
      <c r="S25" s="447">
        <f>'SVB-รายสัปดาห์ทั้งหมด'!S102</f>
        <v>1</v>
      </c>
      <c r="T25" s="447">
        <f>'SVB-รายสัปดาห์ทั้งหมด'!T102</f>
        <v>1</v>
      </c>
      <c r="U25" s="447">
        <f>'SVB-รายสัปดาห์ทั้งหมด'!U102</f>
        <v>1</v>
      </c>
      <c r="V25" s="447"/>
    </row>
    <row r="26" spans="1:22" ht="18" customHeight="1">
      <c r="A26" s="446" t="s">
        <v>1245</v>
      </c>
      <c r="B26" s="447">
        <f>'SVB-รายสัปดาห์ทั้งหมด'!B99</f>
        <v>0.2097560975609756</v>
      </c>
      <c r="C26" s="447">
        <f>'SVB-รายสัปดาห์ทั้งหมด'!C99</f>
        <v>0.2097560975609756</v>
      </c>
      <c r="D26" s="447">
        <f>'SVB-รายสัปดาห์ทั้งหมด'!D99</f>
        <v>0.23902439024390243</v>
      </c>
      <c r="E26" s="447">
        <f>'SVB-รายสัปดาห์ทั้งหมด'!E99</f>
        <v>0.36341463414634145</v>
      </c>
      <c r="F26" s="447">
        <f>'SVB-รายสัปดาห์ทั้งหมด'!F99</f>
        <v>0.5536585365853659</v>
      </c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  <c r="V26" s="447"/>
    </row>
    <row r="27" spans="1:22" ht="18" customHeight="1">
      <c r="A27" s="446" t="s">
        <v>1246</v>
      </c>
      <c r="B27" s="447">
        <f>'SVB-รายสัปดาห์ทั้งหมด'!B103</f>
        <v>0.14827586206896551</v>
      </c>
      <c r="C27" s="447">
        <f>'SVB-รายสัปดาห์ทั้งหมด'!C103</f>
        <v>0.14827586206896551</v>
      </c>
      <c r="D27" s="447">
        <f>'SVB-รายสัปดาห์ทั้งหมด'!D103</f>
        <v>0.14827586206896551</v>
      </c>
      <c r="E27" s="447">
        <f>'SVB-รายสัปดาห์ทั้งหมด'!E103</f>
        <v>0.14827586206896551</v>
      </c>
      <c r="F27" s="447">
        <f>'SVB-รายสัปดาห์ทั้งหมด'!F103</f>
        <v>0.14827586206896551</v>
      </c>
      <c r="G27" s="447">
        <f>'SVB-รายสัปดาห์ทั้งหมด'!G103</f>
        <v>0.7551724137931034</v>
      </c>
      <c r="H27" s="447">
        <f>'SVB-รายสัปดาห์ทั้งหมด'!H103</f>
        <v>0.82068965517241377</v>
      </c>
      <c r="I27" s="447">
        <f>'SVB-รายสัปดาห์ทั้งหมด'!I103</f>
        <v>0.87241379310344824</v>
      </c>
      <c r="J27" s="447">
        <f>'SVB-รายสัปดาห์ทั้งหมด'!J103</f>
        <v>0.87241379310344824</v>
      </c>
      <c r="K27" s="447">
        <f>'SVB-รายสัปดาห์ทั้งหมด'!K103</f>
        <v>1</v>
      </c>
      <c r="L27" s="447">
        <f>'SVB-รายสัปดาห์ทั้งหมด'!L103</f>
        <v>1</v>
      </c>
      <c r="M27" s="447">
        <f>'SVB-รายสัปดาห์ทั้งหมด'!M103</f>
        <v>1</v>
      </c>
      <c r="N27" s="447">
        <f>'SVB-รายสัปดาห์ทั้งหมด'!N103</f>
        <v>1</v>
      </c>
      <c r="O27" s="447">
        <f>'SVB-รายสัปดาห์ทั้งหมด'!O103</f>
        <v>1</v>
      </c>
      <c r="P27" s="447">
        <f>'SVB-รายสัปดาห์ทั้งหมด'!P103</f>
        <v>1</v>
      </c>
      <c r="Q27" s="447">
        <f>'SVB-รายสัปดาห์ทั้งหมด'!Q103</f>
        <v>1</v>
      </c>
      <c r="R27" s="447">
        <f>'SVB-รายสัปดาห์ทั้งหมด'!R103</f>
        <v>1</v>
      </c>
      <c r="S27" s="447">
        <f>'SVB-รายสัปดาห์ทั้งหมด'!S103</f>
        <v>1</v>
      </c>
      <c r="T27" s="447">
        <f>'SVB-รายสัปดาห์ทั้งหมด'!T103</f>
        <v>1</v>
      </c>
      <c r="U27" s="447">
        <f>'SVB-รายสัปดาห์ทั้งหมด'!U103</f>
        <v>1</v>
      </c>
      <c r="V27" s="447"/>
    </row>
    <row r="28" spans="1:22" ht="18" customHeight="1">
      <c r="A28" s="446" t="s">
        <v>1247</v>
      </c>
      <c r="B28" s="447">
        <f>'SVB-รายสัปดาห์ทั้งหมด'!B100</f>
        <v>0.14827586206896551</v>
      </c>
      <c r="C28" s="447">
        <f>'SVB-รายสัปดาห์ทั้งหมด'!C100</f>
        <v>0.14827586206896551</v>
      </c>
      <c r="D28" s="447">
        <f>'SVB-รายสัปดาห์ทั้งหมด'!D100</f>
        <v>0.14827586206896551</v>
      </c>
      <c r="E28" s="447">
        <f>'SVB-รายสัปดาห์ทั้งหมด'!E100</f>
        <v>0.14827586206896551</v>
      </c>
      <c r="F28" s="447">
        <f>'SVB-รายสัปดาห์ทั้งหมด'!F100</f>
        <v>0.14827586206896551</v>
      </c>
      <c r="G28" s="447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7"/>
      <c r="V28" s="447"/>
    </row>
    <row r="29" spans="1:22" ht="18" customHeight="1">
      <c r="A29" s="448" t="s">
        <v>1248</v>
      </c>
      <c r="B29" s="449">
        <f>IF(B5=0,0,B8/B5)</f>
        <v>1</v>
      </c>
      <c r="C29" s="449">
        <f>IF(C5=0,0,C8/C5)</f>
        <v>0</v>
      </c>
      <c r="D29" s="449">
        <f>IF(D5=0,0,D8/D5)</f>
        <v>1</v>
      </c>
      <c r="E29" s="449">
        <f>IF(E5=0,0,E8/E5)</f>
        <v>0.96226415094339623</v>
      </c>
      <c r="F29" s="449">
        <f>IF(F5=0,0,F8/F5)</f>
        <v>1.3</v>
      </c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</row>
    <row r="30" spans="1:22" ht="18" customHeight="1">
      <c r="A30" s="448" t="s">
        <v>1249</v>
      </c>
      <c r="B30" s="449">
        <f>IF(B5=0,0,B9/B5)</f>
        <v>1</v>
      </c>
      <c r="C30" s="449">
        <f>IF(C5=0,0,C9/C5)</f>
        <v>0</v>
      </c>
      <c r="D30" s="449">
        <f>IF(D5=0,0,D9/D5)</f>
        <v>1</v>
      </c>
      <c r="E30" s="449">
        <f>IF(E5=0,0,E9/E5)</f>
        <v>0.96226415094339623</v>
      </c>
      <c r="F30" s="449">
        <f>IF(F5=0,0,F9/F5)</f>
        <v>1.3</v>
      </c>
      <c r="G30" s="449"/>
      <c r="H30" s="449"/>
      <c r="I30" s="449"/>
      <c r="J30" s="449"/>
      <c r="K30" s="449"/>
      <c r="L30" s="449"/>
      <c r="M30" s="449"/>
      <c r="N30" s="449"/>
      <c r="O30" s="449"/>
      <c r="P30" s="449"/>
      <c r="Q30" s="449"/>
      <c r="R30" s="449"/>
      <c r="S30" s="449"/>
      <c r="T30" s="449"/>
      <c r="U30" s="449"/>
      <c r="V30" s="449"/>
    </row>
    <row r="31" spans="1:22" ht="18" customHeight="1">
      <c r="A31" s="448" t="s">
        <v>1250</v>
      </c>
      <c r="B31" s="449">
        <f>IF(B5=0,0,B10/B5)</f>
        <v>1</v>
      </c>
      <c r="C31" s="449">
        <f>IF(C5=0,0,C10/C5)</f>
        <v>0</v>
      </c>
      <c r="D31" s="449">
        <f>IF(D5=0,0,D10/D5)</f>
        <v>1</v>
      </c>
      <c r="E31" s="449">
        <f>IF(E5=0,0,E10/E5)</f>
        <v>0.96226415094339623</v>
      </c>
      <c r="F31" s="449">
        <f>IF(F5=0,0,F10/F5)</f>
        <v>1.3</v>
      </c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</row>
    <row r="117" spans="1:22" ht="18">
      <c r="A117" s="565" t="s">
        <v>1264</v>
      </c>
    </row>
    <row r="118" spans="1:22" ht="28.8">
      <c r="A118" s="606"/>
      <c r="B118" s="606" t="str">
        <f>'SVB-รายสัปดาห์ทั้งหมด'!B4</f>
        <v>W.1
(14/2-20/2)</v>
      </c>
      <c r="C118" s="606" t="str">
        <f>'SVB-รายสัปดาห์ทั้งหมด'!C4</f>
        <v>W.2
(21/2-27/2)</v>
      </c>
      <c r="D118" s="606" t="str">
        <f>'SVB-รายสัปดาห์ทั้งหมด'!D4</f>
        <v>W.3
(28/2-6/3)</v>
      </c>
      <c r="E118" s="606" t="str">
        <f>'SVB-รายสัปดาห์ทั้งหมด'!E4</f>
        <v>W.4
(7/3-13/3)</v>
      </c>
      <c r="F118" s="606" t="str">
        <f>'SVB-รายสัปดาห์ทั้งหมด'!F4</f>
        <v>W.5
(14/3-20/3)</v>
      </c>
      <c r="G118" s="606" t="str">
        <f>'SVB-รายสัปดาห์ทั้งหมด'!G4</f>
        <v>W.6
(21/3-27/3)</v>
      </c>
      <c r="H118" s="606" t="str">
        <f>'SVB-รายสัปดาห์ทั้งหมด'!H4</f>
        <v>W.7
(28/3-3/4)</v>
      </c>
      <c r="I118" s="606" t="str">
        <f>'SVB-รายสัปดาห์ทั้งหมด'!I4</f>
        <v>W.8
(4/4-10/4)</v>
      </c>
      <c r="J118" s="606" t="str">
        <f>'SVB-รายสัปดาห์ทั้งหมด'!J4</f>
        <v>W.9
(11/4-17/4)</v>
      </c>
      <c r="K118" s="606" t="str">
        <f>'SVB-รายสัปดาห์ทั้งหมด'!K4</f>
        <v>W.10
(18/4-24/4)</v>
      </c>
      <c r="L118" s="606" t="str">
        <f>'SVB-รายสัปดาห์ทั้งหมด'!L4</f>
        <v>W.11
(25/4-1/5)</v>
      </c>
      <c r="M118" s="606" t="str">
        <f>'SVB-รายสัปดาห์ทั้งหมด'!M4</f>
        <v>W.12
(2/5-8/5)</v>
      </c>
      <c r="N118" s="606" t="str">
        <f>'SVB-รายสัปดาห์ทั้งหมด'!N4</f>
        <v>W.13
(9/5-15/5)</v>
      </c>
      <c r="O118" s="606" t="str">
        <f>'SVB-รายสัปดาห์ทั้งหมด'!O4</f>
        <v>W.14
(16/5-22/5)</v>
      </c>
      <c r="P118" s="606" t="str">
        <f>'SVB-รายสัปดาห์ทั้งหมด'!P4</f>
        <v>W.15
(23/5-29/5)</v>
      </c>
      <c r="Q118" s="606" t="str">
        <f>'SVB-รายสัปดาห์ทั้งหมด'!Q4</f>
        <v>W.16
(30/5-5/6)</v>
      </c>
      <c r="R118" s="606" t="str">
        <f>'SVB-รายสัปดาห์ทั้งหมด'!R4</f>
        <v>W.17
(6/6-12/6)</v>
      </c>
      <c r="S118" s="606" t="str">
        <f>'SVB-รายสัปดาห์ทั้งหมด'!S4</f>
        <v>W.18
(13/6-19/6)</v>
      </c>
      <c r="T118" s="606" t="str">
        <f>'SVB-รายสัปดาห์ทั้งหมด'!T4</f>
        <v>W.19
(20/6-26/6)</v>
      </c>
      <c r="U118" s="606" t="str">
        <f>'SVB-รายสัปดาห์ทั้งหมด'!U4</f>
        <v>W.20
(27/6-3/7)</v>
      </c>
      <c r="V118" s="417" t="s">
        <v>29</v>
      </c>
    </row>
    <row r="119" spans="1:22" ht="18" customHeight="1">
      <c r="A119" s="440" t="s">
        <v>316</v>
      </c>
      <c r="B119" s="441">
        <f>'SVB-รายสัปดาห์ทั้งหมด'!B24</f>
        <v>4</v>
      </c>
      <c r="C119" s="441">
        <f>'SVB-รายสัปดาห์ทั้งหมด'!C24</f>
        <v>69</v>
      </c>
      <c r="D119" s="441">
        <f>'SVB-รายสัปดาห์ทั้งหมด'!D24</f>
        <v>54</v>
      </c>
      <c r="E119" s="441">
        <f>'SVB-รายสัปดาห์ทั้งหมด'!E24</f>
        <v>0</v>
      </c>
      <c r="F119" s="441">
        <f>'SVB-รายสัปดาห์ทั้งหมด'!F24</f>
        <v>41</v>
      </c>
      <c r="G119" s="441">
        <f>'SVB-รายสัปดาห์ทั้งหมด'!G24</f>
        <v>17</v>
      </c>
      <c r="H119" s="441">
        <f>'SVB-รายสัปดาห์ทั้งหมด'!H24</f>
        <v>0</v>
      </c>
      <c r="I119" s="441">
        <f>'SVB-รายสัปดาห์ทั้งหมด'!I24</f>
        <v>0</v>
      </c>
      <c r="J119" s="441">
        <f>'SVB-รายสัปดาห์ทั้งหมด'!J24</f>
        <v>0</v>
      </c>
      <c r="K119" s="441">
        <f>'SVB-รายสัปดาห์ทั้งหมด'!K24</f>
        <v>0</v>
      </c>
      <c r="L119" s="441">
        <f>'SVB-รายสัปดาห์ทั้งหมด'!L24</f>
        <v>0</v>
      </c>
      <c r="M119" s="441">
        <f>'SVB-รายสัปดาห์ทั้งหมด'!M24</f>
        <v>0</v>
      </c>
      <c r="N119" s="441">
        <f>'SVB-รายสัปดาห์ทั้งหมด'!N24</f>
        <v>0</v>
      </c>
      <c r="O119" s="441">
        <f>'SVB-รายสัปดาห์ทั้งหมด'!O24</f>
        <v>0</v>
      </c>
      <c r="P119" s="441">
        <f>'SVB-รายสัปดาห์ทั้งหมด'!P24</f>
        <v>0</v>
      </c>
      <c r="Q119" s="441">
        <f>'SVB-รายสัปดาห์ทั้งหมด'!Q24</f>
        <v>2</v>
      </c>
      <c r="R119" s="441">
        <f>'SVB-รายสัปดาห์ทั้งหมด'!R24</f>
        <v>0</v>
      </c>
      <c r="S119" s="441">
        <f>'SVB-รายสัปดาห์ทั้งหมด'!S24</f>
        <v>0</v>
      </c>
      <c r="T119" s="441">
        <f>'SVB-รายสัปดาห์ทั้งหมด'!T24</f>
        <v>0</v>
      </c>
      <c r="U119" s="441">
        <f>'SVB-รายสัปดาห์ทั้งหมด'!U24</f>
        <v>0</v>
      </c>
      <c r="V119" s="441">
        <f>SUM(B119:U119)</f>
        <v>187</v>
      </c>
    </row>
    <row r="120" spans="1:22" ht="18" customHeight="1">
      <c r="A120" s="440" t="s">
        <v>890</v>
      </c>
      <c r="B120" s="441">
        <f>'SVB-รายสัปดาห์ทั้งหมด'!B25</f>
        <v>2</v>
      </c>
      <c r="C120" s="441">
        <f>'SVB-รายสัปดาห์ทั้งหมด'!C25</f>
        <v>45</v>
      </c>
      <c r="D120" s="441">
        <f>'SVB-รายสัปดาห์ทั้งหมด'!D25</f>
        <v>52</v>
      </c>
      <c r="E120" s="441">
        <f>'SVB-รายสัปดาห์ทั้งหมด'!E25</f>
        <v>0</v>
      </c>
      <c r="F120" s="441">
        <f>'SVB-รายสัปดาห์ทั้งหมด'!F25</f>
        <v>41</v>
      </c>
      <c r="G120" s="441">
        <f>'SVB-รายสัปดาห์ทั้งหมด'!G25</f>
        <v>14</v>
      </c>
      <c r="H120" s="441">
        <f>'SVB-รายสัปดาห์ทั้งหมด'!H25</f>
        <v>0</v>
      </c>
      <c r="I120" s="441">
        <f>'SVB-รายสัปดาห์ทั้งหมด'!I25</f>
        <v>0</v>
      </c>
      <c r="J120" s="441">
        <f>'SVB-รายสัปดาห์ทั้งหมด'!J25</f>
        <v>0</v>
      </c>
      <c r="K120" s="441">
        <f>'SVB-รายสัปดาห์ทั้งหมด'!K25</f>
        <v>0</v>
      </c>
      <c r="L120" s="441">
        <f>'SVB-รายสัปดาห์ทั้งหมด'!L25</f>
        <v>0</v>
      </c>
      <c r="M120" s="441">
        <f>'SVB-รายสัปดาห์ทั้งหมด'!M25</f>
        <v>0</v>
      </c>
      <c r="N120" s="441">
        <f>'SVB-รายสัปดาห์ทั้งหมด'!N25</f>
        <v>0</v>
      </c>
      <c r="O120" s="441">
        <f>'SVB-รายสัปดาห์ทั้งหมด'!O25</f>
        <v>0</v>
      </c>
      <c r="P120" s="441">
        <f>'SVB-รายสัปดาห์ทั้งหมด'!P25</f>
        <v>0</v>
      </c>
      <c r="Q120" s="441">
        <f>'SVB-รายสัปดาห์ทั้งหมด'!Q25</f>
        <v>2</v>
      </c>
      <c r="R120" s="441">
        <f>'SVB-รายสัปดาห์ทั้งหมด'!R25</f>
        <v>0</v>
      </c>
      <c r="S120" s="441">
        <f>'SVB-รายสัปดาห์ทั้งหมด'!S25</f>
        <v>0</v>
      </c>
      <c r="T120" s="441">
        <f>'SVB-รายสัปดาห์ทั้งหมด'!T25</f>
        <v>0</v>
      </c>
      <c r="U120" s="441">
        <f>'SVB-รายสัปดาห์ทั้งหมด'!U25</f>
        <v>0</v>
      </c>
      <c r="V120" s="441">
        <f t="shared" ref="V120:V126" si="2">SUM(B120:U120)</f>
        <v>156</v>
      </c>
    </row>
    <row r="121" spans="1:22" ht="18" customHeight="1">
      <c r="A121" s="440" t="s">
        <v>896</v>
      </c>
      <c r="B121" s="441">
        <f>'SVB-รายสัปดาห์ทั้งหมด'!B26</f>
        <v>0</v>
      </c>
      <c r="C121" s="441">
        <f>'SVB-รายสัปดาห์ทั้งหมด'!C26</f>
        <v>24</v>
      </c>
      <c r="D121" s="441">
        <f>'SVB-รายสัปดาห์ทั้งหมด'!D26</f>
        <v>0</v>
      </c>
      <c r="E121" s="441">
        <f>'SVB-รายสัปดาห์ทั้งหมด'!E26</f>
        <v>0</v>
      </c>
      <c r="F121" s="441">
        <f>'SVB-รายสัปดาห์ทั้งหมด'!F26</f>
        <v>0</v>
      </c>
      <c r="G121" s="441">
        <f>'SVB-รายสัปดาห์ทั้งหมด'!G26</f>
        <v>1</v>
      </c>
      <c r="H121" s="441">
        <f>'SVB-รายสัปดาห์ทั้งหมด'!H26</f>
        <v>0</v>
      </c>
      <c r="I121" s="441">
        <f>'SVB-รายสัปดาห์ทั้งหมด'!I26</f>
        <v>0</v>
      </c>
      <c r="J121" s="441">
        <f>'SVB-รายสัปดาห์ทั้งหมด'!J26</f>
        <v>0</v>
      </c>
      <c r="K121" s="441">
        <f>'SVB-รายสัปดาห์ทั้งหมด'!K26</f>
        <v>0</v>
      </c>
      <c r="L121" s="441">
        <f>'SVB-รายสัปดาห์ทั้งหมด'!L26</f>
        <v>0</v>
      </c>
      <c r="M121" s="441">
        <f>'SVB-รายสัปดาห์ทั้งหมด'!M26</f>
        <v>0</v>
      </c>
      <c r="N121" s="441">
        <f>'SVB-รายสัปดาห์ทั้งหมด'!N26</f>
        <v>0</v>
      </c>
      <c r="O121" s="441">
        <f>'SVB-รายสัปดาห์ทั้งหมด'!O26</f>
        <v>0</v>
      </c>
      <c r="P121" s="441">
        <f>'SVB-รายสัปดาห์ทั้งหมด'!P26</f>
        <v>0</v>
      </c>
      <c r="Q121" s="441">
        <f>'SVB-รายสัปดาห์ทั้งหมด'!Q26</f>
        <v>0</v>
      </c>
      <c r="R121" s="441">
        <f>'SVB-รายสัปดาห์ทั้งหมด'!R26</f>
        <v>0</v>
      </c>
      <c r="S121" s="441">
        <f>'SVB-รายสัปดาห์ทั้งหมด'!S26</f>
        <v>0</v>
      </c>
      <c r="T121" s="441">
        <f>'SVB-รายสัปดาห์ทั้งหมด'!T26</f>
        <v>0</v>
      </c>
      <c r="U121" s="441">
        <f>'SVB-รายสัปดาห์ทั้งหมด'!U26</f>
        <v>0</v>
      </c>
      <c r="V121" s="441">
        <f t="shared" si="2"/>
        <v>25</v>
      </c>
    </row>
    <row r="122" spans="1:22" ht="18" customHeight="1">
      <c r="A122" s="442" t="s">
        <v>339</v>
      </c>
      <c r="B122" s="443">
        <f>'SVB-รายสัปดาห์ทั้งหมด'!B28</f>
        <v>30</v>
      </c>
      <c r="C122" s="443">
        <f>'SVB-รายสัปดาห์ทั้งหมด'!C28</f>
        <v>45</v>
      </c>
      <c r="D122" s="443">
        <f>'SVB-รายสัปดาห์ทั้งหมด'!D28</f>
        <v>52</v>
      </c>
      <c r="E122" s="443">
        <f>'SVB-รายสัปดาห์ทั้งหมด'!E28</f>
        <v>0</v>
      </c>
      <c r="F122" s="443">
        <f>'SVB-รายสัปดาห์ทั้งหมด'!F28</f>
        <v>42</v>
      </c>
      <c r="G122" s="443"/>
      <c r="H122" s="443"/>
      <c r="I122" s="443"/>
      <c r="J122" s="443"/>
      <c r="K122" s="443"/>
      <c r="L122" s="443"/>
      <c r="M122" s="443"/>
      <c r="N122" s="443"/>
      <c r="O122" s="443"/>
      <c r="P122" s="443"/>
      <c r="Q122" s="443"/>
      <c r="R122" s="443"/>
      <c r="S122" s="443"/>
      <c r="T122" s="443"/>
      <c r="U122" s="443"/>
      <c r="V122" s="641">
        <f t="shared" si="2"/>
        <v>169</v>
      </c>
    </row>
    <row r="123" spans="1:22" ht="18" customHeight="1">
      <c r="A123" s="442" t="s">
        <v>340</v>
      </c>
      <c r="B123" s="443">
        <f>'SVB-รายสัปดาห์ทั้งหมด'!B29</f>
        <v>30</v>
      </c>
      <c r="C123" s="443">
        <f>'SVB-รายสัปดาห์ทั้งหมด'!C29</f>
        <v>45</v>
      </c>
      <c r="D123" s="443">
        <f>'SVB-รายสัปดาห์ทั้งหมด'!D29</f>
        <v>52</v>
      </c>
      <c r="E123" s="443">
        <f>'SVB-รายสัปดาห์ทั้งหมด'!E29</f>
        <v>0</v>
      </c>
      <c r="F123" s="443">
        <f>'SVB-รายสัปดาห์ทั้งหมด'!F29</f>
        <v>42</v>
      </c>
      <c r="G123" s="443"/>
      <c r="H123" s="443"/>
      <c r="I123" s="443"/>
      <c r="J123" s="443"/>
      <c r="K123" s="443"/>
      <c r="L123" s="443"/>
      <c r="M123" s="443"/>
      <c r="N123" s="443"/>
      <c r="O123" s="443"/>
      <c r="P123" s="443"/>
      <c r="Q123" s="443"/>
      <c r="R123" s="443"/>
      <c r="S123" s="443"/>
      <c r="T123" s="443"/>
      <c r="U123" s="443"/>
      <c r="V123" s="641">
        <f t="shared" si="2"/>
        <v>169</v>
      </c>
    </row>
    <row r="124" spans="1:22" ht="18" customHeight="1">
      <c r="A124" s="442" t="s">
        <v>341</v>
      </c>
      <c r="B124" s="443">
        <f>'SVB-รายสัปดาห์ทั้งหมด'!B30</f>
        <v>30</v>
      </c>
      <c r="C124" s="443">
        <f>'SVB-รายสัปดาห์ทั้งหมด'!C30</f>
        <v>45</v>
      </c>
      <c r="D124" s="443">
        <f>'SVB-รายสัปดาห์ทั้งหมด'!D30</f>
        <v>52</v>
      </c>
      <c r="E124" s="443">
        <f>'SVB-รายสัปดาห์ทั้งหมด'!E30</f>
        <v>0</v>
      </c>
      <c r="F124" s="443">
        <f>'SVB-รายสัปดาห์ทั้งหมด'!F30</f>
        <v>42</v>
      </c>
      <c r="G124" s="443"/>
      <c r="H124" s="443"/>
      <c r="I124" s="443"/>
      <c r="J124" s="443"/>
      <c r="K124" s="443"/>
      <c r="L124" s="443"/>
      <c r="M124" s="443"/>
      <c r="N124" s="443"/>
      <c r="O124" s="443"/>
      <c r="P124" s="443"/>
      <c r="Q124" s="443"/>
      <c r="R124" s="443"/>
      <c r="S124" s="443"/>
      <c r="T124" s="443"/>
      <c r="U124" s="443"/>
      <c r="V124" s="641">
        <f t="shared" si="2"/>
        <v>169</v>
      </c>
    </row>
    <row r="125" spans="1:22" ht="18" customHeight="1">
      <c r="A125" s="442" t="s">
        <v>1236</v>
      </c>
      <c r="B125" s="443">
        <f>'SVB-รายสัปดาห์ทั้งหมด'!B31</f>
        <v>2</v>
      </c>
      <c r="C125" s="443">
        <f>'SVB-รายสัปดาห์ทั้งหมด'!C31</f>
        <v>45</v>
      </c>
      <c r="D125" s="443">
        <f>'SVB-รายสัปดาห์ทั้งหมด'!D31</f>
        <v>52</v>
      </c>
      <c r="E125" s="443">
        <f>'SVB-รายสัปดาห์ทั้งหมด'!E31</f>
        <v>0</v>
      </c>
      <c r="F125" s="443">
        <f>'SVB-รายสัปดาห์ทั้งหมด'!F31</f>
        <v>42</v>
      </c>
      <c r="G125" s="443"/>
      <c r="H125" s="443"/>
      <c r="I125" s="443"/>
      <c r="J125" s="443"/>
      <c r="K125" s="443"/>
      <c r="L125" s="443"/>
      <c r="M125" s="443"/>
      <c r="N125" s="443"/>
      <c r="O125" s="443"/>
      <c r="P125" s="443"/>
      <c r="Q125" s="443"/>
      <c r="R125" s="443"/>
      <c r="S125" s="443"/>
      <c r="T125" s="443"/>
      <c r="U125" s="443"/>
      <c r="V125" s="641">
        <f t="shared" si="2"/>
        <v>141</v>
      </c>
    </row>
    <row r="126" spans="1:22" ht="18" customHeight="1">
      <c r="A126" s="442" t="s">
        <v>1235</v>
      </c>
      <c r="B126" s="443">
        <f>'SVB-รายสัปดาห์ทั้งหมด'!B32</f>
        <v>24</v>
      </c>
      <c r="C126" s="443">
        <f>'SVB-รายสัปดาห์ทั้งหมด'!C32</f>
        <v>0</v>
      </c>
      <c r="D126" s="443">
        <f>'SVB-รายสัปดาห์ทั้งหมด'!D32</f>
        <v>0</v>
      </c>
      <c r="E126" s="443">
        <f>'SVB-รายสัปดาห์ทั้งหมด'!E32</f>
        <v>0</v>
      </c>
      <c r="F126" s="443">
        <f>'SVB-รายสัปดาห์ทั้งหมด'!F32</f>
        <v>0</v>
      </c>
      <c r="G126" s="443"/>
      <c r="H126" s="443"/>
      <c r="I126" s="443"/>
      <c r="J126" s="443"/>
      <c r="K126" s="443"/>
      <c r="L126" s="443"/>
      <c r="M126" s="443"/>
      <c r="N126" s="443"/>
      <c r="O126" s="443"/>
      <c r="P126" s="443"/>
      <c r="Q126" s="443"/>
      <c r="R126" s="443"/>
      <c r="S126" s="443"/>
      <c r="T126" s="443"/>
      <c r="U126" s="443"/>
      <c r="V126" s="641">
        <f t="shared" si="2"/>
        <v>24</v>
      </c>
    </row>
    <row r="127" spans="1:22" ht="18" customHeight="1">
      <c r="A127" s="442" t="s">
        <v>342</v>
      </c>
      <c r="B127" s="443">
        <f>'SVB-รายสัปดาห์ทั้งหมด'!B41</f>
        <v>30</v>
      </c>
      <c r="C127" s="443">
        <f>'SVB-รายสัปดาห์ทั้งหมด'!C41</f>
        <v>75</v>
      </c>
      <c r="D127" s="443">
        <f>'SVB-รายสัปดาห์ทั้งหมด'!D41</f>
        <v>127</v>
      </c>
      <c r="E127" s="443">
        <f>'SVB-รายสัปดาห์ทั้งหมด'!E41</f>
        <v>127</v>
      </c>
      <c r="F127" s="443">
        <f>'SVB-รายสัปดาห์ทั้งหมด'!F41</f>
        <v>169</v>
      </c>
      <c r="G127" s="443"/>
      <c r="H127" s="443"/>
      <c r="I127" s="443"/>
      <c r="J127" s="443"/>
      <c r="K127" s="443"/>
      <c r="L127" s="443"/>
      <c r="M127" s="443"/>
      <c r="N127" s="443"/>
      <c r="O127" s="443"/>
      <c r="P127" s="443"/>
      <c r="Q127" s="443"/>
      <c r="R127" s="443"/>
      <c r="S127" s="443"/>
      <c r="T127" s="443"/>
      <c r="U127" s="443"/>
      <c r="V127" s="641"/>
    </row>
    <row r="128" spans="1:22" ht="18" customHeight="1">
      <c r="A128" s="442" t="s">
        <v>1240</v>
      </c>
      <c r="B128" s="443">
        <f>'SVB-รายสัปดาห์ทั้งหมด'!B42</f>
        <v>2</v>
      </c>
      <c r="C128" s="443">
        <f>'SVB-รายสัปดาห์ทั้งหมด'!C42</f>
        <v>47</v>
      </c>
      <c r="D128" s="443">
        <f>'SVB-รายสัปดาห์ทั้งหมด'!D42</f>
        <v>99</v>
      </c>
      <c r="E128" s="443">
        <f>'SVB-รายสัปดาห์ทั้งหมด'!E42</f>
        <v>99</v>
      </c>
      <c r="F128" s="443">
        <f>'SVB-รายสัปดาห์ทั้งหมด'!F42</f>
        <v>141</v>
      </c>
      <c r="G128" s="443"/>
      <c r="H128" s="443"/>
      <c r="I128" s="443"/>
      <c r="J128" s="443"/>
      <c r="K128" s="443"/>
      <c r="L128" s="443"/>
      <c r="M128" s="443"/>
      <c r="N128" s="443"/>
      <c r="O128" s="443"/>
      <c r="P128" s="443"/>
      <c r="Q128" s="443"/>
      <c r="R128" s="443"/>
      <c r="S128" s="443"/>
      <c r="T128" s="443"/>
      <c r="U128" s="443"/>
      <c r="V128" s="641"/>
    </row>
    <row r="129" spans="1:22" ht="18" customHeight="1">
      <c r="A129" s="442" t="s">
        <v>1242</v>
      </c>
      <c r="B129" s="443">
        <f>'SVB-รายสัปดาห์ทั้งหมด'!B43</f>
        <v>24</v>
      </c>
      <c r="C129" s="443">
        <f>'SVB-รายสัปดาห์ทั้งหมด'!C43</f>
        <v>24</v>
      </c>
      <c r="D129" s="443">
        <f>'SVB-รายสัปดาห์ทั้งหมด'!D43</f>
        <v>24</v>
      </c>
      <c r="E129" s="443">
        <f>'SVB-รายสัปดาห์ทั้งหมด'!E43</f>
        <v>24</v>
      </c>
      <c r="F129" s="443">
        <f>'SVB-รายสัปดาห์ทั้งหมด'!F43</f>
        <v>24</v>
      </c>
      <c r="G129" s="443"/>
      <c r="H129" s="443"/>
      <c r="I129" s="443"/>
      <c r="J129" s="443"/>
      <c r="K129" s="443"/>
      <c r="L129" s="443"/>
      <c r="M129" s="443"/>
      <c r="N129" s="443"/>
      <c r="O129" s="443"/>
      <c r="P129" s="443"/>
      <c r="Q129" s="443"/>
      <c r="R129" s="443"/>
      <c r="S129" s="443"/>
      <c r="T129" s="443"/>
      <c r="U129" s="443"/>
      <c r="V129" s="641"/>
    </row>
    <row r="130" spans="1:22" ht="18" customHeight="1">
      <c r="A130" s="446" t="s">
        <v>322</v>
      </c>
      <c r="B130" s="635">
        <f>'SVB-รายสัปดาห์ทั้งหมด'!B34</f>
        <v>26</v>
      </c>
      <c r="C130" s="635">
        <f>'SVB-รายสัปดาห์ทั้งหมด'!C34</f>
        <v>0</v>
      </c>
      <c r="D130" s="635">
        <f>'SVB-รายสัปดาห์ทั้งหมด'!D34</f>
        <v>0</v>
      </c>
      <c r="E130" s="635">
        <f>'SVB-รายสัปดาห์ทั้งหมด'!E34</f>
        <v>0</v>
      </c>
      <c r="F130" s="635">
        <f>'SVB-รายสัปดาห์ทั้งหมด'!F34</f>
        <v>1</v>
      </c>
      <c r="G130" s="635"/>
      <c r="H130" s="635"/>
      <c r="I130" s="635"/>
      <c r="J130" s="635"/>
      <c r="K130" s="635"/>
      <c r="L130" s="635"/>
      <c r="M130" s="635"/>
      <c r="N130" s="635"/>
      <c r="O130" s="635"/>
      <c r="P130" s="635"/>
      <c r="Q130" s="635"/>
      <c r="R130" s="635"/>
      <c r="S130" s="635"/>
      <c r="T130" s="635"/>
      <c r="U130" s="635"/>
      <c r="V130" s="642">
        <f>SUM(B130:U130)</f>
        <v>27</v>
      </c>
    </row>
    <row r="131" spans="1:22" ht="18" customHeight="1">
      <c r="A131" s="446" t="s">
        <v>323</v>
      </c>
      <c r="B131" s="635">
        <f>'SVB-รายสัปดาห์ทั้งหมด'!B35</f>
        <v>0</v>
      </c>
      <c r="C131" s="635">
        <f>'SVB-รายสัปดาห์ทั้งหมด'!C35</f>
        <v>24</v>
      </c>
      <c r="D131" s="635">
        <f>'SVB-รายสัปดาห์ทั้งหมด'!D35</f>
        <v>2</v>
      </c>
      <c r="E131" s="635">
        <f>'SVB-รายสัปดาห์ทั้งหมด'!E35</f>
        <v>0</v>
      </c>
      <c r="F131" s="635">
        <f>'SVB-รายสัปดาห์ทั้งหมด'!F35</f>
        <v>0</v>
      </c>
      <c r="G131" s="635"/>
      <c r="H131" s="635"/>
      <c r="I131" s="635"/>
      <c r="J131" s="635"/>
      <c r="K131" s="635"/>
      <c r="L131" s="635"/>
      <c r="M131" s="635"/>
      <c r="N131" s="635"/>
      <c r="O131" s="635"/>
      <c r="P131" s="635"/>
      <c r="Q131" s="635"/>
      <c r="R131" s="635"/>
      <c r="S131" s="635"/>
      <c r="T131" s="635"/>
      <c r="U131" s="635"/>
      <c r="V131" s="642">
        <f t="shared" ref="V131:V135" si="3">SUM(B131:U131)</f>
        <v>26</v>
      </c>
    </row>
    <row r="132" spans="1:22" ht="18" customHeight="1">
      <c r="A132" s="446" t="s">
        <v>892</v>
      </c>
      <c r="B132" s="635">
        <f>'SVB-รายสัปดาห์ทั้งหมด'!B36</f>
        <v>0</v>
      </c>
      <c r="C132" s="635">
        <f>'SVB-รายสัปดาห์ทั้งหมด'!C36</f>
        <v>0</v>
      </c>
      <c r="D132" s="635">
        <f>'SVB-รายสัปดาห์ทั้งหมด'!D36</f>
        <v>0</v>
      </c>
      <c r="E132" s="635">
        <f>'SVB-รายสัปดาห์ทั้งหมด'!E36</f>
        <v>0</v>
      </c>
      <c r="F132" s="635">
        <f>'SVB-รายสัปดาห์ทั้งหมด'!F36</f>
        <v>1</v>
      </c>
      <c r="G132" s="635"/>
      <c r="H132" s="635"/>
      <c r="I132" s="635"/>
      <c r="J132" s="635"/>
      <c r="K132" s="635"/>
      <c r="L132" s="635"/>
      <c r="M132" s="635"/>
      <c r="N132" s="635"/>
      <c r="O132" s="635"/>
      <c r="P132" s="635"/>
      <c r="Q132" s="635"/>
      <c r="R132" s="635"/>
      <c r="S132" s="635"/>
      <c r="T132" s="635"/>
      <c r="U132" s="635"/>
      <c r="V132" s="642">
        <f t="shared" si="3"/>
        <v>1</v>
      </c>
    </row>
    <row r="133" spans="1:22" ht="18" customHeight="1">
      <c r="A133" s="446" t="s">
        <v>893</v>
      </c>
      <c r="B133" s="635">
        <f>'SVB-รายสัปดาห์ทั้งหมด'!B37</f>
        <v>0</v>
      </c>
      <c r="C133" s="635">
        <f>'SVB-รายสัปดาห์ทั้งหมด'!C37</f>
        <v>0</v>
      </c>
      <c r="D133" s="635">
        <f>'SVB-รายสัปดาห์ทั้งหมด'!D37</f>
        <v>0</v>
      </c>
      <c r="E133" s="635">
        <f>'SVB-รายสัปดาห์ทั้งหมด'!E37</f>
        <v>0</v>
      </c>
      <c r="F133" s="635">
        <f>'SVB-รายสัปดาห์ทั้งหมด'!F37</f>
        <v>0</v>
      </c>
      <c r="G133" s="635"/>
      <c r="H133" s="635"/>
      <c r="I133" s="635"/>
      <c r="J133" s="635"/>
      <c r="K133" s="635"/>
      <c r="L133" s="635"/>
      <c r="M133" s="635"/>
      <c r="N133" s="635"/>
      <c r="O133" s="635"/>
      <c r="P133" s="635"/>
      <c r="Q133" s="635"/>
      <c r="R133" s="635"/>
      <c r="S133" s="635"/>
      <c r="T133" s="635"/>
      <c r="U133" s="635"/>
      <c r="V133" s="642">
        <f t="shared" si="3"/>
        <v>0</v>
      </c>
    </row>
    <row r="134" spans="1:22" ht="18" customHeight="1">
      <c r="A134" s="446" t="s">
        <v>898</v>
      </c>
      <c r="B134" s="635">
        <f>'SVB-รายสัปดาห์ทั้งหมด'!B38</f>
        <v>24</v>
      </c>
      <c r="C134" s="635">
        <f>'SVB-รายสัปดาห์ทั้งหมด'!C38</f>
        <v>0</v>
      </c>
      <c r="D134" s="635">
        <f>'SVB-รายสัปดาห์ทั้งหมด'!D38</f>
        <v>0</v>
      </c>
      <c r="E134" s="635">
        <f>'SVB-รายสัปดาห์ทั้งหมด'!E38</f>
        <v>0</v>
      </c>
      <c r="F134" s="635">
        <f>'SVB-รายสัปดาห์ทั้งหมด'!F38</f>
        <v>0</v>
      </c>
      <c r="G134" s="635"/>
      <c r="H134" s="635"/>
      <c r="I134" s="635"/>
      <c r="J134" s="635"/>
      <c r="K134" s="635"/>
      <c r="L134" s="635"/>
      <c r="M134" s="635"/>
      <c r="N134" s="635"/>
      <c r="O134" s="635"/>
      <c r="P134" s="635"/>
      <c r="Q134" s="635"/>
      <c r="R134" s="635"/>
      <c r="S134" s="635"/>
      <c r="T134" s="635"/>
      <c r="U134" s="635"/>
      <c r="V134" s="642">
        <f t="shared" si="3"/>
        <v>24</v>
      </c>
    </row>
    <row r="135" spans="1:22" ht="18" customHeight="1">
      <c r="A135" s="446" t="s">
        <v>899</v>
      </c>
      <c r="B135" s="635">
        <f>'SVB-รายสัปดาห์ทั้งหมด'!B39</f>
        <v>0</v>
      </c>
      <c r="C135" s="635">
        <f>'SVB-รายสัปดาห์ทั้งหมด'!C39</f>
        <v>24</v>
      </c>
      <c r="D135" s="635">
        <f>'SVB-รายสัปดาห์ทั้งหมด'!D39</f>
        <v>0</v>
      </c>
      <c r="E135" s="635">
        <f>'SVB-รายสัปดาห์ทั้งหมด'!E39</f>
        <v>0</v>
      </c>
      <c r="F135" s="635">
        <f>'SVB-รายสัปดาห์ทั้งหมด'!F39</f>
        <v>0</v>
      </c>
      <c r="G135" s="635"/>
      <c r="H135" s="635"/>
      <c r="I135" s="635"/>
      <c r="J135" s="635"/>
      <c r="K135" s="635"/>
      <c r="L135" s="635"/>
      <c r="M135" s="635"/>
      <c r="N135" s="635"/>
      <c r="O135" s="635"/>
      <c r="P135" s="635"/>
      <c r="Q135" s="635"/>
      <c r="R135" s="635"/>
      <c r="S135" s="635"/>
      <c r="T135" s="635"/>
      <c r="U135" s="635"/>
      <c r="V135" s="642">
        <f t="shared" si="3"/>
        <v>24</v>
      </c>
    </row>
    <row r="136" spans="1:22" ht="18" customHeight="1">
      <c r="A136" s="444" t="s">
        <v>1243</v>
      </c>
      <c r="B136" s="445">
        <f>'SVB-รายสัปดาห์ทั้งหมด'!B40</f>
        <v>7.5</v>
      </c>
      <c r="C136" s="445">
        <f>'SVB-รายสัปดาห์ทั้งหมด'!C40</f>
        <v>0.65217391304347827</v>
      </c>
      <c r="D136" s="445">
        <f>'SVB-รายสัปดาห์ทั้งหมด'!D40</f>
        <v>0.96296296296296291</v>
      </c>
      <c r="E136" s="445" t="str">
        <f>'SVB-รายสัปดาห์ทั้งหมด'!E40</f>
        <v>-</v>
      </c>
      <c r="F136" s="445">
        <f>'SVB-รายสัปดาห์ทั้งหมด'!F40</f>
        <v>1.024390243902439</v>
      </c>
      <c r="G136" s="445"/>
      <c r="H136" s="445"/>
      <c r="I136" s="445"/>
      <c r="J136" s="445"/>
      <c r="K136" s="445"/>
      <c r="L136" s="445"/>
      <c r="M136" s="445"/>
      <c r="N136" s="445"/>
      <c r="O136" s="445"/>
      <c r="P136" s="445"/>
      <c r="Q136" s="445"/>
      <c r="R136" s="445"/>
      <c r="S136" s="445"/>
      <c r="T136" s="445"/>
      <c r="U136" s="445"/>
      <c r="V136" s="445"/>
    </row>
    <row r="137" spans="1:22" ht="18" customHeight="1">
      <c r="A137" s="446" t="s">
        <v>344</v>
      </c>
      <c r="B137" s="447">
        <f>'SVB-รายสัปดาห์ทั้งหมด'!B59</f>
        <v>2.1390374331550801E-2</v>
      </c>
      <c r="C137" s="447">
        <f>'SVB-รายสัปดาห์ทั้งหมด'!C59</f>
        <v>0.39037433155080214</v>
      </c>
      <c r="D137" s="447">
        <f>'SVB-รายสัปดาห์ทั้งหมด'!D59</f>
        <v>0.67914438502673802</v>
      </c>
      <c r="E137" s="447">
        <f>'SVB-รายสัปดาห์ทั้งหมด'!E59</f>
        <v>0.67914438502673802</v>
      </c>
      <c r="F137" s="447">
        <f>'SVB-รายสัปดาห์ทั้งหมด'!F59</f>
        <v>0.89839572192513373</v>
      </c>
      <c r="G137" s="447">
        <f>'SVB-รายสัปดาห์ทั้งหมด'!G59</f>
        <v>0.98930481283422456</v>
      </c>
      <c r="H137" s="447">
        <f>'SVB-รายสัปดาห์ทั้งหมด'!H59</f>
        <v>0.98930481283422456</v>
      </c>
      <c r="I137" s="447">
        <f>'SVB-รายสัปดาห์ทั้งหมด'!I59</f>
        <v>0.98930481283422456</v>
      </c>
      <c r="J137" s="447">
        <f>'SVB-รายสัปดาห์ทั้งหมด'!J59</f>
        <v>0.98930481283422456</v>
      </c>
      <c r="K137" s="447">
        <f>'SVB-รายสัปดาห์ทั้งหมด'!K59</f>
        <v>0.98930481283422456</v>
      </c>
      <c r="L137" s="447">
        <f>'SVB-รายสัปดาห์ทั้งหมด'!L59</f>
        <v>0.98930481283422456</v>
      </c>
      <c r="M137" s="447">
        <f>'SVB-รายสัปดาห์ทั้งหมด'!M59</f>
        <v>0.98930481283422456</v>
      </c>
      <c r="N137" s="447">
        <f>'SVB-รายสัปดาห์ทั้งหมด'!N59</f>
        <v>0.98930481283422456</v>
      </c>
      <c r="O137" s="447">
        <f>'SVB-รายสัปดาห์ทั้งหมด'!O59</f>
        <v>0.98930481283422456</v>
      </c>
      <c r="P137" s="447">
        <f>'SVB-รายสัปดาห์ทั้งหมด'!P59</f>
        <v>0.98930481283422456</v>
      </c>
      <c r="Q137" s="447">
        <f>'SVB-รายสัปดาห์ทั้งหมด'!Q59</f>
        <v>1</v>
      </c>
      <c r="R137" s="447">
        <f>'SVB-รายสัปดาห์ทั้งหมด'!R59</f>
        <v>1</v>
      </c>
      <c r="S137" s="447">
        <f>'SVB-รายสัปดาห์ทั้งหมด'!S59</f>
        <v>1</v>
      </c>
      <c r="T137" s="447">
        <f>'SVB-รายสัปดาห์ทั้งหมด'!T59</f>
        <v>1</v>
      </c>
      <c r="U137" s="447">
        <f>'SVB-รายสัปดาห์ทั้งหมด'!U59</f>
        <v>1</v>
      </c>
      <c r="V137" s="447"/>
    </row>
    <row r="138" spans="1:22" ht="18" customHeight="1">
      <c r="A138" s="446" t="s">
        <v>345</v>
      </c>
      <c r="B138" s="447">
        <f>'SVB-รายสัปดาห์ทั้งหมด'!B56</f>
        <v>0.16042780748663102</v>
      </c>
      <c r="C138" s="447">
        <f>'SVB-รายสัปดาห์ทั้งหมด'!C56</f>
        <v>0.40106951871657753</v>
      </c>
      <c r="D138" s="447">
        <f>'SVB-รายสัปดาห์ทั้งหมด'!D56</f>
        <v>0.67914438502673802</v>
      </c>
      <c r="E138" s="447">
        <f>'SVB-รายสัปดาห์ทั้งหมด'!E56</f>
        <v>0.67914438502673802</v>
      </c>
      <c r="F138" s="447">
        <f>'SVB-รายสัปดาห์ทั้งหมด'!F56</f>
        <v>0.90374331550802134</v>
      </c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</row>
    <row r="139" spans="1:22" ht="18" customHeight="1">
      <c r="A139" s="446" t="s">
        <v>1244</v>
      </c>
      <c r="B139" s="447">
        <f>'SVB-รายสัปดาห์ทั้งหมด'!B60</f>
        <v>1.282051282051282E-2</v>
      </c>
      <c r="C139" s="447">
        <f>'SVB-รายสัปดาห์ทั้งหมด'!C60</f>
        <v>0.30128205128205127</v>
      </c>
      <c r="D139" s="447">
        <f>'SVB-รายสัปดาห์ทั้งหมด'!D60</f>
        <v>0.63461538461538458</v>
      </c>
      <c r="E139" s="447">
        <f>'SVB-รายสัปดาห์ทั้งหมด'!E60</f>
        <v>0.63461538461538458</v>
      </c>
      <c r="F139" s="447">
        <f>'SVB-รายสัปดาห์ทั้งหมด'!F60</f>
        <v>0.89743589743589747</v>
      </c>
      <c r="G139" s="447">
        <f>'SVB-รายสัปดาห์ทั้งหมด'!G60</f>
        <v>0.98717948717948723</v>
      </c>
      <c r="H139" s="447">
        <f>'SVB-รายสัปดาห์ทั้งหมด'!H60</f>
        <v>0.98717948717948723</v>
      </c>
      <c r="I139" s="447">
        <f>'SVB-รายสัปดาห์ทั้งหมด'!I60</f>
        <v>0.98717948717948723</v>
      </c>
      <c r="J139" s="447">
        <f>'SVB-รายสัปดาห์ทั้งหมด'!J60</f>
        <v>0.98717948717948723</v>
      </c>
      <c r="K139" s="447">
        <f>'SVB-รายสัปดาห์ทั้งหมด'!K60</f>
        <v>0.98717948717948723</v>
      </c>
      <c r="L139" s="447">
        <f>'SVB-รายสัปดาห์ทั้งหมด'!L60</f>
        <v>0.98717948717948723</v>
      </c>
      <c r="M139" s="447">
        <f>'SVB-รายสัปดาห์ทั้งหมด'!M60</f>
        <v>0.98717948717948723</v>
      </c>
      <c r="N139" s="447">
        <f>'SVB-รายสัปดาห์ทั้งหมด'!N60</f>
        <v>0.98717948717948723</v>
      </c>
      <c r="O139" s="447">
        <f>'SVB-รายสัปดาห์ทั้งหมด'!O60</f>
        <v>0.98717948717948723</v>
      </c>
      <c r="P139" s="447">
        <f>'SVB-รายสัปดาห์ทั้งหมด'!P60</f>
        <v>0.98717948717948723</v>
      </c>
      <c r="Q139" s="447">
        <f>'SVB-รายสัปดาห์ทั้งหมด'!Q60</f>
        <v>1</v>
      </c>
      <c r="R139" s="447">
        <f>'SVB-รายสัปดาห์ทั้งหมด'!R60</f>
        <v>1</v>
      </c>
      <c r="S139" s="447">
        <f>'SVB-รายสัปดาห์ทั้งหมด'!S60</f>
        <v>1</v>
      </c>
      <c r="T139" s="447">
        <f>'SVB-รายสัปดาห์ทั้งหมด'!T60</f>
        <v>1</v>
      </c>
      <c r="U139" s="447">
        <f>'SVB-รายสัปดาห์ทั้งหมด'!U60</f>
        <v>1</v>
      </c>
      <c r="V139" s="447"/>
    </row>
    <row r="140" spans="1:22" ht="18" customHeight="1">
      <c r="A140" s="446" t="s">
        <v>1245</v>
      </c>
      <c r="B140" s="447">
        <f>'SVB-รายสัปดาห์ทั้งหมด'!B57</f>
        <v>1.282051282051282E-2</v>
      </c>
      <c r="C140" s="447">
        <f>'SVB-รายสัปดาห์ทั้งหมด'!C57</f>
        <v>0.30128205128205127</v>
      </c>
      <c r="D140" s="447">
        <f>'SVB-รายสัปดาห์ทั้งหมด'!D57</f>
        <v>0.63461538461538458</v>
      </c>
      <c r="E140" s="447">
        <f>'SVB-รายสัปดาห์ทั้งหมด'!E57</f>
        <v>0.63461538461538458</v>
      </c>
      <c r="F140" s="447">
        <f>'SVB-รายสัปดาห์ทั้งหมด'!F57</f>
        <v>0.90384615384615385</v>
      </c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</row>
    <row r="141" spans="1:22" ht="18" customHeight="1">
      <c r="A141" s="446" t="s">
        <v>1246</v>
      </c>
      <c r="B141" s="447">
        <f>'SVB-รายสัปดาห์ทั้งหมด'!B61</f>
        <v>0</v>
      </c>
      <c r="C141" s="447">
        <f>'SVB-รายสัปดาห์ทั้งหมด'!C61</f>
        <v>0.96</v>
      </c>
      <c r="D141" s="447">
        <f>'SVB-รายสัปดาห์ทั้งหมด'!D61</f>
        <v>0.96</v>
      </c>
      <c r="E141" s="447">
        <f>'SVB-รายสัปดาห์ทั้งหมด'!E61</f>
        <v>0.96</v>
      </c>
      <c r="F141" s="447">
        <f>'SVB-รายสัปดาห์ทั้งหมด'!F61</f>
        <v>0.96</v>
      </c>
      <c r="G141" s="447">
        <f>'SVB-รายสัปดาห์ทั้งหมด'!G61</f>
        <v>1</v>
      </c>
      <c r="H141" s="447">
        <f>'SVB-รายสัปดาห์ทั้งหมด'!H61</f>
        <v>1</v>
      </c>
      <c r="I141" s="447">
        <f>'SVB-รายสัปดาห์ทั้งหมด'!I61</f>
        <v>1</v>
      </c>
      <c r="J141" s="447">
        <f>'SVB-รายสัปดาห์ทั้งหมด'!J61</f>
        <v>1</v>
      </c>
      <c r="K141" s="447">
        <f>'SVB-รายสัปดาห์ทั้งหมด'!K61</f>
        <v>1</v>
      </c>
      <c r="L141" s="447">
        <f>'SVB-รายสัปดาห์ทั้งหมด'!L61</f>
        <v>1</v>
      </c>
      <c r="M141" s="447">
        <f>'SVB-รายสัปดาห์ทั้งหมด'!M61</f>
        <v>1</v>
      </c>
      <c r="N141" s="447">
        <f>'SVB-รายสัปดาห์ทั้งหมด'!N61</f>
        <v>1</v>
      </c>
      <c r="O141" s="447">
        <f>'SVB-รายสัปดาห์ทั้งหมด'!O61</f>
        <v>1</v>
      </c>
      <c r="P141" s="447">
        <f>'SVB-รายสัปดาห์ทั้งหมด'!P61</f>
        <v>1</v>
      </c>
      <c r="Q141" s="447">
        <f>'SVB-รายสัปดาห์ทั้งหมด'!Q61</f>
        <v>1</v>
      </c>
      <c r="R141" s="447">
        <f>'SVB-รายสัปดาห์ทั้งหมด'!R61</f>
        <v>1</v>
      </c>
      <c r="S141" s="447">
        <f>'SVB-รายสัปดาห์ทั้งหมด'!S61</f>
        <v>1</v>
      </c>
      <c r="T141" s="447">
        <f>'SVB-รายสัปดาห์ทั้งหมด'!T61</f>
        <v>1</v>
      </c>
      <c r="U141" s="447">
        <f>'SVB-รายสัปดาห์ทั้งหมด'!U61</f>
        <v>1</v>
      </c>
      <c r="V141" s="447"/>
    </row>
    <row r="142" spans="1:22" ht="18" customHeight="1">
      <c r="A142" s="446" t="s">
        <v>1247</v>
      </c>
      <c r="B142" s="447">
        <f>'SVB-รายสัปดาห์ทั้งหมด'!B58</f>
        <v>0.96</v>
      </c>
      <c r="C142" s="447">
        <f>'SVB-รายสัปดาห์ทั้งหมด'!C58</f>
        <v>0.96</v>
      </c>
      <c r="D142" s="447">
        <f>'SVB-รายสัปดาห์ทั้งหมด'!D58</f>
        <v>0.96</v>
      </c>
      <c r="E142" s="447">
        <f>'SVB-รายสัปดาห์ทั้งหมด'!E58</f>
        <v>0.96</v>
      </c>
      <c r="F142" s="447">
        <f>'SVB-รายสัปดาห์ทั้งหมด'!F58</f>
        <v>0.96</v>
      </c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</row>
    <row r="143" spans="1:22" ht="18" customHeight="1">
      <c r="A143" s="448" t="s">
        <v>1248</v>
      </c>
      <c r="B143" s="449">
        <f t="shared" ref="B143:C143" si="4">IF(B119=0,0,B122/B119)</f>
        <v>7.5</v>
      </c>
      <c r="C143" s="449">
        <f t="shared" si="4"/>
        <v>0.65217391304347827</v>
      </c>
      <c r="D143" s="449">
        <f t="shared" ref="D143:E143" si="5">IF(D119=0,0,D122/D119)</f>
        <v>0.96296296296296291</v>
      </c>
      <c r="E143" s="449">
        <f t="shared" si="5"/>
        <v>0</v>
      </c>
      <c r="F143" s="449">
        <f t="shared" ref="F143" si="6">IF(F119=0,0,F122/F119)</f>
        <v>1.024390243902439</v>
      </c>
      <c r="G143" s="449"/>
      <c r="H143" s="449"/>
      <c r="I143" s="449"/>
      <c r="J143" s="449"/>
      <c r="K143" s="449"/>
      <c r="L143" s="449"/>
      <c r="M143" s="449"/>
      <c r="N143" s="449"/>
      <c r="O143" s="449"/>
      <c r="P143" s="449"/>
      <c r="Q143" s="449"/>
      <c r="R143" s="449"/>
      <c r="S143" s="449"/>
      <c r="T143" s="449"/>
      <c r="U143" s="449"/>
      <c r="V143" s="449"/>
    </row>
    <row r="144" spans="1:22" ht="18" customHeight="1">
      <c r="A144" s="448" t="s">
        <v>1249</v>
      </c>
      <c r="B144" s="449">
        <f t="shared" ref="B144:C144" si="7">IF(B119=0,0,B123/B119)</f>
        <v>7.5</v>
      </c>
      <c r="C144" s="449">
        <f t="shared" si="7"/>
        <v>0.65217391304347827</v>
      </c>
      <c r="D144" s="449">
        <f t="shared" ref="D144:E144" si="8">IF(D119=0,0,D123/D119)</f>
        <v>0.96296296296296291</v>
      </c>
      <c r="E144" s="449">
        <f t="shared" si="8"/>
        <v>0</v>
      </c>
      <c r="F144" s="449">
        <f t="shared" ref="F144" si="9">IF(F119=0,0,F123/F119)</f>
        <v>1.024390243902439</v>
      </c>
      <c r="G144" s="449"/>
      <c r="H144" s="449"/>
      <c r="I144" s="449"/>
      <c r="J144" s="449"/>
      <c r="K144" s="449"/>
      <c r="L144" s="449"/>
      <c r="M144" s="449"/>
      <c r="N144" s="449"/>
      <c r="O144" s="449"/>
      <c r="P144" s="449"/>
      <c r="Q144" s="449"/>
      <c r="R144" s="449"/>
      <c r="S144" s="449"/>
      <c r="T144" s="449"/>
      <c r="U144" s="449"/>
      <c r="V144" s="449"/>
    </row>
    <row r="145" spans="1:22" ht="18" customHeight="1">
      <c r="A145" s="448" t="s">
        <v>1250</v>
      </c>
      <c r="B145" s="449">
        <f t="shared" ref="B145:C145" si="10">IF(B119=0,0,B124/B119)</f>
        <v>7.5</v>
      </c>
      <c r="C145" s="449">
        <f t="shared" si="10"/>
        <v>0.65217391304347827</v>
      </c>
      <c r="D145" s="449">
        <f t="shared" ref="D145:E145" si="11">IF(D119=0,0,D124/D119)</f>
        <v>0.96296296296296291</v>
      </c>
      <c r="E145" s="449">
        <f t="shared" si="11"/>
        <v>0</v>
      </c>
      <c r="F145" s="449">
        <f t="shared" ref="F145" si="12">IF(F119=0,0,F124/F119)</f>
        <v>1.024390243902439</v>
      </c>
      <c r="G145" s="449"/>
      <c r="H145" s="449"/>
      <c r="I145" s="449"/>
      <c r="J145" s="449"/>
      <c r="K145" s="449"/>
      <c r="L145" s="449"/>
      <c r="M145" s="449"/>
      <c r="N145" s="449"/>
      <c r="O145" s="449"/>
      <c r="P145" s="449"/>
      <c r="Q145" s="449"/>
      <c r="R145" s="449"/>
      <c r="S145" s="449"/>
      <c r="T145" s="449"/>
      <c r="U145" s="449"/>
      <c r="V145" s="449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9A24-049F-4484-9395-237199A7CF13}">
  <dimension ref="A1:U41"/>
  <sheetViews>
    <sheetView zoomScale="80" zoomScaleNormal="80" workbookViewId="0">
      <selection activeCell="L10" sqref="L10:M10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20.33203125" bestFit="1" customWidth="1"/>
    <col min="5" max="5" width="20.5546875" bestFit="1" customWidth="1"/>
    <col min="6" max="6" width="10.5546875" bestFit="1" customWidth="1"/>
    <col min="7" max="7" width="17.109375" bestFit="1" customWidth="1"/>
    <col min="9" max="9" width="20.44140625" bestFit="1" customWidth="1"/>
    <col min="10" max="10" width="20.5546875" bestFit="1" customWidth="1"/>
    <col min="11" max="11" width="10.5546875" bestFit="1" customWidth="1"/>
    <col min="12" max="12" width="17.109375" bestFit="1" customWidth="1"/>
    <col min="14" max="14" width="17.88671875" bestFit="1" customWidth="1"/>
    <col min="15" max="15" width="16" style="197" bestFit="1" customWidth="1"/>
    <col min="16" max="16" width="11" style="197" bestFit="1" customWidth="1"/>
    <col min="17" max="17" width="13.33203125" style="197" bestFit="1" customWidth="1"/>
    <col min="18" max="18" width="8.6640625" style="197" bestFit="1" customWidth="1"/>
    <col min="19" max="19" width="8.6640625" style="415" bestFit="1" customWidth="1"/>
    <col min="20" max="20" width="8.6640625" style="197" bestFit="1" customWidth="1"/>
    <col min="21" max="21" width="8.6640625" style="415" bestFit="1" customWidth="1"/>
    <col min="22" max="16384" width="9.109375" style="214"/>
  </cols>
  <sheetData>
    <row r="1" spans="1:21" ht="31.2">
      <c r="A1" s="371" t="s">
        <v>0</v>
      </c>
      <c r="B1" s="372" t="s">
        <v>1265</v>
      </c>
      <c r="C1" s="373" t="s">
        <v>354</v>
      </c>
      <c r="D1" s="373" t="s">
        <v>1266</v>
      </c>
      <c r="E1" s="373" t="s">
        <v>1267</v>
      </c>
      <c r="F1" s="373" t="s">
        <v>357</v>
      </c>
      <c r="G1" s="373" t="s">
        <v>358</v>
      </c>
      <c r="H1" s="373" t="s">
        <v>3</v>
      </c>
      <c r="I1" s="652" t="s">
        <v>1268</v>
      </c>
      <c r="J1" s="652" t="s">
        <v>1269</v>
      </c>
      <c r="K1" s="652" t="s">
        <v>1270</v>
      </c>
      <c r="L1" s="652" t="s">
        <v>1271</v>
      </c>
      <c r="M1" s="652" t="s">
        <v>1272</v>
      </c>
      <c r="N1" s="367" t="s">
        <v>1273</v>
      </c>
      <c r="O1" s="367" t="s">
        <v>1274</v>
      </c>
      <c r="P1" s="368" t="s">
        <v>29</v>
      </c>
      <c r="Q1" s="369" t="s">
        <v>30</v>
      </c>
      <c r="R1" s="413" t="s">
        <v>361</v>
      </c>
      <c r="S1" s="413" t="s">
        <v>33</v>
      </c>
      <c r="T1" s="413" t="s">
        <v>1275</v>
      </c>
      <c r="U1" s="413" t="s">
        <v>1276</v>
      </c>
    </row>
    <row r="2" spans="1:21">
      <c r="A2">
        <v>1</v>
      </c>
      <c r="B2" s="630" t="s">
        <v>1277</v>
      </c>
      <c r="C2" s="650" t="s">
        <v>494</v>
      </c>
      <c r="D2" s="632">
        <v>45985</v>
      </c>
      <c r="E2" s="632">
        <v>45985</v>
      </c>
      <c r="F2" s="631">
        <v>1</v>
      </c>
      <c r="G2" s="631">
        <v>1</v>
      </c>
      <c r="H2" s="631" t="s">
        <v>368</v>
      </c>
      <c r="I2" s="632">
        <v>46100</v>
      </c>
      <c r="J2" s="632">
        <v>46102</v>
      </c>
      <c r="K2" s="653">
        <v>1</v>
      </c>
      <c r="L2" s="653">
        <v>1</v>
      </c>
      <c r="M2" s="631" t="s">
        <v>368</v>
      </c>
      <c r="N2" s="412">
        <f>All_Detail_v29[[#This Row],[Qty. Success]]</f>
        <v>1</v>
      </c>
      <c r="O2" s="412">
        <v>0</v>
      </c>
      <c r="P2" s="230">
        <f>IF(All_Detail_v29[[#This Row],[Qty]]=0,1,(N2+O2)/(All_Detail_v29[[#This Row],[Qty]]*2))</f>
        <v>0.5</v>
      </c>
      <c r="Q2" s="195"/>
      <c r="R2" s="414">
        <f>All_Detail_v29[[#This Row],[Cabling Date (S)]]</f>
        <v>45985</v>
      </c>
      <c r="S2" s="414">
        <f>All_Detail_v29[[#This Row],[Cabling Date (A)]]</f>
        <v>45985</v>
      </c>
      <c r="T2" s="414">
        <f>All_Detail_v29[[#This Row],[Coring Date (S)]]</f>
        <v>46100</v>
      </c>
      <c r="U2" s="414">
        <f>All_Detail_v29[[#This Row],[Coring Date (A)]]</f>
        <v>46102</v>
      </c>
    </row>
    <row r="3" spans="1:21">
      <c r="A3">
        <v>7</v>
      </c>
      <c r="B3" s="630" t="s">
        <v>1278</v>
      </c>
      <c r="C3" s="650" t="s">
        <v>494</v>
      </c>
      <c r="D3" s="632">
        <v>45993</v>
      </c>
      <c r="E3" s="632">
        <v>45993</v>
      </c>
      <c r="F3" s="631">
        <v>1</v>
      </c>
      <c r="G3" s="631">
        <v>1</v>
      </c>
      <c r="H3" s="631" t="s">
        <v>368</v>
      </c>
      <c r="I3" s="632">
        <v>46088</v>
      </c>
      <c r="J3" s="632">
        <v>46088</v>
      </c>
      <c r="K3" s="653">
        <v>1</v>
      </c>
      <c r="L3" s="653">
        <v>1</v>
      </c>
      <c r="M3" s="631" t="s">
        <v>368</v>
      </c>
      <c r="N3" s="412">
        <f>All_Detail_v29[[#This Row],[Qty. Success]]</f>
        <v>1</v>
      </c>
      <c r="O3" s="412">
        <f>All_Detail_v29[[#This Row],[Qty. Success2]]</f>
        <v>1</v>
      </c>
      <c r="P3" s="230">
        <f>IF(All_Detail_v29[[#This Row],[Qty]]=0,1,(N3+O3)/(All_Detail_v29[[#This Row],[Qty]]*2))</f>
        <v>1</v>
      </c>
      <c r="Q3" s="195"/>
      <c r="R3" s="414">
        <f>All_Detail_v29[[#This Row],[Cabling Date (S)]]</f>
        <v>45993</v>
      </c>
      <c r="S3" s="414">
        <f>All_Detail_v29[[#This Row],[Cabling Date (A)]]</f>
        <v>45993</v>
      </c>
      <c r="T3" s="414">
        <f>All_Detail_v29[[#This Row],[Coring Date (S)]]</f>
        <v>46088</v>
      </c>
      <c r="U3" s="414">
        <f>All_Detail_v29[[#This Row],[Coring Date (A)]]</f>
        <v>46088</v>
      </c>
    </row>
    <row r="4" spans="1:21">
      <c r="A4">
        <v>2</v>
      </c>
      <c r="B4" s="630" t="s">
        <v>1279</v>
      </c>
      <c r="C4" s="650" t="s">
        <v>494</v>
      </c>
      <c r="D4" s="632">
        <v>45986</v>
      </c>
      <c r="E4" s="632">
        <v>45986</v>
      </c>
      <c r="F4" s="631">
        <v>1</v>
      </c>
      <c r="G4" s="631">
        <v>1</v>
      </c>
      <c r="H4" s="631" t="s">
        <v>368</v>
      </c>
      <c r="I4" s="632">
        <v>46087</v>
      </c>
      <c r="J4" s="632">
        <v>46087</v>
      </c>
      <c r="K4" s="653">
        <v>1</v>
      </c>
      <c r="L4" s="653">
        <v>1</v>
      </c>
      <c r="M4" s="810" t="s">
        <v>368</v>
      </c>
      <c r="N4" s="412">
        <f>All_Detail_v29[[#This Row],[Qty. Success]]</f>
        <v>1</v>
      </c>
      <c r="O4" s="412">
        <f>All_Detail_v29[[#This Row],[Qty. Success2]]</f>
        <v>1</v>
      </c>
      <c r="P4" s="230">
        <f>IF(All_Detail_v29[[#This Row],[Qty]]=0,1,(N4+O4)/(All_Detail_v29[[#This Row],[Qty]]*2))</f>
        <v>1</v>
      </c>
      <c r="Q4" s="195"/>
      <c r="R4" s="414">
        <f>All_Detail_v29[[#This Row],[Cabling Date (S)]]</f>
        <v>45986</v>
      </c>
      <c r="S4" s="414">
        <f>All_Detail_v29[[#This Row],[Cabling Date (A)]]</f>
        <v>45986</v>
      </c>
      <c r="T4" s="414">
        <f>All_Detail_v29[[#This Row],[Coring Date (S)]]</f>
        <v>46087</v>
      </c>
      <c r="U4" s="414">
        <f>All_Detail_v29[[#This Row],[Coring Date (A)]]</f>
        <v>46087</v>
      </c>
    </row>
    <row r="5" spans="1:21">
      <c r="A5">
        <v>24</v>
      </c>
      <c r="B5" s="630" t="s">
        <v>1280</v>
      </c>
      <c r="C5" s="650" t="s">
        <v>735</v>
      </c>
      <c r="D5" s="632">
        <v>45984</v>
      </c>
      <c r="E5" s="632">
        <v>45984</v>
      </c>
      <c r="F5" s="631">
        <v>1</v>
      </c>
      <c r="G5" s="631">
        <v>1</v>
      </c>
      <c r="H5" s="631" t="s">
        <v>368</v>
      </c>
      <c r="I5" s="632">
        <v>46074</v>
      </c>
      <c r="J5" s="632">
        <v>46074</v>
      </c>
      <c r="K5" s="653">
        <v>1</v>
      </c>
      <c r="L5" s="653">
        <v>1</v>
      </c>
      <c r="M5" s="810" t="s">
        <v>368</v>
      </c>
      <c r="N5" s="412">
        <f>All_Detail_v29[[#This Row],[Qty. Success]]</f>
        <v>1</v>
      </c>
      <c r="O5" s="412">
        <f>All_Detail_v29[[#This Row],[Qty. Success2]]</f>
        <v>1</v>
      </c>
      <c r="P5" s="230">
        <f>IF(All_Detail_v29[[#This Row],[Qty]]=0,1,(N5+O5)/(All_Detail_v29[[#This Row],[Qty]]*2))</f>
        <v>1</v>
      </c>
      <c r="Q5" s="195"/>
      <c r="R5" s="414">
        <f>All_Detail_v29[[#This Row],[Cabling Date (S)]]</f>
        <v>45984</v>
      </c>
      <c r="S5" s="414">
        <f>All_Detail_v29[[#This Row],[Cabling Date (A)]]</f>
        <v>45984</v>
      </c>
      <c r="T5" s="414">
        <f>All_Detail_v29[[#This Row],[Coring Date (S)]]</f>
        <v>46074</v>
      </c>
      <c r="U5" s="414">
        <f>All_Detail_v29[[#This Row],[Coring Date (A)]]</f>
        <v>46074</v>
      </c>
    </row>
    <row r="6" spans="1:21">
      <c r="A6">
        <v>8</v>
      </c>
      <c r="B6" s="630" t="s">
        <v>1281</v>
      </c>
      <c r="C6" s="650" t="s">
        <v>494</v>
      </c>
      <c r="D6" s="632">
        <v>45994</v>
      </c>
      <c r="E6" s="632">
        <v>45994</v>
      </c>
      <c r="F6" s="631">
        <v>1</v>
      </c>
      <c r="G6" s="631">
        <v>1</v>
      </c>
      <c r="H6" s="631" t="s">
        <v>368</v>
      </c>
      <c r="I6" s="632">
        <v>46073</v>
      </c>
      <c r="J6" s="632">
        <v>46073</v>
      </c>
      <c r="K6" s="653">
        <v>1</v>
      </c>
      <c r="L6" s="653">
        <v>1</v>
      </c>
      <c r="M6" s="810" t="s">
        <v>368</v>
      </c>
      <c r="N6" s="412">
        <f>All_Detail_v29[[#This Row],[Qty. Success]]</f>
        <v>1</v>
      </c>
      <c r="O6" s="412">
        <f>All_Detail_v29[[#This Row],[Qty. Success2]]</f>
        <v>1</v>
      </c>
      <c r="P6" s="230">
        <f>IF(All_Detail_v29[[#This Row],[Qty]]=0,1,(N6+O6)/(All_Detail_v29[[#This Row],[Qty]]*2))</f>
        <v>1</v>
      </c>
      <c r="Q6" s="195"/>
      <c r="R6" s="414">
        <f>All_Detail_v29[[#This Row],[Cabling Date (S)]]</f>
        <v>45994</v>
      </c>
      <c r="S6" s="414">
        <f>All_Detail_v29[[#This Row],[Cabling Date (A)]]</f>
        <v>45994</v>
      </c>
      <c r="T6" s="414">
        <f>All_Detail_v29[[#This Row],[Coring Date (S)]]</f>
        <v>46073</v>
      </c>
      <c r="U6" s="414">
        <f>All_Detail_v29[[#This Row],[Coring Date (A)]]</f>
        <v>46073</v>
      </c>
    </row>
    <row r="7" spans="1:21">
      <c r="A7">
        <v>23</v>
      </c>
      <c r="B7" s="630" t="s">
        <v>1282</v>
      </c>
      <c r="C7" s="650" t="s">
        <v>735</v>
      </c>
      <c r="D7" s="632">
        <v>45983</v>
      </c>
      <c r="E7" s="632">
        <v>45983</v>
      </c>
      <c r="F7" s="631">
        <v>1</v>
      </c>
      <c r="G7" s="631">
        <v>1</v>
      </c>
      <c r="H7" s="631" t="s">
        <v>368</v>
      </c>
      <c r="I7" s="632">
        <v>46067</v>
      </c>
      <c r="J7" s="632">
        <v>46067</v>
      </c>
      <c r="K7" s="653">
        <v>1</v>
      </c>
      <c r="L7" s="653">
        <v>1</v>
      </c>
      <c r="M7" s="810" t="s">
        <v>368</v>
      </c>
      <c r="N7" s="412">
        <f>All_Detail_v29[[#This Row],[Qty. Success]]</f>
        <v>1</v>
      </c>
      <c r="O7" s="412">
        <f>All_Detail_v29[[#This Row],[Qty. Success2]]</f>
        <v>1</v>
      </c>
      <c r="P7" s="230">
        <f>IF(All_Detail_v29[[#This Row],[Qty]]=0,1,(N7+O7)/(All_Detail_v29[[#This Row],[Qty]]*2))</f>
        <v>1</v>
      </c>
      <c r="Q7" s="195"/>
      <c r="R7" s="414">
        <f>All_Detail_v29[[#This Row],[Cabling Date (S)]]</f>
        <v>45983</v>
      </c>
      <c r="S7" s="414">
        <f>All_Detail_v29[[#This Row],[Cabling Date (A)]]</f>
        <v>45983</v>
      </c>
      <c r="T7" s="414">
        <f>All_Detail_v29[[#This Row],[Coring Date (S)]]</f>
        <v>46067</v>
      </c>
      <c r="U7" s="414">
        <f>All_Detail_v29[[#This Row],[Coring Date (A)]]</f>
        <v>46067</v>
      </c>
    </row>
    <row r="8" spans="1:21">
      <c r="A8">
        <v>31</v>
      </c>
      <c r="B8" s="630" t="s">
        <v>1283</v>
      </c>
      <c r="C8" s="650" t="s">
        <v>749</v>
      </c>
      <c r="D8" s="632">
        <v>46008</v>
      </c>
      <c r="E8" s="632">
        <v>46008</v>
      </c>
      <c r="F8" s="631">
        <v>1</v>
      </c>
      <c r="G8" s="631">
        <v>1</v>
      </c>
      <c r="H8" s="631" t="s">
        <v>368</v>
      </c>
      <c r="I8" s="632">
        <v>46066</v>
      </c>
      <c r="J8" s="632">
        <v>46066</v>
      </c>
      <c r="K8" s="653">
        <v>1</v>
      </c>
      <c r="L8" s="653">
        <v>1</v>
      </c>
      <c r="M8" s="631" t="s">
        <v>368</v>
      </c>
      <c r="N8" s="412">
        <f>All_Detail_v29[[#This Row],[Qty. Success]]</f>
        <v>1</v>
      </c>
      <c r="O8" s="412">
        <f>All_Detail_v29[[#This Row],[Qty. Success2]]</f>
        <v>1</v>
      </c>
      <c r="P8" s="230">
        <f>IF(All_Detail_v29[[#This Row],[Qty]]=0,1,(N8+O8)/(All_Detail_v29[[#This Row],[Qty]]*2))</f>
        <v>1</v>
      </c>
      <c r="Q8" s="195"/>
      <c r="R8" s="414">
        <f>All_Detail_v29[[#This Row],[Cabling Date (S)]]</f>
        <v>46008</v>
      </c>
      <c r="S8" s="414">
        <f>All_Detail_v29[[#This Row],[Cabling Date (A)]]</f>
        <v>46008</v>
      </c>
      <c r="T8" s="414">
        <f>All_Detail_v29[[#This Row],[Coring Date (S)]]</f>
        <v>46066</v>
      </c>
      <c r="U8" s="414">
        <f>All_Detail_v29[[#This Row],[Coring Date (A)]]</f>
        <v>46066</v>
      </c>
    </row>
    <row r="9" spans="1:21">
      <c r="A9">
        <v>19</v>
      </c>
      <c r="B9" s="630" t="s">
        <v>1284</v>
      </c>
      <c r="C9" s="650" t="s">
        <v>735</v>
      </c>
      <c r="D9" s="632">
        <v>45969</v>
      </c>
      <c r="E9" s="632">
        <v>45969</v>
      </c>
      <c r="F9" s="631">
        <v>1</v>
      </c>
      <c r="G9" s="631">
        <v>1</v>
      </c>
      <c r="H9" s="631" t="s">
        <v>368</v>
      </c>
      <c r="I9" s="632">
        <v>46045</v>
      </c>
      <c r="J9" s="632">
        <v>46045</v>
      </c>
      <c r="K9" s="653">
        <v>1</v>
      </c>
      <c r="L9" s="653">
        <v>1</v>
      </c>
      <c r="M9" s="631" t="s">
        <v>368</v>
      </c>
      <c r="N9" s="412">
        <f>All_Detail_v29[[#This Row],[Qty. Success]]</f>
        <v>1</v>
      </c>
      <c r="O9" s="412">
        <f>All_Detail_v29[[#This Row],[Qty. Success2]]</f>
        <v>1</v>
      </c>
      <c r="P9" s="230">
        <f>IF(All_Detail_v29[[#This Row],[Qty]]=0,1,(N9+O9)/(All_Detail_v29[[#This Row],[Qty]]*2))</f>
        <v>1</v>
      </c>
      <c r="Q9" s="195"/>
      <c r="R9" s="414">
        <f>All_Detail_v29[[#This Row],[Cabling Date (S)]]</f>
        <v>45969</v>
      </c>
      <c r="S9" s="414">
        <f>All_Detail_v29[[#This Row],[Cabling Date (A)]]</f>
        <v>45969</v>
      </c>
      <c r="T9" s="414">
        <f>All_Detail_v29[[#This Row],[Coring Date (S)]]</f>
        <v>46045</v>
      </c>
      <c r="U9" s="414">
        <f>All_Detail_v29[[#This Row],[Coring Date (A)]]</f>
        <v>46045</v>
      </c>
    </row>
    <row r="10" spans="1:21">
      <c r="A10">
        <v>3</v>
      </c>
      <c r="B10" s="630" t="s">
        <v>1285</v>
      </c>
      <c r="C10" s="650" t="s">
        <v>494</v>
      </c>
      <c r="D10" s="632">
        <v>45987</v>
      </c>
      <c r="E10" s="632">
        <v>45987</v>
      </c>
      <c r="F10" s="631">
        <v>1</v>
      </c>
      <c r="G10" s="631">
        <v>1</v>
      </c>
      <c r="H10" s="631" t="s">
        <v>368</v>
      </c>
      <c r="I10" s="632">
        <v>46101</v>
      </c>
      <c r="J10" s="632"/>
      <c r="K10" s="653">
        <v>1</v>
      </c>
      <c r="L10" s="653"/>
      <c r="M10" s="653" t="s">
        <v>143</v>
      </c>
      <c r="N10" s="412">
        <f>All_Detail_v29[[#This Row],[Qty. Success]]</f>
        <v>1</v>
      </c>
      <c r="O10" s="412">
        <f>All_Detail_v29[[#This Row],[Qty. Success2]]</f>
        <v>0</v>
      </c>
      <c r="P10" s="230">
        <f>IF(All_Detail_v29[[#This Row],[Qty]]=0,1,(N10+O10)/(All_Detail_v29[[#This Row],[Qty]]*2))</f>
        <v>0.5</v>
      </c>
      <c r="Q10" s="195"/>
      <c r="R10" s="414">
        <f>All_Detail_v29[[#This Row],[Cabling Date (S)]]</f>
        <v>45987</v>
      </c>
      <c r="S10" s="414">
        <f>All_Detail_v29[[#This Row],[Cabling Date (A)]]</f>
        <v>45987</v>
      </c>
      <c r="T10" s="414">
        <f>All_Detail_v29[[#This Row],[Coring Date (S)]]</f>
        <v>46101</v>
      </c>
      <c r="U10" s="414">
        <f>All_Detail_v29[[#This Row],[Coring Date (A)]]</f>
        <v>0</v>
      </c>
    </row>
    <row r="11" spans="1:21">
      <c r="A11">
        <v>4</v>
      </c>
      <c r="B11" s="630" t="s">
        <v>1286</v>
      </c>
      <c r="C11" s="650" t="s">
        <v>494</v>
      </c>
      <c r="D11" s="632">
        <v>45988</v>
      </c>
      <c r="E11" s="632">
        <v>45988</v>
      </c>
      <c r="F11" s="631">
        <v>1</v>
      </c>
      <c r="G11" s="631">
        <v>1</v>
      </c>
      <c r="H11" s="631" t="s">
        <v>368</v>
      </c>
      <c r="I11" s="632">
        <v>46107</v>
      </c>
      <c r="J11" s="651"/>
      <c r="K11" s="653">
        <v>1</v>
      </c>
      <c r="L11" s="653"/>
      <c r="M11" s="653" t="s">
        <v>143</v>
      </c>
      <c r="N11" s="412">
        <f>All_Detail_v29[[#This Row],[Qty. Success]]</f>
        <v>1</v>
      </c>
      <c r="O11" s="412">
        <f>All_Detail_v29[[#This Row],[Qty. Success2]]</f>
        <v>0</v>
      </c>
      <c r="P11" s="230">
        <f>IF(All_Detail_v29[[#This Row],[Qty]]=0,1,(N11+O11)/(All_Detail_v29[[#This Row],[Qty]]*2))</f>
        <v>0.5</v>
      </c>
      <c r="Q11" s="195"/>
      <c r="R11" s="414">
        <f>All_Detail_v29[[#This Row],[Cabling Date (S)]]</f>
        <v>45988</v>
      </c>
      <c r="S11" s="414">
        <f>All_Detail_v29[[#This Row],[Cabling Date (A)]]</f>
        <v>45988</v>
      </c>
      <c r="T11" s="414">
        <f>All_Detail_v29[[#This Row],[Coring Date (S)]]</f>
        <v>46107</v>
      </c>
      <c r="U11" s="414">
        <f>All_Detail_v29[[#This Row],[Coring Date (A)]]</f>
        <v>0</v>
      </c>
    </row>
    <row r="12" spans="1:21">
      <c r="A12">
        <v>5</v>
      </c>
      <c r="B12" s="630" t="s">
        <v>1287</v>
      </c>
      <c r="C12" s="650" t="s">
        <v>494</v>
      </c>
      <c r="D12" s="632">
        <v>45989</v>
      </c>
      <c r="E12" s="632">
        <v>45989</v>
      </c>
      <c r="F12" s="631">
        <v>1</v>
      </c>
      <c r="G12" s="631">
        <v>1</v>
      </c>
      <c r="H12" s="631" t="s">
        <v>368</v>
      </c>
      <c r="I12" s="632">
        <v>46108</v>
      </c>
      <c r="J12" s="651"/>
      <c r="K12" s="653">
        <v>1</v>
      </c>
      <c r="L12" s="653"/>
      <c r="M12" s="653" t="s">
        <v>143</v>
      </c>
      <c r="N12" s="412">
        <f>All_Detail_v29[[#This Row],[Qty. Success]]</f>
        <v>1</v>
      </c>
      <c r="O12" s="412">
        <f>All_Detail_v29[[#This Row],[Qty. Success2]]</f>
        <v>0</v>
      </c>
      <c r="P12" s="230">
        <f>IF(All_Detail_v29[[#This Row],[Qty]]=0,1,(N12+O12)/(All_Detail_v29[[#This Row],[Qty]]*2))</f>
        <v>0.5</v>
      </c>
      <c r="Q12" s="195"/>
      <c r="R12" s="414">
        <f>All_Detail_v29[[#This Row],[Cabling Date (S)]]</f>
        <v>45989</v>
      </c>
      <c r="S12" s="414">
        <f>All_Detail_v29[[#This Row],[Cabling Date (A)]]</f>
        <v>45989</v>
      </c>
      <c r="T12" s="414">
        <f>All_Detail_v29[[#This Row],[Coring Date (S)]]</f>
        <v>46108</v>
      </c>
      <c r="U12" s="414">
        <f>All_Detail_v29[[#This Row],[Coring Date (A)]]</f>
        <v>0</v>
      </c>
    </row>
    <row r="13" spans="1:21">
      <c r="A13">
        <v>6</v>
      </c>
      <c r="B13" s="630" t="s">
        <v>1288</v>
      </c>
      <c r="C13" s="650" t="s">
        <v>494</v>
      </c>
      <c r="D13" s="632">
        <v>45992</v>
      </c>
      <c r="E13" s="632">
        <v>45992</v>
      </c>
      <c r="F13" s="631">
        <v>1</v>
      </c>
      <c r="G13" s="631">
        <v>1</v>
      </c>
      <c r="H13" s="631" t="s">
        <v>368</v>
      </c>
      <c r="I13" s="632">
        <v>46114</v>
      </c>
      <c r="J13" s="651"/>
      <c r="K13" s="653">
        <v>1</v>
      </c>
      <c r="L13" s="653"/>
      <c r="M13" s="653" t="s">
        <v>143</v>
      </c>
      <c r="N13" s="412">
        <f>All_Detail_v29[[#This Row],[Qty. Success]]</f>
        <v>1</v>
      </c>
      <c r="O13" s="412">
        <f>All_Detail_v29[[#This Row],[Qty. Success2]]</f>
        <v>0</v>
      </c>
      <c r="P13" s="230">
        <f>IF(All_Detail_v29[[#This Row],[Qty]]=0,1,(N13+O13)/(All_Detail_v29[[#This Row],[Qty]]*2))</f>
        <v>0.5</v>
      </c>
      <c r="Q13" s="195"/>
      <c r="R13" s="414">
        <f>All_Detail_v29[[#This Row],[Cabling Date (S)]]</f>
        <v>45992</v>
      </c>
      <c r="S13" s="414">
        <f>All_Detail_v29[[#This Row],[Cabling Date (A)]]</f>
        <v>45992</v>
      </c>
      <c r="T13" s="414">
        <f>All_Detail_v29[[#This Row],[Coring Date (S)]]</f>
        <v>46114</v>
      </c>
      <c r="U13" s="414">
        <f>All_Detail_v29[[#This Row],[Coring Date (A)]]</f>
        <v>0</v>
      </c>
    </row>
    <row r="14" spans="1:21">
      <c r="A14">
        <v>9</v>
      </c>
      <c r="B14" s="630" t="s">
        <v>1289</v>
      </c>
      <c r="C14" s="650" t="s">
        <v>494</v>
      </c>
      <c r="D14" s="632">
        <v>45997</v>
      </c>
      <c r="E14" s="632">
        <v>45997</v>
      </c>
      <c r="F14" s="631">
        <v>1</v>
      </c>
      <c r="G14" s="631">
        <v>1</v>
      </c>
      <c r="H14" s="631" t="s">
        <v>368</v>
      </c>
      <c r="I14" s="632">
        <v>46115</v>
      </c>
      <c r="J14" s="651"/>
      <c r="K14" s="653">
        <v>1</v>
      </c>
      <c r="L14" s="653"/>
      <c r="M14" s="653" t="s">
        <v>143</v>
      </c>
      <c r="N14" s="412">
        <f>All_Detail_v29[[#This Row],[Qty. Success]]</f>
        <v>1</v>
      </c>
      <c r="O14" s="412">
        <f>All_Detail_v29[[#This Row],[Qty. Success2]]</f>
        <v>0</v>
      </c>
      <c r="P14" s="230">
        <f>IF(All_Detail_v29[[#This Row],[Qty]]=0,1,(N14+O14)/(All_Detail_v29[[#This Row],[Qty]]*2))</f>
        <v>0.5</v>
      </c>
      <c r="Q14" s="195"/>
      <c r="R14" s="414">
        <f>All_Detail_v29[[#This Row],[Cabling Date (S)]]</f>
        <v>45997</v>
      </c>
      <c r="S14" s="414">
        <f>All_Detail_v29[[#This Row],[Cabling Date (A)]]</f>
        <v>45997</v>
      </c>
      <c r="T14" s="414">
        <f>All_Detail_v29[[#This Row],[Coring Date (S)]]</f>
        <v>46115</v>
      </c>
      <c r="U14" s="414">
        <f>All_Detail_v29[[#This Row],[Coring Date (A)]]</f>
        <v>0</v>
      </c>
    </row>
    <row r="15" spans="1:21">
      <c r="A15">
        <v>10</v>
      </c>
      <c r="B15" s="630" t="s">
        <v>1290</v>
      </c>
      <c r="C15" s="650" t="s">
        <v>494</v>
      </c>
      <c r="D15" s="632">
        <v>45998</v>
      </c>
      <c r="E15" s="632">
        <v>45998</v>
      </c>
      <c r="F15" s="631">
        <v>1</v>
      </c>
      <c r="G15" s="631">
        <v>1</v>
      </c>
      <c r="H15" s="631" t="s">
        <v>368</v>
      </c>
      <c r="I15" s="632">
        <v>46121</v>
      </c>
      <c r="J15" s="651"/>
      <c r="K15" s="653">
        <v>1</v>
      </c>
      <c r="L15" s="653"/>
      <c r="M15" s="653" t="s">
        <v>143</v>
      </c>
      <c r="N15" s="412">
        <f>All_Detail_v29[[#This Row],[Qty. Success]]</f>
        <v>1</v>
      </c>
      <c r="O15" s="412">
        <f>All_Detail_v29[[#This Row],[Qty. Success2]]</f>
        <v>0</v>
      </c>
      <c r="P15" s="230">
        <f>IF(All_Detail_v29[[#This Row],[Qty]]=0,1,(N15+O15)/(All_Detail_v29[[#This Row],[Qty]]*2))</f>
        <v>0.5</v>
      </c>
      <c r="Q15" s="195"/>
      <c r="R15" s="414">
        <f>All_Detail_v29[[#This Row],[Cabling Date (S)]]</f>
        <v>45998</v>
      </c>
      <c r="S15" s="414">
        <f>All_Detail_v29[[#This Row],[Cabling Date (A)]]</f>
        <v>45998</v>
      </c>
      <c r="T15" s="414">
        <f>All_Detail_v29[[#This Row],[Coring Date (S)]]</f>
        <v>46121</v>
      </c>
      <c r="U15" s="414">
        <f>All_Detail_v29[[#This Row],[Coring Date (A)]]</f>
        <v>0</v>
      </c>
    </row>
    <row r="16" spans="1:21">
      <c r="A16">
        <v>11</v>
      </c>
      <c r="B16" s="630" t="s">
        <v>1291</v>
      </c>
      <c r="C16" s="650" t="s">
        <v>408</v>
      </c>
      <c r="D16" s="632">
        <v>46036</v>
      </c>
      <c r="E16" s="632">
        <v>46036</v>
      </c>
      <c r="F16" s="631">
        <v>1</v>
      </c>
      <c r="G16" s="631">
        <v>1</v>
      </c>
      <c r="H16" s="631" t="s">
        <v>368</v>
      </c>
      <c r="I16" s="632">
        <v>46177</v>
      </c>
      <c r="J16" s="651"/>
      <c r="K16" s="653">
        <v>1</v>
      </c>
      <c r="L16" s="653"/>
      <c r="M16" s="653" t="s">
        <v>143</v>
      </c>
      <c r="N16" s="412">
        <f>All_Detail_v29[[#This Row],[Qty. Success]]</f>
        <v>1</v>
      </c>
      <c r="O16" s="412">
        <f>All_Detail_v29[[#This Row],[Qty. Success2]]</f>
        <v>0</v>
      </c>
      <c r="P16" s="230">
        <f>IF(All_Detail_v29[[#This Row],[Qty]]=0,1,(N16+O16)/(All_Detail_v29[[#This Row],[Qty]]*2))</f>
        <v>0.5</v>
      </c>
      <c r="Q16" s="195"/>
      <c r="R16" s="414">
        <f>All_Detail_v29[[#This Row],[Cabling Date (S)]]</f>
        <v>46036</v>
      </c>
      <c r="S16" s="414">
        <f>All_Detail_v29[[#This Row],[Cabling Date (A)]]</f>
        <v>46036</v>
      </c>
      <c r="T16" s="414">
        <f>All_Detail_v29[[#This Row],[Coring Date (S)]]</f>
        <v>46177</v>
      </c>
      <c r="U16" s="414">
        <f>All_Detail_v29[[#This Row],[Coring Date (A)]]</f>
        <v>0</v>
      </c>
    </row>
    <row r="17" spans="1:21">
      <c r="A17">
        <v>12</v>
      </c>
      <c r="B17" s="630" t="s">
        <v>1292</v>
      </c>
      <c r="C17" s="650" t="s">
        <v>408</v>
      </c>
      <c r="D17" s="632">
        <v>46037</v>
      </c>
      <c r="E17" s="632">
        <v>46037</v>
      </c>
      <c r="F17" s="631">
        <v>1</v>
      </c>
      <c r="G17" s="631">
        <v>1</v>
      </c>
      <c r="H17" s="631" t="s">
        <v>368</v>
      </c>
      <c r="I17" s="632">
        <v>46178</v>
      </c>
      <c r="J17" s="651"/>
      <c r="K17" s="653">
        <v>1</v>
      </c>
      <c r="L17" s="653"/>
      <c r="M17" s="653" t="s">
        <v>143</v>
      </c>
      <c r="N17" s="412">
        <f>All_Detail_v29[[#This Row],[Qty. Success]]</f>
        <v>1</v>
      </c>
      <c r="O17" s="412">
        <f>All_Detail_v29[[#This Row],[Qty. Success2]]</f>
        <v>0</v>
      </c>
      <c r="P17" s="230">
        <f>IF(All_Detail_v29[[#This Row],[Qty]]=0,1,(N17+O17)/(All_Detail_v29[[#This Row],[Qty]]*2))</f>
        <v>0.5</v>
      </c>
      <c r="Q17" s="195"/>
      <c r="R17" s="414">
        <f>All_Detail_v29[[#This Row],[Cabling Date (S)]]</f>
        <v>46037</v>
      </c>
      <c r="S17" s="414">
        <f>All_Detail_v29[[#This Row],[Cabling Date (A)]]</f>
        <v>46037</v>
      </c>
      <c r="T17" s="414">
        <f>All_Detail_v29[[#This Row],[Coring Date (S)]]</f>
        <v>46178</v>
      </c>
      <c r="U17" s="414">
        <f>All_Detail_v29[[#This Row],[Coring Date (A)]]</f>
        <v>0</v>
      </c>
    </row>
    <row r="18" spans="1:21">
      <c r="A18">
        <v>13</v>
      </c>
      <c r="B18" s="630" t="s">
        <v>1293</v>
      </c>
      <c r="C18" s="650" t="s">
        <v>408</v>
      </c>
      <c r="D18" s="632">
        <v>46038</v>
      </c>
      <c r="E18" s="632">
        <v>46038</v>
      </c>
      <c r="F18" s="631">
        <v>1</v>
      </c>
      <c r="G18" s="631">
        <v>1</v>
      </c>
      <c r="H18" s="631" t="s">
        <v>368</v>
      </c>
      <c r="I18" s="632">
        <v>46184</v>
      </c>
      <c r="J18" s="651"/>
      <c r="K18" s="653">
        <v>1</v>
      </c>
      <c r="L18" s="653"/>
      <c r="M18" s="653" t="s">
        <v>143</v>
      </c>
      <c r="N18" s="412">
        <f>All_Detail_v29[[#This Row],[Qty. Success]]</f>
        <v>1</v>
      </c>
      <c r="O18" s="412">
        <f>All_Detail_v29[[#This Row],[Qty. Success2]]</f>
        <v>0</v>
      </c>
      <c r="P18" s="230">
        <f>IF(All_Detail_v29[[#This Row],[Qty]]=0,1,(N18+O18)/(All_Detail_v29[[#This Row],[Qty]]*2))</f>
        <v>0.5</v>
      </c>
      <c r="Q18" s="195"/>
      <c r="R18" s="414">
        <f>All_Detail_v29[[#This Row],[Cabling Date (S)]]</f>
        <v>46038</v>
      </c>
      <c r="S18" s="414">
        <f>All_Detail_v29[[#This Row],[Cabling Date (A)]]</f>
        <v>46038</v>
      </c>
      <c r="T18" s="414">
        <f>All_Detail_v29[[#This Row],[Coring Date (S)]]</f>
        <v>46184</v>
      </c>
      <c r="U18" s="414">
        <f>All_Detail_v29[[#This Row],[Coring Date (A)]]</f>
        <v>0</v>
      </c>
    </row>
    <row r="19" spans="1:21">
      <c r="A19">
        <v>14</v>
      </c>
      <c r="B19" s="630" t="s">
        <v>1294</v>
      </c>
      <c r="C19" s="650" t="s">
        <v>408</v>
      </c>
      <c r="D19" s="632">
        <v>46039</v>
      </c>
      <c r="E19" s="632">
        <v>46039</v>
      </c>
      <c r="F19" s="631">
        <v>1</v>
      </c>
      <c r="G19" s="631">
        <v>1</v>
      </c>
      <c r="H19" s="631" t="s">
        <v>368</v>
      </c>
      <c r="I19" s="632">
        <v>46185</v>
      </c>
      <c r="J19" s="651"/>
      <c r="K19" s="653">
        <v>1</v>
      </c>
      <c r="L19" s="653"/>
      <c r="M19" s="653" t="s">
        <v>143</v>
      </c>
      <c r="N19" s="412">
        <f>All_Detail_v29[[#This Row],[Qty. Success]]</f>
        <v>1</v>
      </c>
      <c r="O19" s="412">
        <f>All_Detail_v29[[#This Row],[Qty. Success2]]</f>
        <v>0</v>
      </c>
      <c r="P19" s="230">
        <f>IF(All_Detail_v29[[#This Row],[Qty]]=0,1,(N19+O19)/(All_Detail_v29[[#This Row],[Qty]]*2))</f>
        <v>0.5</v>
      </c>
      <c r="Q19" s="195"/>
      <c r="R19" s="414">
        <f>All_Detail_v29[[#This Row],[Cabling Date (S)]]</f>
        <v>46039</v>
      </c>
      <c r="S19" s="414">
        <f>All_Detail_v29[[#This Row],[Cabling Date (A)]]</f>
        <v>46039</v>
      </c>
      <c r="T19" s="414">
        <f>All_Detail_v29[[#This Row],[Coring Date (S)]]</f>
        <v>46185</v>
      </c>
      <c r="U19" s="414">
        <f>All_Detail_v29[[#This Row],[Coring Date (A)]]</f>
        <v>0</v>
      </c>
    </row>
    <row r="20" spans="1:21">
      <c r="A20">
        <v>15</v>
      </c>
      <c r="B20" s="630" t="s">
        <v>1295</v>
      </c>
      <c r="C20" s="650" t="s">
        <v>408</v>
      </c>
      <c r="D20" s="632">
        <v>46040</v>
      </c>
      <c r="E20" s="632">
        <v>46040</v>
      </c>
      <c r="F20" s="631">
        <v>1</v>
      </c>
      <c r="G20" s="631">
        <v>1</v>
      </c>
      <c r="H20" s="631" t="s">
        <v>368</v>
      </c>
      <c r="I20" s="632">
        <v>46191</v>
      </c>
      <c r="J20" s="651"/>
      <c r="K20" s="653">
        <v>1</v>
      </c>
      <c r="L20" s="653"/>
      <c r="M20" s="809" t="s">
        <v>143</v>
      </c>
      <c r="N20" s="412">
        <f>All_Detail_v29[[#This Row],[Qty. Success]]</f>
        <v>1</v>
      </c>
      <c r="O20" s="412">
        <f>All_Detail_v29[[#This Row],[Qty. Success2]]</f>
        <v>0</v>
      </c>
      <c r="P20" s="230">
        <f>IF(All_Detail_v29[[#This Row],[Qty]]=0,1,(N20+O20)/(All_Detail_v29[[#This Row],[Qty]]*2))</f>
        <v>0.5</v>
      </c>
      <c r="Q20" s="195"/>
      <c r="R20" s="414">
        <f>All_Detail_v29[[#This Row],[Cabling Date (S)]]</f>
        <v>46040</v>
      </c>
      <c r="S20" s="414">
        <f>All_Detail_v29[[#This Row],[Cabling Date (A)]]</f>
        <v>46040</v>
      </c>
      <c r="T20" s="414">
        <f>All_Detail_v29[[#This Row],[Coring Date (S)]]</f>
        <v>46191</v>
      </c>
      <c r="U20" s="414">
        <f>All_Detail_v29[[#This Row],[Coring Date (A)]]</f>
        <v>0</v>
      </c>
    </row>
    <row r="21" spans="1:21">
      <c r="A21">
        <v>16</v>
      </c>
      <c r="B21" s="630" t="s">
        <v>1296</v>
      </c>
      <c r="C21" s="650" t="s">
        <v>408</v>
      </c>
      <c r="D21" s="632">
        <v>46041</v>
      </c>
      <c r="E21" s="632">
        <v>46041</v>
      </c>
      <c r="F21" s="631">
        <v>1</v>
      </c>
      <c r="G21" s="631">
        <v>1</v>
      </c>
      <c r="H21" s="631" t="s">
        <v>368</v>
      </c>
      <c r="I21" s="632">
        <v>46192</v>
      </c>
      <c r="J21" s="651"/>
      <c r="K21" s="653">
        <v>1</v>
      </c>
      <c r="L21" s="653"/>
      <c r="M21" s="653" t="s">
        <v>143</v>
      </c>
      <c r="N21" s="412">
        <f>All_Detail_v29[[#This Row],[Qty. Success]]</f>
        <v>1</v>
      </c>
      <c r="O21" s="412">
        <f>All_Detail_v29[[#This Row],[Qty. Success2]]</f>
        <v>0</v>
      </c>
      <c r="P21" s="230">
        <f>IF(All_Detail_v29[[#This Row],[Qty]]=0,1,(N21+O21)/(All_Detail_v29[[#This Row],[Qty]]*2))</f>
        <v>0.5</v>
      </c>
      <c r="Q21" s="195"/>
      <c r="R21" s="414">
        <f>All_Detail_v29[[#This Row],[Cabling Date (S)]]</f>
        <v>46041</v>
      </c>
      <c r="S21" s="414">
        <f>All_Detail_v29[[#This Row],[Cabling Date (A)]]</f>
        <v>46041</v>
      </c>
      <c r="T21" s="414">
        <f>All_Detail_v29[[#This Row],[Coring Date (S)]]</f>
        <v>46192</v>
      </c>
      <c r="U21" s="414">
        <f>All_Detail_v29[[#This Row],[Coring Date (A)]]</f>
        <v>0</v>
      </c>
    </row>
    <row r="22" spans="1:21">
      <c r="A22">
        <v>17</v>
      </c>
      <c r="B22" s="630" t="s">
        <v>1297</v>
      </c>
      <c r="C22" s="650" t="s">
        <v>408</v>
      </c>
      <c r="D22" s="632">
        <v>46042</v>
      </c>
      <c r="E22" s="632">
        <v>46042</v>
      </c>
      <c r="F22" s="631">
        <v>1</v>
      </c>
      <c r="G22" s="631">
        <v>1</v>
      </c>
      <c r="H22" s="631" t="s">
        <v>368</v>
      </c>
      <c r="I22" s="632">
        <v>46198</v>
      </c>
      <c r="J22" s="651"/>
      <c r="K22" s="653">
        <v>1</v>
      </c>
      <c r="L22" s="653"/>
      <c r="M22" s="653" t="s">
        <v>143</v>
      </c>
      <c r="N22" s="412">
        <f>All_Detail_v29[[#This Row],[Qty. Success]]</f>
        <v>1</v>
      </c>
      <c r="O22" s="412">
        <f>All_Detail_v29[[#This Row],[Qty. Success2]]</f>
        <v>0</v>
      </c>
      <c r="P22" s="230">
        <f>IF(All_Detail_v29[[#This Row],[Qty]]=0,1,(N22+O22)/(All_Detail_v29[[#This Row],[Qty]]*2))</f>
        <v>0.5</v>
      </c>
      <c r="Q22" s="195"/>
      <c r="R22" s="414">
        <f>All_Detail_v29[[#This Row],[Cabling Date (S)]]</f>
        <v>46042</v>
      </c>
      <c r="S22" s="414">
        <f>All_Detail_v29[[#This Row],[Cabling Date (A)]]</f>
        <v>46042</v>
      </c>
      <c r="T22" s="414">
        <f>All_Detail_v29[[#This Row],[Coring Date (S)]]</f>
        <v>46198</v>
      </c>
      <c r="U22" s="414">
        <f>All_Detail_v29[[#This Row],[Coring Date (A)]]</f>
        <v>0</v>
      </c>
    </row>
    <row r="23" spans="1:21">
      <c r="A23">
        <v>18</v>
      </c>
      <c r="B23" s="630" t="s">
        <v>1298</v>
      </c>
      <c r="C23" s="650" t="s">
        <v>408</v>
      </c>
      <c r="D23" s="632">
        <v>46043</v>
      </c>
      <c r="E23" s="632">
        <v>46043</v>
      </c>
      <c r="F23" s="631">
        <v>1</v>
      </c>
      <c r="G23" s="631">
        <v>1</v>
      </c>
      <c r="H23" s="631" t="s">
        <v>368</v>
      </c>
      <c r="I23" s="632">
        <v>46199</v>
      </c>
      <c r="J23" s="651"/>
      <c r="K23" s="653">
        <v>1</v>
      </c>
      <c r="L23" s="653"/>
      <c r="M23" s="653" t="s">
        <v>143</v>
      </c>
      <c r="N23" s="412">
        <f>All_Detail_v29[[#This Row],[Qty. Success]]</f>
        <v>1</v>
      </c>
      <c r="O23" s="412">
        <f>All_Detail_v29[[#This Row],[Qty. Success2]]</f>
        <v>0</v>
      </c>
      <c r="P23" s="230">
        <f>IF(All_Detail_v29[[#This Row],[Qty]]=0,1,(N23+O23)/(All_Detail_v29[[#This Row],[Qty]]*2))</f>
        <v>0.5</v>
      </c>
      <c r="Q23" s="195"/>
      <c r="R23" s="414">
        <f>All_Detail_v29[[#This Row],[Cabling Date (S)]]</f>
        <v>46043</v>
      </c>
      <c r="S23" s="414">
        <f>All_Detail_v29[[#This Row],[Cabling Date (A)]]</f>
        <v>46043</v>
      </c>
      <c r="T23" s="414">
        <f>All_Detail_v29[[#This Row],[Coring Date (S)]]</f>
        <v>46199</v>
      </c>
      <c r="U23" s="414">
        <f>All_Detail_v29[[#This Row],[Coring Date (A)]]</f>
        <v>0</v>
      </c>
    </row>
    <row r="24" spans="1:21">
      <c r="A24">
        <v>20</v>
      </c>
      <c r="B24" s="630" t="s">
        <v>1299</v>
      </c>
      <c r="C24" s="650" t="s">
        <v>735</v>
      </c>
      <c r="D24" s="632">
        <v>45970</v>
      </c>
      <c r="E24" s="632">
        <v>45970</v>
      </c>
      <c r="F24" s="631">
        <v>1</v>
      </c>
      <c r="G24" s="631">
        <v>1</v>
      </c>
      <c r="H24" s="631" t="s">
        <v>368</v>
      </c>
      <c r="I24" s="632">
        <v>46122</v>
      </c>
      <c r="J24" s="651"/>
      <c r="K24" s="653">
        <v>1</v>
      </c>
      <c r="L24" s="653"/>
      <c r="M24" s="809" t="s">
        <v>143</v>
      </c>
      <c r="N24" s="412">
        <f>All_Detail_v29[[#This Row],[Qty. Success]]</f>
        <v>1</v>
      </c>
      <c r="O24" s="412">
        <f>All_Detail_v29[[#This Row],[Qty. Success2]]</f>
        <v>0</v>
      </c>
      <c r="P24" s="230">
        <f>IF(All_Detail_v29[[#This Row],[Qty]]=0,1,(N24+O24)/(All_Detail_v29[[#This Row],[Qty]]*2))</f>
        <v>0.5</v>
      </c>
      <c r="Q24" s="195"/>
      <c r="R24" s="414">
        <f>All_Detail_v29[[#This Row],[Cabling Date (S)]]</f>
        <v>45970</v>
      </c>
      <c r="S24" s="414">
        <f>All_Detail_v29[[#This Row],[Cabling Date (A)]]</f>
        <v>45970</v>
      </c>
      <c r="T24" s="414">
        <f>All_Detail_v29[[#This Row],[Coring Date (S)]]</f>
        <v>46122</v>
      </c>
      <c r="U24" s="414">
        <f>All_Detail_v29[[#This Row],[Coring Date (A)]]</f>
        <v>0</v>
      </c>
    </row>
    <row r="25" spans="1:21">
      <c r="A25">
        <v>21</v>
      </c>
      <c r="B25" s="630" t="s">
        <v>1300</v>
      </c>
      <c r="C25" s="650" t="s">
        <v>735</v>
      </c>
      <c r="D25" s="632">
        <v>45976</v>
      </c>
      <c r="E25" s="632">
        <v>45976</v>
      </c>
      <c r="F25" s="631">
        <v>1</v>
      </c>
      <c r="G25" s="631">
        <v>1</v>
      </c>
      <c r="H25" s="631" t="s">
        <v>368</v>
      </c>
      <c r="I25" s="632">
        <v>46135</v>
      </c>
      <c r="J25" s="651"/>
      <c r="K25" s="653">
        <v>1</v>
      </c>
      <c r="L25" s="653"/>
      <c r="M25" s="809" t="s">
        <v>143</v>
      </c>
      <c r="N25" s="412">
        <f>All_Detail_v29[[#This Row],[Qty. Success]]</f>
        <v>1</v>
      </c>
      <c r="O25" s="412">
        <f>All_Detail_v29[[#This Row],[Qty. Success2]]</f>
        <v>0</v>
      </c>
      <c r="P25" s="230">
        <f>IF(All_Detail_v29[[#This Row],[Qty]]=0,1,(N25+O25)/(All_Detail_v29[[#This Row],[Qty]]*2))</f>
        <v>0.5</v>
      </c>
      <c r="Q25" s="195"/>
      <c r="R25" s="414">
        <f>All_Detail_v29[[#This Row],[Cabling Date (S)]]</f>
        <v>45976</v>
      </c>
      <c r="S25" s="414">
        <f>All_Detail_v29[[#This Row],[Cabling Date (A)]]</f>
        <v>45976</v>
      </c>
      <c r="T25" s="414">
        <f>All_Detail_v29[[#This Row],[Coring Date (S)]]</f>
        <v>46135</v>
      </c>
      <c r="U25" s="414">
        <f>All_Detail_v29[[#This Row],[Coring Date (A)]]</f>
        <v>0</v>
      </c>
    </row>
    <row r="26" spans="1:21">
      <c r="A26">
        <v>22</v>
      </c>
      <c r="B26" s="630" t="s">
        <v>1301</v>
      </c>
      <c r="C26" s="650" t="s">
        <v>735</v>
      </c>
      <c r="D26" s="632">
        <v>45977</v>
      </c>
      <c r="E26" s="632">
        <v>45977</v>
      </c>
      <c r="F26" s="631">
        <v>1</v>
      </c>
      <c r="G26" s="631">
        <v>1</v>
      </c>
      <c r="H26" s="631" t="s">
        <v>368</v>
      </c>
      <c r="I26" s="632">
        <v>46136</v>
      </c>
      <c r="J26" s="651"/>
      <c r="K26" s="653">
        <v>1</v>
      </c>
      <c r="L26" s="653"/>
      <c r="M26" s="653" t="s">
        <v>143</v>
      </c>
      <c r="N26" s="412">
        <f>All_Detail_v29[[#This Row],[Qty. Success]]</f>
        <v>1</v>
      </c>
      <c r="O26" s="412">
        <f>All_Detail_v29[[#This Row],[Qty. Success2]]</f>
        <v>0</v>
      </c>
      <c r="P26" s="230">
        <f>IF(All_Detail_v29[[#This Row],[Qty]]=0,1,(N26+O26)/(All_Detail_v29[[#This Row],[Qty]]*2))</f>
        <v>0.5</v>
      </c>
      <c r="Q26" s="195"/>
      <c r="R26" s="414">
        <f>All_Detail_v29[[#This Row],[Cabling Date (S)]]</f>
        <v>45977</v>
      </c>
      <c r="S26" s="414">
        <f>All_Detail_v29[[#This Row],[Cabling Date (A)]]</f>
        <v>45977</v>
      </c>
      <c r="T26" s="414">
        <f>All_Detail_v29[[#This Row],[Coring Date (S)]]</f>
        <v>46136</v>
      </c>
      <c r="U26" s="414">
        <f>All_Detail_v29[[#This Row],[Coring Date (A)]]</f>
        <v>0</v>
      </c>
    </row>
    <row r="27" spans="1:21">
      <c r="A27">
        <v>25</v>
      </c>
      <c r="B27" s="630" t="s">
        <v>1302</v>
      </c>
      <c r="C27" s="650" t="s">
        <v>735</v>
      </c>
      <c r="D27" s="632">
        <v>46002</v>
      </c>
      <c r="E27" s="632">
        <v>46002</v>
      </c>
      <c r="F27" s="631">
        <v>1</v>
      </c>
      <c r="G27" s="631">
        <v>1</v>
      </c>
      <c r="H27" s="631" t="s">
        <v>368</v>
      </c>
      <c r="I27" s="632">
        <v>46142</v>
      </c>
      <c r="J27" s="651"/>
      <c r="K27" s="653">
        <v>1</v>
      </c>
      <c r="L27" s="653"/>
      <c r="M27" s="653" t="s">
        <v>143</v>
      </c>
      <c r="N27" s="412">
        <f>All_Detail_v29[[#This Row],[Qty. Success]]</f>
        <v>1</v>
      </c>
      <c r="O27" s="412">
        <f>All_Detail_v29[[#This Row],[Qty. Success2]]</f>
        <v>0</v>
      </c>
      <c r="P27" s="230">
        <f>IF(All_Detail_v29[[#This Row],[Qty]]=0,1,(N27+O27)/(All_Detail_v29[[#This Row],[Qty]]*2))</f>
        <v>0.5</v>
      </c>
      <c r="Q27" s="195"/>
      <c r="R27" s="414">
        <f>All_Detail_v29[[#This Row],[Cabling Date (S)]]</f>
        <v>46002</v>
      </c>
      <c r="S27" s="414">
        <f>All_Detail_v29[[#This Row],[Cabling Date (A)]]</f>
        <v>46002</v>
      </c>
      <c r="T27" s="414">
        <f>All_Detail_v29[[#This Row],[Coring Date (S)]]</f>
        <v>46142</v>
      </c>
      <c r="U27" s="414">
        <f>All_Detail_v29[[#This Row],[Coring Date (A)]]</f>
        <v>0</v>
      </c>
    </row>
    <row r="28" spans="1:21">
      <c r="A28">
        <v>26</v>
      </c>
      <c r="B28" s="630" t="s">
        <v>1303</v>
      </c>
      <c r="C28" s="650" t="s">
        <v>735</v>
      </c>
      <c r="D28" s="632">
        <v>46003</v>
      </c>
      <c r="E28" s="632">
        <v>46003</v>
      </c>
      <c r="F28" s="631">
        <v>1</v>
      </c>
      <c r="G28" s="631">
        <v>1</v>
      </c>
      <c r="H28" s="631" t="s">
        <v>368</v>
      </c>
      <c r="I28" s="632">
        <v>46143</v>
      </c>
      <c r="J28" s="651"/>
      <c r="K28" s="653">
        <v>1</v>
      </c>
      <c r="L28" s="653"/>
      <c r="M28" s="653" t="s">
        <v>143</v>
      </c>
      <c r="N28" s="412">
        <f>All_Detail_v29[[#This Row],[Qty. Success]]</f>
        <v>1</v>
      </c>
      <c r="O28" s="412">
        <f>All_Detail_v29[[#This Row],[Qty. Success2]]</f>
        <v>0</v>
      </c>
      <c r="P28" s="230">
        <f>IF(All_Detail_v29[[#This Row],[Qty]]=0,1,(N28+O28)/(All_Detail_v29[[#This Row],[Qty]]*2))</f>
        <v>0.5</v>
      </c>
      <c r="Q28" s="195"/>
      <c r="R28" s="414">
        <f>All_Detail_v29[[#This Row],[Cabling Date (S)]]</f>
        <v>46003</v>
      </c>
      <c r="S28" s="414">
        <f>All_Detail_v29[[#This Row],[Cabling Date (A)]]</f>
        <v>46003</v>
      </c>
      <c r="T28" s="414">
        <f>All_Detail_v29[[#This Row],[Coring Date (S)]]</f>
        <v>46143</v>
      </c>
      <c r="U28" s="414">
        <f>All_Detail_v29[[#This Row],[Coring Date (A)]]</f>
        <v>0</v>
      </c>
    </row>
    <row r="29" spans="1:21">
      <c r="A29">
        <v>27</v>
      </c>
      <c r="B29" s="630" t="s">
        <v>1304</v>
      </c>
      <c r="C29" s="650" t="s">
        <v>735</v>
      </c>
      <c r="D29" s="632">
        <v>46004</v>
      </c>
      <c r="E29" s="632">
        <v>46004</v>
      </c>
      <c r="F29" s="631">
        <v>1</v>
      </c>
      <c r="G29" s="631">
        <v>1</v>
      </c>
      <c r="H29" s="631" t="s">
        <v>368</v>
      </c>
      <c r="I29" s="632">
        <v>46149</v>
      </c>
      <c r="J29" s="651"/>
      <c r="K29" s="653">
        <v>1</v>
      </c>
      <c r="L29" s="653"/>
      <c r="M29" s="653" t="s">
        <v>143</v>
      </c>
      <c r="N29" s="412">
        <f>All_Detail_v29[[#This Row],[Qty. Success]]</f>
        <v>1</v>
      </c>
      <c r="O29" s="412">
        <f>All_Detail_v29[[#This Row],[Qty. Success2]]</f>
        <v>0</v>
      </c>
      <c r="P29" s="230">
        <f>IF(All_Detail_v29[[#This Row],[Qty]]=0,1,(N29+O29)/(All_Detail_v29[[#This Row],[Qty]]*2))</f>
        <v>0.5</v>
      </c>
      <c r="Q29" s="195"/>
      <c r="R29" s="414">
        <f>All_Detail_v29[[#This Row],[Cabling Date (S)]]</f>
        <v>46004</v>
      </c>
      <c r="S29" s="414">
        <f>All_Detail_v29[[#This Row],[Cabling Date (A)]]</f>
        <v>46004</v>
      </c>
      <c r="T29" s="414">
        <f>All_Detail_v29[[#This Row],[Coring Date (S)]]</f>
        <v>46149</v>
      </c>
      <c r="U29" s="414">
        <f>All_Detail_v29[[#This Row],[Coring Date (A)]]</f>
        <v>0</v>
      </c>
    </row>
    <row r="30" spans="1:21">
      <c r="A30">
        <v>28</v>
      </c>
      <c r="B30" s="630" t="s">
        <v>1305</v>
      </c>
      <c r="C30" s="650" t="s">
        <v>735</v>
      </c>
      <c r="D30" s="632">
        <v>46005</v>
      </c>
      <c r="E30" s="632">
        <v>46005</v>
      </c>
      <c r="F30" s="631">
        <v>1</v>
      </c>
      <c r="G30" s="631">
        <v>1</v>
      </c>
      <c r="H30" s="631" t="s">
        <v>368</v>
      </c>
      <c r="I30" s="632">
        <v>46150</v>
      </c>
      <c r="J30" s="651"/>
      <c r="K30" s="653">
        <v>1</v>
      </c>
      <c r="L30" s="653"/>
      <c r="M30" s="653" t="s">
        <v>143</v>
      </c>
      <c r="N30" s="412">
        <f>All_Detail_v29[[#This Row],[Qty. Success]]</f>
        <v>1</v>
      </c>
      <c r="O30" s="412">
        <f>All_Detail_v29[[#This Row],[Qty. Success2]]</f>
        <v>0</v>
      </c>
      <c r="P30" s="230">
        <f>IF(All_Detail_v29[[#This Row],[Qty]]=0,1,(N30+O30)/(All_Detail_v29[[#This Row],[Qty]]*2))</f>
        <v>0.5</v>
      </c>
      <c r="Q30" s="195"/>
      <c r="R30" s="414">
        <f>All_Detail_v29[[#This Row],[Cabling Date (S)]]</f>
        <v>46005</v>
      </c>
      <c r="S30" s="414">
        <f>All_Detail_v29[[#This Row],[Cabling Date (A)]]</f>
        <v>46005</v>
      </c>
      <c r="T30" s="414">
        <f>All_Detail_v29[[#This Row],[Coring Date (S)]]</f>
        <v>46150</v>
      </c>
      <c r="U30" s="414">
        <f>All_Detail_v29[[#This Row],[Coring Date (A)]]</f>
        <v>0</v>
      </c>
    </row>
    <row r="31" spans="1:21">
      <c r="A31">
        <v>29</v>
      </c>
      <c r="B31" s="630" t="s">
        <v>1306</v>
      </c>
      <c r="C31" s="650" t="s">
        <v>749</v>
      </c>
      <c r="D31" s="632">
        <v>46006</v>
      </c>
      <c r="E31" s="632">
        <v>46006</v>
      </c>
      <c r="F31" s="631">
        <v>1</v>
      </c>
      <c r="G31" s="631">
        <v>1</v>
      </c>
      <c r="H31" s="631" t="s">
        <v>368</v>
      </c>
      <c r="I31" s="632">
        <v>46156</v>
      </c>
      <c r="J31" s="651"/>
      <c r="K31" s="653">
        <v>1</v>
      </c>
      <c r="L31" s="653"/>
      <c r="M31" s="653" t="s">
        <v>143</v>
      </c>
      <c r="N31" s="412">
        <f>All_Detail_v29[[#This Row],[Qty. Success]]</f>
        <v>1</v>
      </c>
      <c r="O31" s="412">
        <f>All_Detail_v29[[#This Row],[Qty. Success2]]</f>
        <v>0</v>
      </c>
      <c r="P31" s="230">
        <f>IF(All_Detail_v29[[#This Row],[Qty]]=0,1,(N31+O31)/(All_Detail_v29[[#This Row],[Qty]]*2))</f>
        <v>0.5</v>
      </c>
      <c r="Q31" s="195"/>
      <c r="R31" s="414">
        <f>All_Detail_v29[[#This Row],[Cabling Date (S)]]</f>
        <v>46006</v>
      </c>
      <c r="S31" s="414">
        <f>All_Detail_v29[[#This Row],[Cabling Date (A)]]</f>
        <v>46006</v>
      </c>
      <c r="T31" s="414">
        <f>All_Detail_v29[[#This Row],[Coring Date (S)]]</f>
        <v>46156</v>
      </c>
      <c r="U31" s="414">
        <f>All_Detail_v29[[#This Row],[Coring Date (A)]]</f>
        <v>0</v>
      </c>
    </row>
    <row r="32" spans="1:21">
      <c r="A32">
        <v>30</v>
      </c>
      <c r="B32" s="630" t="s">
        <v>1307</v>
      </c>
      <c r="C32" s="650" t="s">
        <v>749</v>
      </c>
      <c r="D32" s="632">
        <v>46007</v>
      </c>
      <c r="E32" s="632">
        <v>46007</v>
      </c>
      <c r="F32" s="631">
        <v>1</v>
      </c>
      <c r="G32" s="631">
        <v>1</v>
      </c>
      <c r="H32" s="631" t="s">
        <v>368</v>
      </c>
      <c r="I32" s="632">
        <v>46157</v>
      </c>
      <c r="J32" s="651"/>
      <c r="K32" s="653">
        <v>1</v>
      </c>
      <c r="L32" s="653"/>
      <c r="M32" s="809" t="s">
        <v>143</v>
      </c>
      <c r="N32" s="412">
        <f>All_Detail_v29[[#This Row],[Qty. Success]]</f>
        <v>1</v>
      </c>
      <c r="O32" s="412">
        <f>All_Detail_v29[[#This Row],[Qty. Success2]]</f>
        <v>0</v>
      </c>
      <c r="P32" s="230">
        <f>IF(All_Detail_v29[[#This Row],[Qty]]=0,1,(N32+O32)/(All_Detail_v29[[#This Row],[Qty]]*2))</f>
        <v>0.5</v>
      </c>
      <c r="Q32" s="195"/>
      <c r="R32" s="414">
        <f>All_Detail_v29[[#This Row],[Cabling Date (S)]]</f>
        <v>46007</v>
      </c>
      <c r="S32" s="414">
        <f>All_Detail_v29[[#This Row],[Cabling Date (A)]]</f>
        <v>46007</v>
      </c>
      <c r="T32" s="414">
        <f>All_Detail_v29[[#This Row],[Coring Date (S)]]</f>
        <v>46157</v>
      </c>
      <c r="U32" s="414">
        <f>All_Detail_v29[[#This Row],[Coring Date (A)]]</f>
        <v>0</v>
      </c>
    </row>
    <row r="33" spans="1:21">
      <c r="A33">
        <v>32</v>
      </c>
      <c r="B33" s="630" t="s">
        <v>1308</v>
      </c>
      <c r="C33" s="650" t="s">
        <v>749</v>
      </c>
      <c r="D33" s="632">
        <v>46009</v>
      </c>
      <c r="E33" s="632">
        <v>46009</v>
      </c>
      <c r="F33" s="631">
        <v>1</v>
      </c>
      <c r="G33" s="631">
        <v>1</v>
      </c>
      <c r="H33" s="631" t="s">
        <v>368</v>
      </c>
      <c r="I33" s="632">
        <v>46163</v>
      </c>
      <c r="J33" s="651"/>
      <c r="K33" s="653">
        <v>1</v>
      </c>
      <c r="L33" s="653"/>
      <c r="M33" s="653" t="s">
        <v>143</v>
      </c>
      <c r="N33" s="412">
        <f>All_Detail_v29[[#This Row],[Qty. Success]]</f>
        <v>1</v>
      </c>
      <c r="O33" s="412">
        <f>All_Detail_v29[[#This Row],[Qty. Success2]]</f>
        <v>0</v>
      </c>
      <c r="P33" s="230">
        <f>IF(All_Detail_v29[[#This Row],[Qty]]=0,1,(N33+O33)/(All_Detail_v29[[#This Row],[Qty]]*2))</f>
        <v>0.5</v>
      </c>
      <c r="Q33" s="195"/>
      <c r="R33" s="414">
        <f>All_Detail_v29[[#This Row],[Cabling Date (S)]]</f>
        <v>46009</v>
      </c>
      <c r="S33" s="414">
        <f>All_Detail_v29[[#This Row],[Cabling Date (A)]]</f>
        <v>46009</v>
      </c>
      <c r="T33" s="414">
        <f>All_Detail_v29[[#This Row],[Coring Date (S)]]</f>
        <v>46163</v>
      </c>
      <c r="U33" s="414">
        <f>All_Detail_v29[[#This Row],[Coring Date (A)]]</f>
        <v>0</v>
      </c>
    </row>
    <row r="34" spans="1:21">
      <c r="A34">
        <v>33</v>
      </c>
      <c r="B34" s="630" t="s">
        <v>1309</v>
      </c>
      <c r="C34" s="650" t="s">
        <v>749</v>
      </c>
      <c r="D34" s="632">
        <v>46011</v>
      </c>
      <c r="E34" s="632">
        <v>46011</v>
      </c>
      <c r="F34" s="631">
        <v>1</v>
      </c>
      <c r="G34" s="631">
        <v>1</v>
      </c>
      <c r="H34" s="631" t="s">
        <v>368</v>
      </c>
      <c r="I34" s="632">
        <v>46164</v>
      </c>
      <c r="J34" s="651"/>
      <c r="K34" s="653">
        <v>1</v>
      </c>
      <c r="L34" s="653"/>
      <c r="M34" s="653" t="s">
        <v>143</v>
      </c>
      <c r="N34" s="412">
        <f>All_Detail_v29[[#This Row],[Qty. Success]]</f>
        <v>1</v>
      </c>
      <c r="O34" s="412">
        <f>All_Detail_v29[[#This Row],[Qty. Success2]]</f>
        <v>0</v>
      </c>
      <c r="P34" s="230">
        <f>IF(All_Detail_v29[[#This Row],[Qty]]=0,1,(N34+O34)/(All_Detail_v29[[#This Row],[Qty]]*2))</f>
        <v>0.5</v>
      </c>
      <c r="Q34" s="195"/>
      <c r="R34" s="414">
        <f>All_Detail_v29[[#This Row],[Cabling Date (S)]]</f>
        <v>46011</v>
      </c>
      <c r="S34" s="414">
        <f>All_Detail_v29[[#This Row],[Cabling Date (A)]]</f>
        <v>46011</v>
      </c>
      <c r="T34" s="414">
        <f>All_Detail_v29[[#This Row],[Coring Date (S)]]</f>
        <v>46164</v>
      </c>
      <c r="U34" s="414">
        <f>All_Detail_v29[[#This Row],[Coring Date (A)]]</f>
        <v>0</v>
      </c>
    </row>
    <row r="35" spans="1:21">
      <c r="A35">
        <v>34</v>
      </c>
      <c r="B35" s="630" t="s">
        <v>1310</v>
      </c>
      <c r="C35" s="650" t="s">
        <v>749</v>
      </c>
      <c r="D35" s="632">
        <v>46012</v>
      </c>
      <c r="E35" s="632">
        <v>46012</v>
      </c>
      <c r="F35" s="631">
        <v>1</v>
      </c>
      <c r="G35" s="631">
        <v>1</v>
      </c>
      <c r="H35" s="631" t="s">
        <v>368</v>
      </c>
      <c r="I35" s="632">
        <v>46170</v>
      </c>
      <c r="J35" s="651"/>
      <c r="K35" s="653">
        <v>1</v>
      </c>
      <c r="L35" s="653"/>
      <c r="M35" s="653" t="s">
        <v>143</v>
      </c>
      <c r="N35" s="412">
        <f>All_Detail_v29[[#This Row],[Qty. Success]]</f>
        <v>1</v>
      </c>
      <c r="O35" s="412">
        <f>All_Detail_v29[[#This Row],[Qty. Success2]]</f>
        <v>0</v>
      </c>
      <c r="P35" s="230">
        <f>IF(All_Detail_v29[[#This Row],[Qty]]=0,1,(N35+O35)/(All_Detail_v29[[#This Row],[Qty]]*2))</f>
        <v>0.5</v>
      </c>
      <c r="Q35" s="195"/>
      <c r="R35" s="414">
        <f>All_Detail_v29[[#This Row],[Cabling Date (S)]]</f>
        <v>46012</v>
      </c>
      <c r="S35" s="414">
        <f>All_Detail_v29[[#This Row],[Cabling Date (A)]]</f>
        <v>46012</v>
      </c>
      <c r="T35" s="414">
        <f>All_Detail_v29[[#This Row],[Coring Date (S)]]</f>
        <v>46170</v>
      </c>
      <c r="U35" s="414">
        <f>All_Detail_v29[[#This Row],[Coring Date (A)]]</f>
        <v>0</v>
      </c>
    </row>
    <row r="36" spans="1:21">
      <c r="A36">
        <v>35</v>
      </c>
      <c r="B36" s="630" t="s">
        <v>1311</v>
      </c>
      <c r="C36" s="650" t="s">
        <v>705</v>
      </c>
      <c r="D36" s="632">
        <v>46030</v>
      </c>
      <c r="E36" s="632">
        <v>46030</v>
      </c>
      <c r="F36" s="631">
        <v>1</v>
      </c>
      <c r="G36" s="631">
        <v>1</v>
      </c>
      <c r="H36" s="631" t="s">
        <v>368</v>
      </c>
      <c r="I36" s="632">
        <v>46171</v>
      </c>
      <c r="J36" s="651"/>
      <c r="K36" s="653">
        <v>1</v>
      </c>
      <c r="L36" s="653"/>
      <c r="M36" s="653" t="s">
        <v>143</v>
      </c>
      <c r="N36" s="412">
        <f>All_Detail_v29[[#This Row],[Qty. Success]]</f>
        <v>1</v>
      </c>
      <c r="O36" s="412">
        <f>All_Detail_v29[[#This Row],[Qty. Success2]]</f>
        <v>0</v>
      </c>
      <c r="P36" s="230">
        <f>IF(All_Detail_v29[[#This Row],[Qty]]=0,1,(N36+O36)/(All_Detail_v29[[#This Row],[Qty]]*2))</f>
        <v>0.5</v>
      </c>
      <c r="Q36" s="195"/>
      <c r="R36" s="414">
        <f>All_Detail_v29[[#This Row],[Cabling Date (S)]]</f>
        <v>46030</v>
      </c>
      <c r="S36" s="414">
        <f>All_Detail_v29[[#This Row],[Cabling Date (A)]]</f>
        <v>46030</v>
      </c>
      <c r="T36" s="414">
        <f>All_Detail_v29[[#This Row],[Coring Date (S)]]</f>
        <v>46171</v>
      </c>
      <c r="U36" s="414">
        <f>All_Detail_v29[[#This Row],[Coring Date (A)]]</f>
        <v>0</v>
      </c>
    </row>
    <row r="37" spans="1:21">
      <c r="A37">
        <v>36</v>
      </c>
      <c r="B37" s="630" t="s">
        <v>1312</v>
      </c>
      <c r="C37" s="650" t="s">
        <v>705</v>
      </c>
      <c r="D37" s="632">
        <v>46031</v>
      </c>
      <c r="E37" s="632">
        <v>46031</v>
      </c>
      <c r="F37" s="631">
        <v>1</v>
      </c>
      <c r="G37" s="631">
        <v>1</v>
      </c>
      <c r="H37" s="631" t="s">
        <v>368</v>
      </c>
      <c r="I37" s="632">
        <v>46205</v>
      </c>
      <c r="J37" s="651"/>
      <c r="K37" s="653">
        <v>1</v>
      </c>
      <c r="L37" s="653"/>
      <c r="M37" s="653" t="s">
        <v>143</v>
      </c>
      <c r="N37" s="412">
        <f>All_Detail_v29[[#This Row],[Qty. Success]]</f>
        <v>1</v>
      </c>
      <c r="O37" s="412">
        <f>All_Detail_v29[[#This Row],[Qty. Success2]]</f>
        <v>0</v>
      </c>
      <c r="P37" s="230">
        <f>IF(All_Detail_v29[[#This Row],[Qty]]=0,1,(N37+O37)/(All_Detail_v29[[#This Row],[Qty]]*2))</f>
        <v>0.5</v>
      </c>
      <c r="Q37" s="195"/>
      <c r="R37" s="414">
        <f>All_Detail_v29[[#This Row],[Cabling Date (S)]]</f>
        <v>46031</v>
      </c>
      <c r="S37" s="414">
        <f>All_Detail_v29[[#This Row],[Cabling Date (A)]]</f>
        <v>46031</v>
      </c>
      <c r="T37" s="414">
        <f>All_Detail_v29[[#This Row],[Coring Date (S)]]</f>
        <v>46205</v>
      </c>
      <c r="U37" s="414">
        <f>All_Detail_v29[[#This Row],[Coring Date (A)]]</f>
        <v>0</v>
      </c>
    </row>
    <row r="38" spans="1:21">
      <c r="A38">
        <v>37</v>
      </c>
      <c r="B38" s="630" t="s">
        <v>1313</v>
      </c>
      <c r="C38" s="650" t="s">
        <v>705</v>
      </c>
      <c r="D38" s="632">
        <v>46032</v>
      </c>
      <c r="E38" s="632">
        <v>46032</v>
      </c>
      <c r="F38" s="631">
        <v>1</v>
      </c>
      <c r="G38" s="631">
        <v>1</v>
      </c>
      <c r="H38" s="631" t="s">
        <v>368</v>
      </c>
      <c r="I38" s="632">
        <v>46206</v>
      </c>
      <c r="J38" s="651"/>
      <c r="K38" s="653">
        <v>1</v>
      </c>
      <c r="L38" s="653"/>
      <c r="M38" s="653" t="s">
        <v>143</v>
      </c>
      <c r="N38" s="412">
        <f>All_Detail_v29[[#This Row],[Qty. Success]]</f>
        <v>1</v>
      </c>
      <c r="O38" s="412">
        <f>All_Detail_v29[[#This Row],[Qty. Success2]]</f>
        <v>0</v>
      </c>
      <c r="P38" s="230">
        <f>IF(All_Detail_v29[[#This Row],[Qty]]=0,1,(N38+O38)/(All_Detail_v29[[#This Row],[Qty]]*2))</f>
        <v>0.5</v>
      </c>
      <c r="Q38" s="195"/>
      <c r="R38" s="414">
        <f>All_Detail_v29[[#This Row],[Cabling Date (S)]]</f>
        <v>46032</v>
      </c>
      <c r="S38" s="414">
        <f>All_Detail_v29[[#This Row],[Cabling Date (A)]]</f>
        <v>46032</v>
      </c>
      <c r="T38" s="414">
        <f>All_Detail_v29[[#This Row],[Coring Date (S)]]</f>
        <v>46206</v>
      </c>
      <c r="U38" s="414">
        <f>All_Detail_v29[[#This Row],[Coring Date (A)]]</f>
        <v>0</v>
      </c>
    </row>
    <row r="39" spans="1:21">
      <c r="A39">
        <v>38</v>
      </c>
      <c r="B39" s="630" t="s">
        <v>1314</v>
      </c>
      <c r="C39" s="650" t="s">
        <v>705</v>
      </c>
      <c r="D39" s="632">
        <v>46033</v>
      </c>
      <c r="E39" s="632">
        <v>46033</v>
      </c>
      <c r="F39" s="631">
        <v>1</v>
      </c>
      <c r="G39" s="631">
        <v>1</v>
      </c>
      <c r="H39" s="631" t="s">
        <v>368</v>
      </c>
      <c r="I39" s="632">
        <v>46212</v>
      </c>
      <c r="J39" s="651"/>
      <c r="K39" s="653">
        <v>1</v>
      </c>
      <c r="L39" s="653"/>
      <c r="M39" s="653" t="s">
        <v>143</v>
      </c>
      <c r="N39" s="412">
        <f>All_Detail_v29[[#This Row],[Qty. Success]]</f>
        <v>1</v>
      </c>
      <c r="O39" s="412">
        <f>All_Detail_v29[[#This Row],[Qty. Success2]]</f>
        <v>0</v>
      </c>
      <c r="P39" s="230">
        <f>IF(All_Detail_v29[[#This Row],[Qty]]=0,1,(N39+O39)/(All_Detail_v29[[#This Row],[Qty]]*2))</f>
        <v>0.5</v>
      </c>
      <c r="Q39" s="195"/>
      <c r="R39" s="414">
        <f>All_Detail_v29[[#This Row],[Cabling Date (S)]]</f>
        <v>46033</v>
      </c>
      <c r="S39" s="414">
        <f>All_Detail_v29[[#This Row],[Cabling Date (A)]]</f>
        <v>46033</v>
      </c>
      <c r="T39" s="414">
        <f>All_Detail_v29[[#This Row],[Coring Date (S)]]</f>
        <v>46212</v>
      </c>
      <c r="U39" s="414">
        <f>All_Detail_v29[[#This Row],[Coring Date (A)]]</f>
        <v>0</v>
      </c>
    </row>
    <row r="40" spans="1:21">
      <c r="A40">
        <v>39</v>
      </c>
      <c r="B40" s="630" t="s">
        <v>1315</v>
      </c>
      <c r="C40" s="650" t="s">
        <v>705</v>
      </c>
      <c r="D40" s="632">
        <v>46034</v>
      </c>
      <c r="E40" s="632">
        <v>46034</v>
      </c>
      <c r="F40" s="631">
        <v>1</v>
      </c>
      <c r="G40" s="631">
        <v>1</v>
      </c>
      <c r="H40" s="631" t="s">
        <v>368</v>
      </c>
      <c r="I40" s="632">
        <v>46213</v>
      </c>
      <c r="J40" s="651"/>
      <c r="K40" s="653">
        <v>1</v>
      </c>
      <c r="L40" s="653"/>
      <c r="M40" s="653" t="s">
        <v>143</v>
      </c>
      <c r="N40" s="412">
        <f>All_Detail_v29[[#This Row],[Qty. Success]]</f>
        <v>1</v>
      </c>
      <c r="O40" s="412">
        <f>All_Detail_v29[[#This Row],[Qty. Success2]]</f>
        <v>0</v>
      </c>
      <c r="P40" s="7">
        <f>IF(All_Detail_v29[[#This Row],[Qty]]=0,1,(N40+O40)/(All_Detail_v29[[#This Row],[Qty]]*2))</f>
        <v>0.5</v>
      </c>
      <c r="Q40" s="195"/>
      <c r="R40" s="414">
        <f>All_Detail_v29[[#This Row],[Cabling Date (S)]]</f>
        <v>46034</v>
      </c>
      <c r="S40" s="414">
        <f>All_Detail_v29[[#This Row],[Cabling Date (A)]]</f>
        <v>46034</v>
      </c>
      <c r="T40" s="414">
        <f>All_Detail_v29[[#This Row],[Coring Date (S)]]</f>
        <v>46213</v>
      </c>
      <c r="U40" s="414">
        <f>All_Detail_v29[[#This Row],[Coring Date (A)]]</f>
        <v>0</v>
      </c>
    </row>
    <row r="41" spans="1:21">
      <c r="B41" s="374"/>
      <c r="C41" s="375"/>
      <c r="D41" s="376"/>
      <c r="E41" s="376"/>
      <c r="F41" s="524">
        <f>SUBTOTAL(109,All_Detail_v29[Qty])</f>
        <v>39</v>
      </c>
      <c r="G41" s="524">
        <f>SUBTOTAL(109,All_Detail_v29[Qty. Success])</f>
        <v>39</v>
      </c>
      <c r="H41" s="375"/>
      <c r="I41" s="376"/>
      <c r="J41" s="376"/>
      <c r="K41" s="524">
        <f>SUBTOTAL(109,All_Detail_v29[Qty2])</f>
        <v>39</v>
      </c>
      <c r="L41" s="524">
        <f>SUBTOTAL(109,All_Detail_v29[Qty. Success2])</f>
        <v>8</v>
      </c>
      <c r="N41" s="14">
        <f>SUM(N2:N40)/(All_Detail_v29[[#Totals],[Qty]])</f>
        <v>1</v>
      </c>
      <c r="O41" s="14">
        <f>SUM(O2:O40)/(All_Detail_v29[[#Totals],[Qty2]])</f>
        <v>0.17948717948717949</v>
      </c>
      <c r="P41" s="14">
        <f>ROUNDUP(AVERAGE(P2:P40),2)</f>
        <v>0.59</v>
      </c>
      <c r="R41" s="415"/>
      <c r="T41" s="415"/>
    </row>
  </sheetData>
  <autoFilter ref="N1:Q40" xr:uid="{51C6D8CA-DBD0-4AEA-BC88-328C14039933}"/>
  <phoneticPr fontId="72" type="noConversion"/>
  <conditionalFormatting sqref="H2:H40">
    <cfRule type="containsText" dxfId="27" priority="22" operator="containsText" text="Pending">
      <formula>NOT(ISERROR(SEARCH("Pending",H2)))</formula>
    </cfRule>
    <cfRule type="containsText" dxfId="26" priority="23" operator="containsText" text="On Plan">
      <formula>NOT(ISERROR(SEARCH("On Plan",H2)))</formula>
    </cfRule>
    <cfRule type="containsText" dxfId="25" priority="24" operator="containsText" text="Success">
      <formula>NOT(ISERROR(SEARCH("Success",H2)))</formula>
    </cfRule>
  </conditionalFormatting>
  <conditionalFormatting sqref="M2:M40">
    <cfRule type="containsText" dxfId="24" priority="1" operator="containsText" text="Pending">
      <formula>NOT(ISERROR(SEARCH("Pending",M2)))</formula>
    </cfRule>
    <cfRule type="containsText" dxfId="23" priority="2" operator="containsText" text="On Plan">
      <formula>NOT(ISERROR(SEARCH("On Plan",M2)))</formula>
    </cfRule>
    <cfRule type="containsText" dxfId="22" priority="3" operator="containsText" text="Success">
      <formula>NOT(ISERROR(SEARCH("Success",M2)))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C87-0FBE-4165-8958-0DDDDAA7DC15}">
  <dimension ref="A1:AN87"/>
  <sheetViews>
    <sheetView workbookViewId="0">
      <pane xSplit="1" ySplit="5" topLeftCell="Y6" activePane="bottomRight" state="frozen"/>
      <selection pane="topRight"/>
      <selection pane="bottomLeft"/>
      <selection pane="bottomRight" activeCell="B11" sqref="B11"/>
    </sheetView>
  </sheetViews>
  <sheetFormatPr defaultColWidth="8.88671875" defaultRowHeight="14.4"/>
  <cols>
    <col min="1" max="1" width="38" style="654" customWidth="1"/>
    <col min="2" max="39" width="10.5546875" style="654" bestFit="1" customWidth="1"/>
    <col min="40" max="40" width="16" style="654" customWidth="1"/>
    <col min="41" max="16384" width="8.88671875" style="654"/>
  </cols>
  <sheetData>
    <row r="1" spans="1:40" ht="30" customHeight="1">
      <c r="A1" s="1202" t="s">
        <v>1316</v>
      </c>
      <c r="B1" s="1200"/>
      <c r="C1" s="1200"/>
      <c r="D1" s="1200"/>
      <c r="E1" s="1200"/>
      <c r="F1" s="1200"/>
      <c r="G1" s="1200"/>
      <c r="H1" s="1200"/>
      <c r="I1" s="1200"/>
      <c r="J1" s="1200"/>
      <c r="K1" s="1200"/>
      <c r="L1" s="1200"/>
      <c r="M1" s="1200"/>
      <c r="N1" s="1200"/>
      <c r="O1" s="1200"/>
      <c r="P1" s="1200"/>
      <c r="Q1" s="1200"/>
      <c r="R1" s="1200"/>
      <c r="S1" s="1200"/>
      <c r="T1" s="1200"/>
      <c r="U1" s="1200"/>
      <c r="V1" s="1200"/>
      <c r="W1" s="1200"/>
      <c r="X1" s="1200"/>
      <c r="Y1" s="1200"/>
      <c r="Z1" s="1200"/>
      <c r="AA1" s="1200"/>
      <c r="AB1" s="1200"/>
      <c r="AC1" s="1200"/>
      <c r="AD1" s="1200"/>
      <c r="AE1" s="1200"/>
      <c r="AF1" s="1200"/>
      <c r="AG1" s="1200"/>
      <c r="AH1" s="1200"/>
      <c r="AI1" s="1200"/>
      <c r="AJ1" s="1200"/>
      <c r="AK1" s="1200"/>
      <c r="AL1" s="1200"/>
      <c r="AM1" s="1200"/>
      <c r="AN1" s="1201"/>
    </row>
    <row r="2" spans="1:40" ht="18" customHeight="1">
      <c r="A2" s="1203" t="s">
        <v>1317</v>
      </c>
      <c r="B2" s="1200"/>
      <c r="C2" s="1200"/>
      <c r="D2" s="1200"/>
      <c r="E2" s="1200"/>
      <c r="F2" s="1200"/>
      <c r="G2" s="1200"/>
      <c r="H2" s="1200"/>
      <c r="I2" s="1200"/>
      <c r="J2" s="1200"/>
      <c r="K2" s="1200"/>
      <c r="L2" s="1200"/>
      <c r="M2" s="1200"/>
      <c r="N2" s="1200"/>
      <c r="O2" s="1200"/>
      <c r="P2" s="1200"/>
      <c r="Q2" s="1200"/>
      <c r="R2" s="1200"/>
      <c r="S2" s="1200"/>
      <c r="T2" s="1200"/>
      <c r="U2" s="1200"/>
      <c r="V2" s="1200"/>
      <c r="W2" s="1200"/>
      <c r="X2" s="1200"/>
      <c r="Y2" s="1200"/>
      <c r="Z2" s="1200"/>
      <c r="AA2" s="1200"/>
      <c r="AB2" s="1200"/>
      <c r="AC2" s="1200"/>
      <c r="AD2" s="1200"/>
      <c r="AE2" s="1200"/>
      <c r="AF2" s="1200"/>
      <c r="AG2" s="1200"/>
      <c r="AH2" s="1200"/>
      <c r="AI2" s="1200"/>
      <c r="AJ2" s="1200"/>
      <c r="AK2" s="1200"/>
      <c r="AL2" s="1200"/>
      <c r="AM2" s="1200"/>
      <c r="AN2" s="1201"/>
    </row>
    <row r="3" spans="1:40" ht="4.95" customHeight="1"/>
    <row r="4" spans="1:40" ht="22.2" customHeight="1">
      <c r="A4" s="1204" t="s">
        <v>296</v>
      </c>
      <c r="B4" s="655" t="s">
        <v>1318</v>
      </c>
      <c r="C4" s="655" t="s">
        <v>1319</v>
      </c>
      <c r="D4" s="655" t="s">
        <v>1320</v>
      </c>
      <c r="E4" s="655" t="s">
        <v>1321</v>
      </c>
      <c r="F4" s="655" t="s">
        <v>1322</v>
      </c>
      <c r="G4" s="655" t="s">
        <v>1323</v>
      </c>
      <c r="H4" s="655" t="s">
        <v>1324</v>
      </c>
      <c r="I4" s="655" t="s">
        <v>1325</v>
      </c>
      <c r="J4" s="655" t="s">
        <v>1326</v>
      </c>
      <c r="K4" s="655" t="s">
        <v>1327</v>
      </c>
      <c r="L4" s="655" t="s">
        <v>1328</v>
      </c>
      <c r="M4" s="655" t="s">
        <v>1329</v>
      </c>
      <c r="N4" s="655" t="s">
        <v>1330</v>
      </c>
      <c r="O4" s="655" t="s">
        <v>1331</v>
      </c>
      <c r="P4" s="655" t="s">
        <v>1332</v>
      </c>
      <c r="Q4" s="655" t="s">
        <v>1333</v>
      </c>
      <c r="R4" s="655" t="s">
        <v>1334</v>
      </c>
      <c r="S4" s="655" t="s">
        <v>1335</v>
      </c>
      <c r="T4" s="655" t="s">
        <v>1336</v>
      </c>
      <c r="U4" s="655" t="s">
        <v>1337</v>
      </c>
      <c r="V4" s="655" t="s">
        <v>1338</v>
      </c>
      <c r="W4" s="655" t="s">
        <v>1339</v>
      </c>
      <c r="X4" s="655" t="s">
        <v>1340</v>
      </c>
      <c r="Y4" s="655" t="s">
        <v>1341</v>
      </c>
      <c r="Z4" s="655" t="s">
        <v>1342</v>
      </c>
      <c r="AA4" s="655" t="s">
        <v>1343</v>
      </c>
      <c r="AB4" s="655" t="s">
        <v>1344</v>
      </c>
      <c r="AC4" s="655" t="s">
        <v>1345</v>
      </c>
      <c r="AD4" s="655" t="s">
        <v>1346</v>
      </c>
      <c r="AE4" s="655" t="s">
        <v>1347</v>
      </c>
      <c r="AF4" s="655" t="s">
        <v>1348</v>
      </c>
      <c r="AG4" s="655" t="s">
        <v>1349</v>
      </c>
      <c r="AH4" s="655" t="s">
        <v>1350</v>
      </c>
      <c r="AI4" s="655" t="s">
        <v>1351</v>
      </c>
      <c r="AJ4" s="655" t="s">
        <v>1352</v>
      </c>
      <c r="AK4" s="655" t="s">
        <v>1353</v>
      </c>
      <c r="AL4" s="655" t="s">
        <v>1354</v>
      </c>
      <c r="AM4" s="655" t="s">
        <v>1355</v>
      </c>
      <c r="AN4" s="1204" t="s">
        <v>311</v>
      </c>
    </row>
    <row r="5" spans="1:40" ht="4.95" customHeight="1">
      <c r="A5" s="1205"/>
      <c r="AN5" s="1205"/>
    </row>
    <row r="6" spans="1:40" ht="22.2" customHeight="1">
      <c r="A6" s="1206" t="s">
        <v>1356</v>
      </c>
      <c r="B6" s="1200"/>
      <c r="C6" s="1200"/>
      <c r="D6" s="1200"/>
      <c r="E6" s="1200"/>
      <c r="F6" s="1200"/>
      <c r="G6" s="1200"/>
      <c r="H6" s="1200"/>
      <c r="I6" s="1200"/>
      <c r="J6" s="1200"/>
      <c r="K6" s="1200"/>
      <c r="L6" s="1200"/>
      <c r="M6" s="1200"/>
      <c r="N6" s="1200"/>
      <c r="O6" s="1200"/>
      <c r="P6" s="1200"/>
      <c r="Q6" s="1200"/>
      <c r="R6" s="1200"/>
      <c r="S6" s="1200"/>
      <c r="T6" s="1200"/>
      <c r="U6" s="1200"/>
      <c r="V6" s="1200"/>
      <c r="W6" s="1200"/>
      <c r="X6" s="1200"/>
      <c r="Y6" s="1200"/>
      <c r="Z6" s="1200"/>
      <c r="AA6" s="1200"/>
      <c r="AB6" s="1200"/>
      <c r="AC6" s="1200"/>
      <c r="AD6" s="1200"/>
      <c r="AE6" s="1200"/>
      <c r="AF6" s="1200"/>
      <c r="AG6" s="1200"/>
      <c r="AH6" s="1200"/>
      <c r="AI6" s="1200"/>
      <c r="AJ6" s="1200"/>
      <c r="AK6" s="1200"/>
      <c r="AL6" s="1200"/>
      <c r="AM6" s="1200"/>
      <c r="AN6" s="1201"/>
    </row>
    <row r="7" spans="1:40" ht="18" customHeight="1">
      <c r="A7" s="656" t="s">
        <v>1357</v>
      </c>
      <c r="B7" s="657" cm="1">
        <f t="array" ref="B7">SUMPRODUCT(('SVB-Coring'!$R$2:$R$40&gt;=B86)*('SVB-Coring'!$R$2:$R$40&lt;=B87)*(ISNUMBER('SVB-Coring'!$F$2:$F$40))*('SVB-Coring'!$F$2:$F$40))</f>
        <v>2</v>
      </c>
      <c r="C7" s="657" cm="1">
        <f t="array" ref="C7">SUMPRODUCT(('SVB-Coring'!$R$2:$R$40&gt;=C86)*('SVB-Coring'!$R$2:$R$40&lt;=C87)*(ISNUMBER('SVB-Coring'!$F$2:$F$40))*('SVB-Coring'!$F$2:$F$40))</f>
        <v>2</v>
      </c>
      <c r="D7" s="657" cm="1">
        <f t="array" ref="D7">SUMPRODUCT(('SVB-Coring'!$R$2:$R$40&gt;=D86)*('SVB-Coring'!$R$2:$R$40&lt;=D87)*(ISNUMBER('SVB-Coring'!$F$2:$F$40))*('SVB-Coring'!$F$2:$F$40))</f>
        <v>7</v>
      </c>
      <c r="E7" s="657" cm="1">
        <f t="array" ref="E7">SUMPRODUCT(('SVB-Coring'!$R$2:$R$40&gt;=E86)*('SVB-Coring'!$R$2:$R$40&lt;=E87)*(ISNUMBER('SVB-Coring'!$F$2:$F$40))*('SVB-Coring'!$F$2:$F$40))</f>
        <v>3</v>
      </c>
      <c r="F7" s="657" cm="1">
        <f t="array" ref="F7">SUMPRODUCT(('SVB-Coring'!$R$2:$R$40&gt;=F86)*('SVB-Coring'!$R$2:$R$40&lt;=F87)*(ISNUMBER('SVB-Coring'!$F$2:$F$40))*('SVB-Coring'!$F$2:$F$40))</f>
        <v>4</v>
      </c>
      <c r="G7" s="657" cm="1">
        <f t="array" ref="G7">SUMPRODUCT(('SVB-Coring'!$R$2:$R$40&gt;=G86)*('SVB-Coring'!$R$2:$R$40&lt;=G87)*(ISNUMBER('SVB-Coring'!$F$2:$F$40))*('SVB-Coring'!$F$2:$F$40))</f>
        <v>6</v>
      </c>
      <c r="H7" s="657" cm="1">
        <f t="array" ref="H7">SUMPRODUCT(('SVB-Coring'!$R$2:$R$40&gt;=H86)*('SVB-Coring'!$R$2:$R$40&lt;=H87)*(ISNUMBER('SVB-Coring'!$F$2:$F$40))*('SVB-Coring'!$F$2:$F$40))</f>
        <v>2</v>
      </c>
      <c r="I7" s="657" cm="1">
        <f t="array" ref="I7">SUMPRODUCT(('SVB-Coring'!$R$2:$R$40&gt;=I86)*('SVB-Coring'!$R$2:$R$40&lt;=I87)*(ISNUMBER('SVB-Coring'!$F$2:$F$40))*('SVB-Coring'!$F$2:$F$40))</f>
        <v>0</v>
      </c>
      <c r="J7" s="657" cm="1">
        <f t="array" ref="J7">SUMPRODUCT(('SVB-Coring'!$R$2:$R$40&gt;=J86)*('SVB-Coring'!$R$2:$R$40&lt;=J87)*(ISNUMBER('SVB-Coring'!$F$2:$F$40))*('SVB-Coring'!$F$2:$F$40))</f>
        <v>2</v>
      </c>
      <c r="K7" s="657" cm="1">
        <f t="array" ref="K7">SUMPRODUCT(('SVB-Coring'!$R$2:$R$40&gt;=K86)*('SVB-Coring'!$R$2:$R$40&lt;=K87)*(ISNUMBER('SVB-Coring'!$F$2:$F$40))*('SVB-Coring'!$F$2:$F$40))</f>
        <v>6</v>
      </c>
      <c r="L7" s="657" cm="1">
        <f t="array" ref="L7">SUMPRODUCT(('SVB-Coring'!$R$2:$R$40&gt;=L86)*('SVB-Coring'!$R$2:$R$40&lt;=L87)*(ISNUMBER('SVB-Coring'!$F$2:$F$40))*('SVB-Coring'!$F$2:$F$40))</f>
        <v>5</v>
      </c>
      <c r="M7" s="657" cm="1">
        <f t="array" ref="M7">SUMPRODUCT(('SVB-Coring'!$R$2:$R$40&gt;=M86)*('SVB-Coring'!$R$2:$R$40&lt;=M87)*(ISNUMBER('SVB-Coring'!$F$2:$F$40))*('SVB-Coring'!$F$2:$F$40))</f>
        <v>0</v>
      </c>
      <c r="N7" s="657" cm="1">
        <f t="array" ref="N7">SUMPRODUCT(('SVB-Coring'!$R$2:$R$40&gt;=N86)*('SVB-Coring'!$R$2:$R$40&lt;=N87)*(ISNUMBER('SVB-Coring'!$F$2:$F$40))*('SVB-Coring'!$F$2:$F$40))</f>
        <v>0</v>
      </c>
      <c r="O7" s="657" cm="1">
        <f t="array" ref="O7">SUMPRODUCT(('SVB-Coring'!$R$2:$R$40&gt;=O86)*('SVB-Coring'!$R$2:$R$40&lt;=O87)*(ISNUMBER('SVB-Coring'!$F$2:$F$40))*('SVB-Coring'!$F$2:$F$40))</f>
        <v>0</v>
      </c>
      <c r="P7" s="657" cm="1">
        <f t="array" ref="P7">SUMPRODUCT(('SVB-Coring'!$R$2:$R$40&gt;=P86)*('SVB-Coring'!$R$2:$R$40&lt;=P87)*(ISNUMBER('SVB-Coring'!$F$2:$F$40))*('SVB-Coring'!$F$2:$F$40))</f>
        <v>0</v>
      </c>
      <c r="Q7" s="657" cm="1">
        <f t="array" ref="Q7">SUMPRODUCT(('SVB-Coring'!$R$2:$R$40&gt;=Q86)*('SVB-Coring'!$R$2:$R$40&lt;=Q87)*(ISNUMBER('SVB-Coring'!$F$2:$F$40))*('SVB-Coring'!$F$2:$F$40))</f>
        <v>0</v>
      </c>
      <c r="R7" s="657" cm="1">
        <f t="array" ref="R7">SUMPRODUCT(('SVB-Coring'!$R$2:$R$40&gt;=R86)*('SVB-Coring'!$R$2:$R$40&lt;=R87)*(ISNUMBER('SVB-Coring'!$F$2:$F$40))*('SVB-Coring'!$F$2:$F$40))</f>
        <v>0</v>
      </c>
      <c r="S7" s="657" cm="1">
        <f t="array" ref="S7">SUMPRODUCT(('SVB-Coring'!$R$2:$R$40&gt;=S86)*('SVB-Coring'!$R$2:$R$40&lt;=S87)*(ISNUMBER('SVB-Coring'!$F$2:$F$40))*('SVB-Coring'!$F$2:$F$40))</f>
        <v>0</v>
      </c>
      <c r="T7" s="657" cm="1">
        <f t="array" ref="T7">SUMPRODUCT(('SVB-Coring'!$R$2:$R$40&gt;=T86)*('SVB-Coring'!$R$2:$R$40&lt;=T87)*(ISNUMBER('SVB-Coring'!$F$2:$F$40))*('SVB-Coring'!$F$2:$F$40))</f>
        <v>0</v>
      </c>
      <c r="U7" s="657" cm="1">
        <f t="array" ref="U7">SUMPRODUCT(('SVB-Coring'!$R$2:$R$40&gt;=U86)*('SVB-Coring'!$R$2:$R$40&lt;=U87)*(ISNUMBER('SVB-Coring'!$F$2:$F$40))*('SVB-Coring'!$F$2:$F$40))</f>
        <v>0</v>
      </c>
      <c r="V7" s="657" cm="1">
        <f t="array" ref="V7">SUMPRODUCT(('SVB-Coring'!$R$2:$R$40&gt;=V86)*('SVB-Coring'!$R$2:$R$40&lt;=V87)*(ISNUMBER('SVB-Coring'!$F$2:$F$40))*('SVB-Coring'!$F$2:$F$40))</f>
        <v>0</v>
      </c>
      <c r="W7" s="657" cm="1">
        <f t="array" ref="W7">SUMPRODUCT(('SVB-Coring'!$R$2:$R$40&gt;=W86)*('SVB-Coring'!$R$2:$R$40&lt;=W87)*(ISNUMBER('SVB-Coring'!$F$2:$F$40))*('SVB-Coring'!$F$2:$F$40))</f>
        <v>0</v>
      </c>
      <c r="X7" s="657" cm="1">
        <f t="array" ref="X7">SUMPRODUCT(('SVB-Coring'!$R$2:$R$40&gt;=X86)*('SVB-Coring'!$R$2:$R$40&lt;=X87)*(ISNUMBER('SVB-Coring'!$F$2:$F$40))*('SVB-Coring'!$F$2:$F$40))</f>
        <v>0</v>
      </c>
      <c r="Y7" s="657" cm="1">
        <f t="array" ref="Y7">SUMPRODUCT(('SVB-Coring'!$R$2:$R$40&gt;=Y86)*('SVB-Coring'!$R$2:$R$40&lt;=Y87)*(ISNUMBER('SVB-Coring'!$F$2:$F$40))*('SVB-Coring'!$F$2:$F$40))</f>
        <v>0</v>
      </c>
      <c r="Z7" s="657" cm="1">
        <f t="array" ref="Z7">SUMPRODUCT(('SVB-Coring'!$R$2:$R$40&gt;=Z86)*('SVB-Coring'!$R$2:$R$40&lt;=Z87)*(ISNUMBER('SVB-Coring'!$F$2:$F$40))*('SVB-Coring'!$F$2:$F$40))</f>
        <v>0</v>
      </c>
      <c r="AA7" s="657" cm="1">
        <f t="array" ref="AA7">SUMPRODUCT(('SVB-Coring'!$R$2:$R$40&gt;=AA86)*('SVB-Coring'!$R$2:$R$40&lt;=AA87)*(ISNUMBER('SVB-Coring'!$F$2:$F$40))*('SVB-Coring'!$F$2:$F$40))</f>
        <v>0</v>
      </c>
      <c r="AB7" s="657" cm="1">
        <f t="array" ref="AB7">SUMPRODUCT(('SVB-Coring'!$R$2:$R$40&gt;=AB86)*('SVB-Coring'!$R$2:$R$40&lt;=AB87)*(ISNUMBER('SVB-Coring'!$F$2:$F$40))*('SVB-Coring'!$F$2:$F$40))</f>
        <v>0</v>
      </c>
      <c r="AC7" s="657" cm="1">
        <f t="array" ref="AC7">SUMPRODUCT(('SVB-Coring'!$R$2:$R$40&gt;=AC86)*('SVB-Coring'!$R$2:$R$40&lt;=AC87)*(ISNUMBER('SVB-Coring'!$F$2:$F$40))*('SVB-Coring'!$F$2:$F$40))</f>
        <v>0</v>
      </c>
      <c r="AD7" s="657" cm="1">
        <f t="array" ref="AD7">SUMPRODUCT(('SVB-Coring'!$R$2:$R$40&gt;=AD86)*('SVB-Coring'!$R$2:$R$40&lt;=AD87)*(ISNUMBER('SVB-Coring'!$F$2:$F$40))*('SVB-Coring'!$F$2:$F$40))</f>
        <v>0</v>
      </c>
      <c r="AE7" s="657" cm="1">
        <f t="array" ref="AE7">SUMPRODUCT(('SVB-Coring'!$R$2:$R$40&gt;=AE86)*('SVB-Coring'!$R$2:$R$40&lt;=AE87)*(ISNUMBER('SVB-Coring'!$F$2:$F$40))*('SVB-Coring'!$F$2:$F$40))</f>
        <v>0</v>
      </c>
      <c r="AF7" s="657" cm="1">
        <f t="array" ref="AF7">SUMPRODUCT(('SVB-Coring'!$R$2:$R$40&gt;=AF86)*('SVB-Coring'!$R$2:$R$40&lt;=AF87)*(ISNUMBER('SVB-Coring'!$F$2:$F$40))*('SVB-Coring'!$F$2:$F$40))</f>
        <v>0</v>
      </c>
      <c r="AG7" s="657" cm="1">
        <f t="array" ref="AG7">SUMPRODUCT(('SVB-Coring'!$R$2:$R$40&gt;=AG86)*('SVB-Coring'!$R$2:$R$40&lt;=AG87)*(ISNUMBER('SVB-Coring'!$F$2:$F$40))*('SVB-Coring'!$F$2:$F$40))</f>
        <v>0</v>
      </c>
      <c r="AH7" s="657" cm="1">
        <f t="array" ref="AH7">SUMPRODUCT(('SVB-Coring'!$R$2:$R$40&gt;=AH86)*('SVB-Coring'!$R$2:$R$40&lt;=AH87)*(ISNUMBER('SVB-Coring'!$F$2:$F$40))*('SVB-Coring'!$F$2:$F$40))</f>
        <v>0</v>
      </c>
      <c r="AI7" s="657" cm="1">
        <f t="array" ref="AI7">SUMPRODUCT(('SVB-Coring'!$R$2:$R$40&gt;=AI86)*('SVB-Coring'!$R$2:$R$40&lt;=AI87)*(ISNUMBER('SVB-Coring'!$F$2:$F$40))*('SVB-Coring'!$F$2:$F$40))</f>
        <v>0</v>
      </c>
      <c r="AJ7" s="657" cm="1">
        <f t="array" ref="AJ7">SUMPRODUCT(('SVB-Coring'!$R$2:$R$40&gt;=AJ86)*('SVB-Coring'!$R$2:$R$40&lt;=AJ87)*(ISNUMBER('SVB-Coring'!$F$2:$F$40))*('SVB-Coring'!$F$2:$F$40))</f>
        <v>0</v>
      </c>
      <c r="AK7" s="657" cm="1">
        <f t="array" ref="AK7">SUMPRODUCT(('SVB-Coring'!$R$2:$R$40&gt;=AK86)*('SVB-Coring'!$R$2:$R$40&lt;=AK87)*(ISNUMBER('SVB-Coring'!$F$2:$F$40))*('SVB-Coring'!$F$2:$F$40))</f>
        <v>0</v>
      </c>
      <c r="AL7" s="657" cm="1">
        <f t="array" ref="AL7">SUMPRODUCT(('SVB-Coring'!$R$2:$R$40&gt;=AL86)*('SVB-Coring'!$R$2:$R$40&lt;=AL87)*(ISNUMBER('SVB-Coring'!$F$2:$F$40))*('SVB-Coring'!$F$2:$F$40))</f>
        <v>0</v>
      </c>
      <c r="AM7" s="657" cm="1">
        <f t="array" ref="AM7">SUMPRODUCT(('SVB-Coring'!$R$2:$R$40&gt;=AM86)*('SVB-Coring'!$R$2:$R$40&lt;=AM87)*(ISNUMBER('SVB-Coring'!$F$2:$F$40))*('SVB-Coring'!$F$2:$F$40))</f>
        <v>0</v>
      </c>
      <c r="AN7" s="658" cm="1">
        <f t="array" ref="AN7">SUMPRODUCT((ISNUMBER('SVB-Coring'!$R$2:$R$40))*(ISNUMBER('SVB-Coring'!$F$2:$F$40))*('SVB-Coring'!$F$2:$F$40))</f>
        <v>39</v>
      </c>
    </row>
    <row r="8" spans="1:40" ht="18" customHeight="1">
      <c r="A8" s="659" t="s">
        <v>1358</v>
      </c>
      <c r="B8" s="660" cm="1">
        <f t="array" ref="B8">SUMPRODUCT(('SVB-Coring'!$S$2:$S$40&gt;=B86)*('SVB-Coring'!$S$2:$S$40&lt;=B87)*(ISNUMBER('SVB-Coring'!$F$2:$F$40))*('SVB-Coring'!$F$2:$F$40))</f>
        <v>2</v>
      </c>
      <c r="C8" s="660" cm="1">
        <f t="array" ref="C8">SUMPRODUCT(('SVB-Coring'!$S$2:$S$40&gt;=C86)*('SVB-Coring'!$S$2:$S$40&lt;=C87)*(ISNUMBER('SVB-Coring'!$F$2:$F$40))*('SVB-Coring'!$F$2:$F$40))</f>
        <v>2</v>
      </c>
      <c r="D8" s="660" cm="1">
        <f t="array" ref="D8">SUMPRODUCT(('SVB-Coring'!$S$2:$S$40&gt;=D86)*('SVB-Coring'!$S$2:$S$40&lt;=D87)*(ISNUMBER('SVB-Coring'!$F$2:$F$40))*('SVB-Coring'!$F$2:$F$40))</f>
        <v>7</v>
      </c>
      <c r="E8" s="660" cm="1">
        <f t="array" ref="E8">SUMPRODUCT(('SVB-Coring'!$S$2:$S$40&gt;=E86)*('SVB-Coring'!$S$2:$S$40&lt;=E87)*(ISNUMBER('SVB-Coring'!$F$2:$F$40))*('SVB-Coring'!$F$2:$F$40))</f>
        <v>3</v>
      </c>
      <c r="F8" s="660" cm="1">
        <f t="array" ref="F8">SUMPRODUCT(('SVB-Coring'!$S$2:$S$40&gt;=F86)*('SVB-Coring'!$S$2:$S$40&lt;=F87)*(ISNUMBER('SVB-Coring'!$F$2:$F$40))*('SVB-Coring'!$F$2:$F$40))</f>
        <v>4</v>
      </c>
      <c r="G8" s="660" cm="1">
        <f t="array" ref="G8">SUMPRODUCT(('SVB-Coring'!$S$2:$S$40&gt;=G86)*('SVB-Coring'!$S$2:$S$40&lt;=G87)*(ISNUMBER('SVB-Coring'!$F$2:$F$40))*('SVB-Coring'!$F$2:$F$40))</f>
        <v>6</v>
      </c>
      <c r="H8" s="660" cm="1">
        <f t="array" ref="H8">SUMPRODUCT(('SVB-Coring'!$S$2:$S$40&gt;=H86)*('SVB-Coring'!$S$2:$S$40&lt;=H87)*(ISNUMBER('SVB-Coring'!$F$2:$F$40))*('SVB-Coring'!$F$2:$F$40))</f>
        <v>2</v>
      </c>
      <c r="I8" s="660" cm="1">
        <f t="array" ref="I8">SUMPRODUCT(('SVB-Coring'!$S$2:$S$40&gt;=I86)*('SVB-Coring'!$S$2:$S$40&lt;=I87)*(ISNUMBER('SVB-Coring'!$F$2:$F$40))*('SVB-Coring'!$F$2:$F$40))</f>
        <v>0</v>
      </c>
      <c r="J8" s="660" cm="1">
        <f t="array" ref="J8">SUMPRODUCT(('SVB-Coring'!$S$2:$S$40&gt;=J86)*('SVB-Coring'!$S$2:$S$40&lt;=J87)*(ISNUMBER('SVB-Coring'!$F$2:$F$40))*('SVB-Coring'!$F$2:$F$40))</f>
        <v>2</v>
      </c>
      <c r="K8" s="660" cm="1">
        <f t="array" ref="K8">SUMPRODUCT(('SVB-Coring'!$S$2:$S$40&gt;=K86)*('SVB-Coring'!$S$2:$S$40&lt;=K87)*(ISNUMBER('SVB-Coring'!$F$2:$F$40))*('SVB-Coring'!$F$2:$F$40))</f>
        <v>6</v>
      </c>
      <c r="L8" s="660" cm="1">
        <f t="array" ref="L8">SUMPRODUCT(('SVB-Coring'!$S$2:$S$40&gt;=L86)*('SVB-Coring'!$S$2:$S$40&lt;=L87)*(ISNUMBER('SVB-Coring'!$F$2:$F$40))*('SVB-Coring'!$F$2:$F$40))</f>
        <v>5</v>
      </c>
      <c r="M8" s="660" cm="1">
        <f t="array" ref="M8">SUMPRODUCT(('SVB-Coring'!$S$2:$S$40&gt;=M86)*('SVB-Coring'!$S$2:$S$40&lt;=M87)*(ISNUMBER('SVB-Coring'!$F$2:$F$40))*('SVB-Coring'!$F$2:$F$40))</f>
        <v>0</v>
      </c>
      <c r="N8" s="660" cm="1">
        <f t="array" ref="N8">SUMPRODUCT(('SVB-Coring'!$S$2:$S$40&gt;=N86)*('SVB-Coring'!$S$2:$S$40&lt;=N87)*(ISNUMBER('SVB-Coring'!$F$2:$F$40))*('SVB-Coring'!$F$2:$F$40))</f>
        <v>0</v>
      </c>
      <c r="O8" s="660" cm="1">
        <f t="array" ref="O8">SUMPRODUCT(('SVB-Coring'!$S$2:$S$40&gt;=O86)*('SVB-Coring'!$S$2:$S$40&lt;=O87)*(ISNUMBER('SVB-Coring'!$F$2:$F$40))*('SVB-Coring'!$F$2:$F$40))</f>
        <v>0</v>
      </c>
      <c r="P8" s="660" cm="1">
        <f t="array" ref="P8">SUMPRODUCT(('SVB-Coring'!$S$2:$S$40&gt;=P86)*('SVB-Coring'!$S$2:$S$40&lt;=P87)*(ISNUMBER('SVB-Coring'!$F$2:$F$40))*('SVB-Coring'!$F$2:$F$40))</f>
        <v>0</v>
      </c>
      <c r="Q8" s="660" cm="1">
        <f t="array" ref="Q8">SUMPRODUCT(('SVB-Coring'!$S$2:$S$40&gt;=Q86)*('SVB-Coring'!$S$2:$S$40&lt;=Q87)*(ISNUMBER('SVB-Coring'!$F$2:$F$40))*('SVB-Coring'!$F$2:$F$40))</f>
        <v>0</v>
      </c>
      <c r="R8" s="660" cm="1">
        <f t="array" ref="R8">SUMPRODUCT(('SVB-Coring'!$S$2:$S$40&gt;=R86)*('SVB-Coring'!$S$2:$S$40&lt;=R87)*(ISNUMBER('SVB-Coring'!$F$2:$F$40))*('SVB-Coring'!$F$2:$F$40))</f>
        <v>0</v>
      </c>
      <c r="S8" s="660" cm="1">
        <f t="array" ref="S8">SUMPRODUCT(('SVB-Coring'!$S$2:$S$40&gt;=S86)*('SVB-Coring'!$S$2:$S$40&lt;=S87)*(ISNUMBER('SVB-Coring'!$F$2:$F$40))*('SVB-Coring'!$F$2:$F$40))</f>
        <v>0</v>
      </c>
      <c r="T8" s="660" cm="1">
        <f t="array" ref="T8">SUMPRODUCT(('SVB-Coring'!$S$2:$S$40&gt;=T86)*('SVB-Coring'!$S$2:$S$40&lt;=T87)*(ISNUMBER('SVB-Coring'!$F$2:$F$40))*('SVB-Coring'!$F$2:$F$40))</f>
        <v>0</v>
      </c>
      <c r="U8" s="660" cm="1">
        <f t="array" ref="U8">SUMPRODUCT(('SVB-Coring'!$S$2:$S$40&gt;=U86)*('SVB-Coring'!$S$2:$S$40&lt;=U87)*(ISNUMBER('SVB-Coring'!$F$2:$F$40))*('SVB-Coring'!$F$2:$F$40))</f>
        <v>0</v>
      </c>
      <c r="V8" s="660" cm="1">
        <f t="array" ref="V8">SUMPRODUCT(('SVB-Coring'!$S$2:$S$40&gt;=V86)*('SVB-Coring'!$S$2:$S$40&lt;=V87)*(ISNUMBER('SVB-Coring'!$F$2:$F$40))*('SVB-Coring'!$F$2:$F$40))</f>
        <v>0</v>
      </c>
      <c r="W8" s="660" cm="1">
        <f t="array" ref="W8">SUMPRODUCT(('SVB-Coring'!$S$2:$S$40&gt;=W86)*('SVB-Coring'!$S$2:$S$40&lt;=W87)*(ISNUMBER('SVB-Coring'!$F$2:$F$40))*('SVB-Coring'!$F$2:$F$40))</f>
        <v>0</v>
      </c>
      <c r="X8" s="660" cm="1">
        <f t="array" ref="X8">SUMPRODUCT(('SVB-Coring'!$S$2:$S$40&gt;=X86)*('SVB-Coring'!$S$2:$S$40&lt;=X87)*(ISNUMBER('SVB-Coring'!$F$2:$F$40))*('SVB-Coring'!$F$2:$F$40))</f>
        <v>0</v>
      </c>
      <c r="Y8" s="660" cm="1">
        <f t="array" ref="Y8">SUMPRODUCT(('SVB-Coring'!$S$2:$S$40&gt;=Y86)*('SVB-Coring'!$S$2:$S$40&lt;=Y87)*(ISNUMBER('SVB-Coring'!$F$2:$F$40))*('SVB-Coring'!$F$2:$F$40))</f>
        <v>0</v>
      </c>
      <c r="Z8" s="660" cm="1">
        <f t="array" ref="Z8">SUMPRODUCT(('SVB-Coring'!$S$2:$S$40&gt;=Z86)*('SVB-Coring'!$S$2:$S$40&lt;=Z87)*(ISNUMBER('SVB-Coring'!$F$2:$F$40))*('SVB-Coring'!$F$2:$F$40))</f>
        <v>0</v>
      </c>
      <c r="AA8" s="660" cm="1">
        <f t="array" ref="AA8">SUMPRODUCT(('SVB-Coring'!$S$2:$S$40&gt;=AA86)*('SVB-Coring'!$S$2:$S$40&lt;=AA87)*(ISNUMBER('SVB-Coring'!$F$2:$F$40))*('SVB-Coring'!$F$2:$F$40))</f>
        <v>0</v>
      </c>
      <c r="AB8" s="660" cm="1">
        <f t="array" ref="AB8">SUMPRODUCT(('SVB-Coring'!$S$2:$S$40&gt;=AB86)*('SVB-Coring'!$S$2:$S$40&lt;=AB87)*(ISNUMBER('SVB-Coring'!$F$2:$F$40))*('SVB-Coring'!$F$2:$F$40))</f>
        <v>0</v>
      </c>
      <c r="AC8" s="660" cm="1">
        <f t="array" ref="AC8">SUMPRODUCT(('SVB-Coring'!$S$2:$S$40&gt;=AC86)*('SVB-Coring'!$S$2:$S$40&lt;=AC87)*(ISNUMBER('SVB-Coring'!$F$2:$F$40))*('SVB-Coring'!$F$2:$F$40))</f>
        <v>0</v>
      </c>
      <c r="AD8" s="660" cm="1">
        <f t="array" ref="AD8">SUMPRODUCT(('SVB-Coring'!$S$2:$S$40&gt;=AD86)*('SVB-Coring'!$S$2:$S$40&lt;=AD87)*(ISNUMBER('SVB-Coring'!$F$2:$F$40))*('SVB-Coring'!$F$2:$F$40))</f>
        <v>0</v>
      </c>
      <c r="AE8" s="660" cm="1">
        <f t="array" ref="AE8">SUMPRODUCT(('SVB-Coring'!$S$2:$S$40&gt;=AE86)*('SVB-Coring'!$S$2:$S$40&lt;=AE87)*(ISNUMBER('SVB-Coring'!$F$2:$F$40))*('SVB-Coring'!$F$2:$F$40))</f>
        <v>0</v>
      </c>
      <c r="AF8" s="660" cm="1">
        <f t="array" ref="AF8">SUMPRODUCT(('SVB-Coring'!$S$2:$S$40&gt;=AF86)*('SVB-Coring'!$S$2:$S$40&lt;=AF87)*(ISNUMBER('SVB-Coring'!$F$2:$F$40))*('SVB-Coring'!$F$2:$F$40))</f>
        <v>0</v>
      </c>
      <c r="AG8" s="660" cm="1">
        <f t="array" ref="AG8">SUMPRODUCT(('SVB-Coring'!$S$2:$S$40&gt;=AG86)*('SVB-Coring'!$S$2:$S$40&lt;=AG87)*(ISNUMBER('SVB-Coring'!$F$2:$F$40))*('SVB-Coring'!$F$2:$F$40))</f>
        <v>0</v>
      </c>
      <c r="AH8" s="660" cm="1">
        <f t="array" ref="AH8">SUMPRODUCT(('SVB-Coring'!$S$2:$S$40&gt;=AH86)*('SVB-Coring'!$S$2:$S$40&lt;=AH87)*(ISNUMBER('SVB-Coring'!$F$2:$F$40))*('SVB-Coring'!$F$2:$F$40))</f>
        <v>0</v>
      </c>
      <c r="AI8" s="660" cm="1">
        <f t="array" ref="AI8">SUMPRODUCT(('SVB-Coring'!$S$2:$S$40&gt;=AI86)*('SVB-Coring'!$S$2:$S$40&lt;=AI87)*(ISNUMBER('SVB-Coring'!$F$2:$F$40))*('SVB-Coring'!$F$2:$F$40))</f>
        <v>0</v>
      </c>
      <c r="AJ8" s="660" cm="1">
        <f t="array" ref="AJ8">SUMPRODUCT(('SVB-Coring'!$S$2:$S$40&gt;=AJ86)*('SVB-Coring'!$S$2:$S$40&lt;=AJ87)*(ISNUMBER('SVB-Coring'!$F$2:$F$40))*('SVB-Coring'!$F$2:$F$40))</f>
        <v>0</v>
      </c>
      <c r="AK8" s="660" cm="1">
        <f t="array" ref="AK8">SUMPRODUCT(('SVB-Coring'!$S$2:$S$40&gt;=AK86)*('SVB-Coring'!$S$2:$S$40&lt;=AK87)*(ISNUMBER('SVB-Coring'!$F$2:$F$40))*('SVB-Coring'!$F$2:$F$40))</f>
        <v>0</v>
      </c>
      <c r="AL8" s="660" cm="1">
        <f t="array" ref="AL8">SUMPRODUCT(('SVB-Coring'!$S$2:$S$40&gt;=AL86)*('SVB-Coring'!$S$2:$S$40&lt;=AL87)*(ISNUMBER('SVB-Coring'!$F$2:$F$40))*('SVB-Coring'!$F$2:$F$40))</f>
        <v>0</v>
      </c>
      <c r="AM8" s="660" cm="1">
        <f t="array" ref="AM8">SUMPRODUCT(('SVB-Coring'!$S$2:$S$40&gt;=AM86)*('SVB-Coring'!$S$2:$S$40&lt;=AM87)*(ISNUMBER('SVB-Coring'!$F$2:$F$40))*('SVB-Coring'!$F$2:$F$40))</f>
        <v>0</v>
      </c>
      <c r="AN8" s="658">
        <f>SUM(B8:AM8)</f>
        <v>39</v>
      </c>
    </row>
    <row r="9" spans="1:40" ht="18" customHeight="1">
      <c r="A9" s="661" t="s">
        <v>1359</v>
      </c>
      <c r="B9" s="662">
        <f t="shared" ref="B9:AN9" si="0">IF(B7=0,0,B8/B7)</f>
        <v>1</v>
      </c>
      <c r="C9" s="662">
        <f t="shared" si="0"/>
        <v>1</v>
      </c>
      <c r="D9" s="662">
        <f t="shared" si="0"/>
        <v>1</v>
      </c>
      <c r="E9" s="662">
        <f t="shared" si="0"/>
        <v>1</v>
      </c>
      <c r="F9" s="662">
        <f t="shared" si="0"/>
        <v>1</v>
      </c>
      <c r="G9" s="662">
        <f t="shared" si="0"/>
        <v>1</v>
      </c>
      <c r="H9" s="662">
        <f t="shared" si="0"/>
        <v>1</v>
      </c>
      <c r="I9" s="662">
        <f t="shared" si="0"/>
        <v>0</v>
      </c>
      <c r="J9" s="662">
        <f t="shared" si="0"/>
        <v>1</v>
      </c>
      <c r="K9" s="662">
        <f t="shared" si="0"/>
        <v>1</v>
      </c>
      <c r="L9" s="662">
        <f t="shared" si="0"/>
        <v>1</v>
      </c>
      <c r="M9" s="662">
        <f t="shared" si="0"/>
        <v>0</v>
      </c>
      <c r="N9" s="662">
        <f t="shared" si="0"/>
        <v>0</v>
      </c>
      <c r="O9" s="662">
        <f t="shared" si="0"/>
        <v>0</v>
      </c>
      <c r="P9" s="662">
        <f t="shared" si="0"/>
        <v>0</v>
      </c>
      <c r="Q9" s="662">
        <f t="shared" si="0"/>
        <v>0</v>
      </c>
      <c r="R9" s="662">
        <f t="shared" si="0"/>
        <v>0</v>
      </c>
      <c r="S9" s="662">
        <f t="shared" si="0"/>
        <v>0</v>
      </c>
      <c r="T9" s="662">
        <f t="shared" si="0"/>
        <v>0</v>
      </c>
      <c r="U9" s="662">
        <f t="shared" si="0"/>
        <v>0</v>
      </c>
      <c r="V9" s="662">
        <f t="shared" si="0"/>
        <v>0</v>
      </c>
      <c r="W9" s="662">
        <f t="shared" si="0"/>
        <v>0</v>
      </c>
      <c r="X9" s="662">
        <f t="shared" si="0"/>
        <v>0</v>
      </c>
      <c r="Y9" s="662">
        <f t="shared" si="0"/>
        <v>0</v>
      </c>
      <c r="Z9" s="662">
        <f t="shared" si="0"/>
        <v>0</v>
      </c>
      <c r="AA9" s="662">
        <f t="shared" si="0"/>
        <v>0</v>
      </c>
      <c r="AB9" s="662">
        <f t="shared" si="0"/>
        <v>0</v>
      </c>
      <c r="AC9" s="662">
        <f t="shared" si="0"/>
        <v>0</v>
      </c>
      <c r="AD9" s="662">
        <f t="shared" si="0"/>
        <v>0</v>
      </c>
      <c r="AE9" s="662">
        <f t="shared" si="0"/>
        <v>0</v>
      </c>
      <c r="AF9" s="662">
        <f t="shared" si="0"/>
        <v>0</v>
      </c>
      <c r="AG9" s="662">
        <f t="shared" si="0"/>
        <v>0</v>
      </c>
      <c r="AH9" s="662">
        <f t="shared" si="0"/>
        <v>0</v>
      </c>
      <c r="AI9" s="662">
        <f t="shared" si="0"/>
        <v>0</v>
      </c>
      <c r="AJ9" s="662">
        <f t="shared" si="0"/>
        <v>0</v>
      </c>
      <c r="AK9" s="662">
        <f t="shared" si="0"/>
        <v>0</v>
      </c>
      <c r="AL9" s="662">
        <f t="shared" si="0"/>
        <v>0</v>
      </c>
      <c r="AM9" s="662">
        <f t="shared" si="0"/>
        <v>0</v>
      </c>
      <c r="AN9" s="663">
        <f t="shared" si="0"/>
        <v>1</v>
      </c>
    </row>
    <row r="10" spans="1:40" ht="18" customHeight="1">
      <c r="A10" s="664" t="s">
        <v>1360</v>
      </c>
      <c r="B10" s="665">
        <f>SUM($B7:B7)</f>
        <v>2</v>
      </c>
      <c r="C10" s="665">
        <f>SUM($B7:C7)</f>
        <v>4</v>
      </c>
      <c r="D10" s="665">
        <f>SUM($B7:D7)</f>
        <v>11</v>
      </c>
      <c r="E10" s="665">
        <f>SUM($B7:E7)</f>
        <v>14</v>
      </c>
      <c r="F10" s="665">
        <f>SUM($B7:F7)</f>
        <v>18</v>
      </c>
      <c r="G10" s="665">
        <f>SUM($B7:G7)</f>
        <v>24</v>
      </c>
      <c r="H10" s="665">
        <f>SUM($B7:H7)</f>
        <v>26</v>
      </c>
      <c r="I10" s="665">
        <f>SUM($B7:I7)</f>
        <v>26</v>
      </c>
      <c r="J10" s="665">
        <f>SUM($B7:J7)</f>
        <v>28</v>
      </c>
      <c r="K10" s="665">
        <f>SUM($B7:K7)</f>
        <v>34</v>
      </c>
      <c r="L10" s="665">
        <f>SUM($B7:L7)</f>
        <v>39</v>
      </c>
      <c r="M10" s="665">
        <f>SUM($B7:M7)</f>
        <v>39</v>
      </c>
      <c r="N10" s="665">
        <f>SUM($B7:N7)</f>
        <v>39</v>
      </c>
      <c r="O10" s="665">
        <f>SUM($B7:O7)</f>
        <v>39</v>
      </c>
      <c r="P10" s="665">
        <f>SUM($B7:P7)</f>
        <v>39</v>
      </c>
      <c r="Q10" s="665">
        <f>SUM($B7:Q7)</f>
        <v>39</v>
      </c>
      <c r="R10" s="665">
        <f>SUM($B7:R7)</f>
        <v>39</v>
      </c>
      <c r="S10" s="665">
        <f>SUM($B7:S7)</f>
        <v>39</v>
      </c>
      <c r="T10" s="665">
        <f>SUM($B7:T7)</f>
        <v>39</v>
      </c>
      <c r="U10" s="665">
        <f>SUM($B7:U7)</f>
        <v>39</v>
      </c>
      <c r="V10" s="665">
        <f>SUM($B7:V7)</f>
        <v>39</v>
      </c>
      <c r="W10" s="665">
        <f>SUM($B7:W7)</f>
        <v>39</v>
      </c>
      <c r="X10" s="665">
        <f>SUM($B7:X7)</f>
        <v>39</v>
      </c>
      <c r="Y10" s="665">
        <f>SUM($B7:Y7)</f>
        <v>39</v>
      </c>
      <c r="Z10" s="665">
        <f>SUM($B7:Z7)</f>
        <v>39</v>
      </c>
      <c r="AA10" s="665">
        <f>SUM($B7:AA7)</f>
        <v>39</v>
      </c>
      <c r="AB10" s="665">
        <f>SUM($B7:AB7)</f>
        <v>39</v>
      </c>
      <c r="AC10" s="665">
        <f>SUM($B7:AC7)</f>
        <v>39</v>
      </c>
      <c r="AD10" s="665">
        <f>SUM($B7:AD7)</f>
        <v>39</v>
      </c>
      <c r="AE10" s="665">
        <f>SUM($B7:AE7)</f>
        <v>39</v>
      </c>
      <c r="AF10" s="665">
        <f>SUM($B7:AF7)</f>
        <v>39</v>
      </c>
      <c r="AG10" s="665">
        <f>SUM($B7:AG7)</f>
        <v>39</v>
      </c>
      <c r="AH10" s="665">
        <f>SUM($B7:AH7)</f>
        <v>39</v>
      </c>
      <c r="AI10" s="665">
        <f>SUM($B7:AI7)</f>
        <v>39</v>
      </c>
      <c r="AJ10" s="665">
        <f>SUM($B7:AJ7)</f>
        <v>39</v>
      </c>
      <c r="AK10" s="665">
        <f>SUM($B7:AK7)</f>
        <v>39</v>
      </c>
      <c r="AL10" s="665">
        <f>SUM($B7:AL7)</f>
        <v>39</v>
      </c>
      <c r="AM10" s="665">
        <f>SUM($B7:AM7)</f>
        <v>39</v>
      </c>
      <c r="AN10" s="658">
        <f>AN7</f>
        <v>39</v>
      </c>
    </row>
    <row r="11" spans="1:40" ht="18" customHeight="1">
      <c r="A11" s="664" t="s">
        <v>1361</v>
      </c>
      <c r="B11" s="665">
        <f>SUM($B8:B8)</f>
        <v>2</v>
      </c>
      <c r="C11" s="665">
        <f>SUM($B8:C8)</f>
        <v>4</v>
      </c>
      <c r="D11" s="665">
        <f>SUM($B8:D8)</f>
        <v>11</v>
      </c>
      <c r="E11" s="665">
        <f>SUM($B8:E8)</f>
        <v>14</v>
      </c>
      <c r="F11" s="665">
        <f>SUM($B8:F8)</f>
        <v>18</v>
      </c>
      <c r="G11" s="665">
        <f>SUM($B8:G8)</f>
        <v>24</v>
      </c>
      <c r="H11" s="665">
        <f>SUM($B8:H8)</f>
        <v>26</v>
      </c>
      <c r="I11" s="665">
        <f>SUM($B8:I8)</f>
        <v>26</v>
      </c>
      <c r="J11" s="665">
        <f>SUM($B8:J8)</f>
        <v>28</v>
      </c>
      <c r="K11" s="665">
        <f>SUM($B8:K8)</f>
        <v>34</v>
      </c>
      <c r="L11" s="665">
        <f>SUM($B8:L8)</f>
        <v>39</v>
      </c>
      <c r="M11" s="665">
        <f>SUM($B8:M8)</f>
        <v>39</v>
      </c>
      <c r="N11" s="665">
        <f>SUM($B8:N8)</f>
        <v>39</v>
      </c>
      <c r="O11" s="665">
        <f>SUM($B8:O8)</f>
        <v>39</v>
      </c>
      <c r="P11" s="665">
        <f>SUM($B8:P8)</f>
        <v>39</v>
      </c>
      <c r="Q11" s="665">
        <f>SUM($B8:Q8)</f>
        <v>39</v>
      </c>
      <c r="R11" s="665">
        <f>SUM($B8:R8)</f>
        <v>39</v>
      </c>
      <c r="S11" s="665">
        <f>SUM($B8:S8)</f>
        <v>39</v>
      </c>
      <c r="T11" s="665">
        <f>SUM($B8:T8)</f>
        <v>39</v>
      </c>
      <c r="U11" s="665">
        <f>SUM($B8:U8)</f>
        <v>39</v>
      </c>
      <c r="V11" s="665">
        <f>SUM($B8:V8)</f>
        <v>39</v>
      </c>
      <c r="W11" s="665">
        <f>SUM($B8:W8)</f>
        <v>39</v>
      </c>
      <c r="X11" s="665">
        <f>SUM($B8:X8)</f>
        <v>39</v>
      </c>
      <c r="Y11" s="665">
        <f>SUM($B8:Y8)</f>
        <v>39</v>
      </c>
      <c r="Z11" s="665">
        <f>SUM($B8:Z8)</f>
        <v>39</v>
      </c>
      <c r="AA11" s="665">
        <f>SUM($B8:AA8)</f>
        <v>39</v>
      </c>
      <c r="AB11" s="665">
        <f>SUM($B8:AB8)</f>
        <v>39</v>
      </c>
      <c r="AC11" s="665">
        <f>SUM($B8:AC8)</f>
        <v>39</v>
      </c>
      <c r="AD11" s="665">
        <f>SUM($B8:AD8)</f>
        <v>39</v>
      </c>
      <c r="AE11" s="665">
        <f>SUM($B8:AE8)</f>
        <v>39</v>
      </c>
      <c r="AF11" s="665">
        <f>SUM($B8:AF8)</f>
        <v>39</v>
      </c>
      <c r="AG11" s="665">
        <f>SUM($B8:AG8)</f>
        <v>39</v>
      </c>
      <c r="AH11" s="665">
        <f>SUM($B8:AH8)</f>
        <v>39</v>
      </c>
      <c r="AI11" s="665">
        <f>SUM($B8:AI8)</f>
        <v>39</v>
      </c>
      <c r="AJ11" s="665">
        <f>SUM($B8:AJ8)</f>
        <v>39</v>
      </c>
      <c r="AK11" s="665">
        <f>SUM($B8:AK8)</f>
        <v>39</v>
      </c>
      <c r="AL11" s="665">
        <f>SUM($B8:AL8)</f>
        <v>39</v>
      </c>
      <c r="AM11" s="665">
        <f>SUM($B8:AM8)</f>
        <v>39</v>
      </c>
      <c r="AN11" s="658">
        <f>AN8</f>
        <v>39</v>
      </c>
    </row>
    <row r="12" spans="1:40" ht="18" customHeight="1">
      <c r="A12" s="666" t="s">
        <v>1362</v>
      </c>
      <c r="B12" s="667">
        <f>IF(AN7=0,0,B11/AN7)</f>
        <v>5.128205128205128E-2</v>
      </c>
      <c r="C12" s="667">
        <f>IF(AN7=0,0,C11/AN7)</f>
        <v>0.10256410256410256</v>
      </c>
      <c r="D12" s="667">
        <f>IF(AN7=0,0,D11/AN7)</f>
        <v>0.28205128205128205</v>
      </c>
      <c r="E12" s="667">
        <f>IF(AN7=0,0,E11/AN7)</f>
        <v>0.35897435897435898</v>
      </c>
      <c r="F12" s="667">
        <f>IF(AN7=0,0,F11/AN7)</f>
        <v>0.46153846153846156</v>
      </c>
      <c r="G12" s="667">
        <f>IF(AN7=0,0,G11/AN7)</f>
        <v>0.61538461538461542</v>
      </c>
      <c r="H12" s="667">
        <f>IF(AN7=0,0,H11/AN7)</f>
        <v>0.66666666666666663</v>
      </c>
      <c r="I12" s="667">
        <f>IF(AN7=0,0,I11/AN7)</f>
        <v>0.66666666666666663</v>
      </c>
      <c r="J12" s="667">
        <f>IF(AN7=0,0,J11/AN7)</f>
        <v>0.71794871794871795</v>
      </c>
      <c r="K12" s="667">
        <f>IF(AN7=0,0,K11/AN7)</f>
        <v>0.87179487179487181</v>
      </c>
      <c r="L12" s="667">
        <f>IF(AN7=0,0,L11/AN7)</f>
        <v>1</v>
      </c>
      <c r="M12" s="667">
        <f>IF(AN7=0,0,M11/AN7)</f>
        <v>1</v>
      </c>
      <c r="N12" s="667">
        <f>IF(AN7=0,0,N11/AN7)</f>
        <v>1</v>
      </c>
      <c r="O12" s="667">
        <f>IF(AN7=0,0,O11/AN7)</f>
        <v>1</v>
      </c>
      <c r="P12" s="667">
        <f>IF(AN7=0,0,P11/AN7)</f>
        <v>1</v>
      </c>
      <c r="Q12" s="667">
        <f>IF(AN7=0,0,Q11/AN7)</f>
        <v>1</v>
      </c>
      <c r="R12" s="667">
        <f>IF(AN7=0,0,R11/AN7)</f>
        <v>1</v>
      </c>
      <c r="S12" s="667">
        <f>IF(AN7=0,0,S11/AN7)</f>
        <v>1</v>
      </c>
      <c r="T12" s="667">
        <f>IF(AN7=0,0,T11/AN7)</f>
        <v>1</v>
      </c>
      <c r="U12" s="667">
        <f>IF(AN7=0,0,U11/AN7)</f>
        <v>1</v>
      </c>
      <c r="V12" s="667">
        <f>IF(AN7=0,0,V11/AN7)</f>
        <v>1</v>
      </c>
      <c r="W12" s="667">
        <f>IF(AN7=0,0,W11/AN7)</f>
        <v>1</v>
      </c>
      <c r="X12" s="667">
        <f>IF(AN7=0,0,X11/AN7)</f>
        <v>1</v>
      </c>
      <c r="Y12" s="667">
        <f>IF(AN7=0,0,Y11/AN7)</f>
        <v>1</v>
      </c>
      <c r="Z12" s="667">
        <f>IF(AN7=0,0,Z11/AN7)</f>
        <v>1</v>
      </c>
      <c r="AA12" s="667">
        <f>IF(AN7=0,0,AA11/AN7)</f>
        <v>1</v>
      </c>
      <c r="AB12" s="667">
        <f>IF(AN7=0,0,AB11/AN7)</f>
        <v>1</v>
      </c>
      <c r="AC12" s="667">
        <f>IF(AN7=0,0,AC11/AN7)</f>
        <v>1</v>
      </c>
      <c r="AD12" s="667">
        <f>IF(AN7=0,0,AD11/AN7)</f>
        <v>1</v>
      </c>
      <c r="AE12" s="667">
        <f>IF(AN7=0,0,AE11/AN7)</f>
        <v>1</v>
      </c>
      <c r="AF12" s="667">
        <f>IF(AN7=0,0,AF11/AN7)</f>
        <v>1</v>
      </c>
      <c r="AG12" s="667">
        <f>IF(AN7=0,0,AG11/AN7)</f>
        <v>1</v>
      </c>
      <c r="AH12" s="667">
        <f>IF(AN7=0,0,AH11/AN7)</f>
        <v>1</v>
      </c>
      <c r="AI12" s="667">
        <f>IF(AN7=0,0,AI11/AN7)</f>
        <v>1</v>
      </c>
      <c r="AJ12" s="667">
        <f>IF(AN7=0,0,AJ11/AN7)</f>
        <v>1</v>
      </c>
      <c r="AK12" s="667">
        <f>IF(AN7=0,0,AK11/AN7)</f>
        <v>1</v>
      </c>
      <c r="AL12" s="667">
        <f>IF(AN7=0,0,AL11/AN7)</f>
        <v>1</v>
      </c>
      <c r="AM12" s="667">
        <f>IF(AN7=0,0,AM11/AN7)</f>
        <v>1</v>
      </c>
      <c r="AN12" s="663">
        <f>IF(AN7=0,0,AN11/AN7)</f>
        <v>1</v>
      </c>
    </row>
    <row r="13" spans="1:40" ht="4.95" customHeight="1"/>
    <row r="14" spans="1:40" ht="22.2" customHeight="1">
      <c r="A14" s="1207" t="s">
        <v>1363</v>
      </c>
      <c r="B14" s="1200"/>
      <c r="C14" s="1200"/>
      <c r="D14" s="1200"/>
      <c r="E14" s="1200"/>
      <c r="F14" s="1200"/>
      <c r="G14" s="1200"/>
      <c r="H14" s="1200"/>
      <c r="I14" s="1200"/>
      <c r="J14" s="1200"/>
      <c r="K14" s="1200"/>
      <c r="L14" s="1200"/>
      <c r="M14" s="1200"/>
      <c r="N14" s="1200"/>
      <c r="O14" s="1200"/>
      <c r="P14" s="1200"/>
      <c r="Q14" s="1200"/>
      <c r="R14" s="1200"/>
      <c r="S14" s="1200"/>
      <c r="T14" s="1200"/>
      <c r="U14" s="1200"/>
      <c r="V14" s="1200"/>
      <c r="W14" s="1200"/>
      <c r="X14" s="1200"/>
      <c r="Y14" s="1200"/>
      <c r="Z14" s="1200"/>
      <c r="AA14" s="1200"/>
      <c r="AB14" s="1200"/>
      <c r="AC14" s="1200"/>
      <c r="AD14" s="1200"/>
      <c r="AE14" s="1200"/>
      <c r="AF14" s="1200"/>
      <c r="AG14" s="1200"/>
      <c r="AH14" s="1200"/>
      <c r="AI14" s="1200"/>
      <c r="AJ14" s="1200"/>
      <c r="AK14" s="1200"/>
      <c r="AL14" s="1200"/>
      <c r="AM14" s="1200"/>
      <c r="AN14" s="1201"/>
    </row>
    <row r="15" spans="1:40" ht="18" customHeight="1">
      <c r="A15" s="656" t="s">
        <v>1357</v>
      </c>
      <c r="B15" s="657" cm="1">
        <f t="array" ref="B15">SUMPRODUCT(('SVB-Coring'!$T$2:$T$40&gt;=B86)*('SVB-Coring'!$T$2:$T$40&lt;=B87)*(ISNUMBER('SVB-Coring'!$K$2:$K$40))*('SVB-Coring'!$K$2:$K$40))</f>
        <v>0</v>
      </c>
      <c r="C15" s="657" cm="1">
        <f t="array" ref="C15">SUMPRODUCT(('SVB-Coring'!$T$2:$T$40&gt;=C86)*('SVB-Coring'!$T$2:$T$40&lt;=C87)*(ISNUMBER('SVB-Coring'!$K$2:$K$40))*('SVB-Coring'!$K$2:$K$40))</f>
        <v>0</v>
      </c>
      <c r="D15" s="657" cm="1">
        <f t="array" ref="D15">SUMPRODUCT(('SVB-Coring'!$T$2:$T$40&gt;=D86)*('SVB-Coring'!$T$2:$T$40&lt;=D87)*(ISNUMBER('SVB-Coring'!$K$2:$K$40))*('SVB-Coring'!$K$2:$K$40))</f>
        <v>0</v>
      </c>
      <c r="E15" s="657" cm="1">
        <f t="array" ref="E15">SUMPRODUCT(('SVB-Coring'!$T$2:$T$40&gt;=E86)*('SVB-Coring'!$T$2:$T$40&lt;=E87)*(ISNUMBER('SVB-Coring'!$K$2:$K$40))*('SVB-Coring'!$K$2:$K$40))</f>
        <v>0</v>
      </c>
      <c r="F15" s="657" cm="1">
        <f t="array" ref="F15">SUMPRODUCT(('SVB-Coring'!$T$2:$T$40&gt;=F86)*('SVB-Coring'!$T$2:$T$40&lt;=F87)*(ISNUMBER('SVB-Coring'!$K$2:$K$40))*('SVB-Coring'!$K$2:$K$40))</f>
        <v>0</v>
      </c>
      <c r="G15" s="657" cm="1">
        <f t="array" ref="G15">SUMPRODUCT(('SVB-Coring'!$T$2:$T$40&gt;=G86)*('SVB-Coring'!$T$2:$T$40&lt;=G87)*(ISNUMBER('SVB-Coring'!$K$2:$K$40))*('SVB-Coring'!$K$2:$K$40))</f>
        <v>0</v>
      </c>
      <c r="H15" s="657" cm="1">
        <f t="array" ref="H15">SUMPRODUCT(('SVB-Coring'!$T$2:$T$40&gt;=H86)*('SVB-Coring'!$T$2:$T$40&lt;=H87)*(ISNUMBER('SVB-Coring'!$K$2:$K$40))*('SVB-Coring'!$K$2:$K$40))</f>
        <v>0</v>
      </c>
      <c r="I15" s="657" cm="1">
        <f t="array" ref="I15">SUMPRODUCT(('SVB-Coring'!$T$2:$T$40&gt;=I86)*('SVB-Coring'!$T$2:$T$40&lt;=I87)*(ISNUMBER('SVB-Coring'!$K$2:$K$40))*('SVB-Coring'!$K$2:$K$40))</f>
        <v>0</v>
      </c>
      <c r="J15" s="657" cm="1">
        <f t="array" ref="J15">SUMPRODUCT(('SVB-Coring'!$T$2:$T$40&gt;=J86)*('SVB-Coring'!$T$2:$T$40&lt;=J87)*(ISNUMBER('SVB-Coring'!$K$2:$K$40))*('SVB-Coring'!$K$2:$K$40))</f>
        <v>0</v>
      </c>
      <c r="K15" s="657" cm="1">
        <f t="array" ref="K15">SUMPRODUCT(('SVB-Coring'!$T$2:$T$40&gt;=K86)*('SVB-Coring'!$T$2:$T$40&lt;=K87)*(ISNUMBER('SVB-Coring'!$K$2:$K$40))*('SVB-Coring'!$K$2:$K$40))</f>
        <v>0</v>
      </c>
      <c r="L15" s="657" cm="1">
        <f t="array" ref="L15">SUMPRODUCT(('SVB-Coring'!$T$2:$T$40&gt;=L86)*('SVB-Coring'!$T$2:$T$40&lt;=L87)*(ISNUMBER('SVB-Coring'!$K$2:$K$40))*('SVB-Coring'!$K$2:$K$40))</f>
        <v>1</v>
      </c>
      <c r="M15" s="657" cm="1">
        <f t="array" ref="M15">SUMPRODUCT(('SVB-Coring'!$T$2:$T$40&gt;=M86)*('SVB-Coring'!$T$2:$T$40&lt;=M87)*(ISNUMBER('SVB-Coring'!$K$2:$K$40))*('SVB-Coring'!$K$2:$K$40))</f>
        <v>0</v>
      </c>
      <c r="N15" s="657" cm="1">
        <f t="array" ref="N15">SUMPRODUCT(('SVB-Coring'!$T$2:$T$40&gt;=N86)*('SVB-Coring'!$T$2:$T$40&lt;=N87)*(ISNUMBER('SVB-Coring'!$K$2:$K$40))*('SVB-Coring'!$K$2:$K$40))</f>
        <v>0</v>
      </c>
      <c r="O15" s="657" cm="1">
        <f t="array" ref="O15">SUMPRODUCT(('SVB-Coring'!$T$2:$T$40&gt;=O86)*('SVB-Coring'!$T$2:$T$40&lt;=O87)*(ISNUMBER('SVB-Coring'!$K$2:$K$40))*('SVB-Coring'!$K$2:$K$40))</f>
        <v>1</v>
      </c>
      <c r="P15" s="657" cm="1">
        <f t="array" ref="P15">SUMPRODUCT(('SVB-Coring'!$T$2:$T$40&gt;=P86)*('SVB-Coring'!$T$2:$T$40&lt;=P87)*(ISNUMBER('SVB-Coring'!$K$2:$K$40))*('SVB-Coring'!$K$2:$K$40))</f>
        <v>2</v>
      </c>
      <c r="Q15" s="657" cm="1">
        <f t="array" ref="Q15">SUMPRODUCT(('SVB-Coring'!$T$2:$T$40&gt;=Q86)*('SVB-Coring'!$T$2:$T$40&lt;=Q87)*(ISNUMBER('SVB-Coring'!$K$2:$K$40))*('SVB-Coring'!$K$2:$K$40))</f>
        <v>1</v>
      </c>
      <c r="R15" s="657" cm="1">
        <f t="array" ref="R15">SUMPRODUCT(('SVB-Coring'!$T$2:$T$40&gt;=R86)*('SVB-Coring'!$T$2:$T$40&lt;=R87)*(ISNUMBER('SVB-Coring'!$K$2:$K$40))*('SVB-Coring'!$K$2:$K$40))</f>
        <v>1</v>
      </c>
      <c r="S15" s="657" cm="1">
        <f t="array" ref="S15">SUMPRODUCT(('SVB-Coring'!$T$2:$T$40&gt;=S86)*('SVB-Coring'!$T$2:$T$40&lt;=S87)*(ISNUMBER('SVB-Coring'!$K$2:$K$40))*('SVB-Coring'!$K$2:$K$40))</f>
        <v>1</v>
      </c>
      <c r="T15" s="657" cm="1">
        <f t="array" ref="T15">SUMPRODUCT(('SVB-Coring'!$T$2:$T$40&gt;=T86)*('SVB-Coring'!$T$2:$T$40&lt;=T87)*(ISNUMBER('SVB-Coring'!$K$2:$K$40))*('SVB-Coring'!$K$2:$K$40))</f>
        <v>2</v>
      </c>
      <c r="U15" s="657" cm="1">
        <f t="array" ref="U15">SUMPRODUCT(('SVB-Coring'!$T$2:$T$40&gt;=U86)*('SVB-Coring'!$T$2:$T$40&lt;=U87)*(ISNUMBER('SVB-Coring'!$K$2:$K$40))*('SVB-Coring'!$K$2:$K$40))</f>
        <v>2</v>
      </c>
      <c r="V15" s="657" cm="1">
        <f t="array" ref="V15">SUMPRODUCT(('SVB-Coring'!$T$2:$T$40&gt;=V86)*('SVB-Coring'!$T$2:$T$40&lt;=V87)*(ISNUMBER('SVB-Coring'!$K$2:$K$40))*('SVB-Coring'!$K$2:$K$40))</f>
        <v>2</v>
      </c>
      <c r="W15" s="657" cm="1">
        <f t="array" ref="W15">SUMPRODUCT(('SVB-Coring'!$T$2:$T$40&gt;=W86)*('SVB-Coring'!$T$2:$T$40&lt;=W87)*(ISNUMBER('SVB-Coring'!$K$2:$K$40))*('SVB-Coring'!$K$2:$K$40))</f>
        <v>2</v>
      </c>
      <c r="X15" s="657" cm="1">
        <f t="array" ref="X15">SUMPRODUCT(('SVB-Coring'!$T$2:$T$40&gt;=X86)*('SVB-Coring'!$T$2:$T$40&lt;=X87)*(ISNUMBER('SVB-Coring'!$K$2:$K$40))*('SVB-Coring'!$K$2:$K$40))</f>
        <v>0</v>
      </c>
      <c r="Y15" s="657" cm="1">
        <f t="array" ref="Y15">SUMPRODUCT(('SVB-Coring'!$T$2:$T$40&gt;=Y86)*('SVB-Coring'!$T$2:$T$40&lt;=Y87)*(ISNUMBER('SVB-Coring'!$K$2:$K$40))*('SVB-Coring'!$K$2:$K$40))</f>
        <v>2</v>
      </c>
      <c r="Z15" s="657" cm="1">
        <f t="array" ref="Z15">SUMPRODUCT(('SVB-Coring'!$T$2:$T$40&gt;=Z86)*('SVB-Coring'!$T$2:$T$40&lt;=Z87)*(ISNUMBER('SVB-Coring'!$K$2:$K$40))*('SVB-Coring'!$K$2:$K$40))</f>
        <v>2</v>
      </c>
      <c r="AA15" s="657" cm="1">
        <f t="array" ref="AA15">SUMPRODUCT(('SVB-Coring'!$T$2:$T$40&gt;=AA86)*('SVB-Coring'!$T$2:$T$40&lt;=AA87)*(ISNUMBER('SVB-Coring'!$K$2:$K$40))*('SVB-Coring'!$K$2:$K$40))</f>
        <v>2</v>
      </c>
      <c r="AB15" s="657" cm="1">
        <f t="array" ref="AB15">SUMPRODUCT(('SVB-Coring'!$T$2:$T$40&gt;=AB86)*('SVB-Coring'!$T$2:$T$40&lt;=AB87)*(ISNUMBER('SVB-Coring'!$K$2:$K$40))*('SVB-Coring'!$K$2:$K$40))</f>
        <v>2</v>
      </c>
      <c r="AC15" s="657" cm="1">
        <f t="array" ref="AC15">SUMPRODUCT(('SVB-Coring'!$T$2:$T$40&gt;=AC86)*('SVB-Coring'!$T$2:$T$40&lt;=AC87)*(ISNUMBER('SVB-Coring'!$K$2:$K$40))*('SVB-Coring'!$K$2:$K$40))</f>
        <v>2</v>
      </c>
      <c r="AD15" s="657" cm="1">
        <f t="array" ref="AD15">SUMPRODUCT(('SVB-Coring'!$T$2:$T$40&gt;=AD86)*('SVB-Coring'!$T$2:$T$40&lt;=AD87)*(ISNUMBER('SVB-Coring'!$K$2:$K$40))*('SVB-Coring'!$K$2:$K$40))</f>
        <v>2</v>
      </c>
      <c r="AE15" s="657" cm="1">
        <f t="array" ref="AE15">SUMPRODUCT(('SVB-Coring'!$T$2:$T$40&gt;=AE86)*('SVB-Coring'!$T$2:$T$40&lt;=AE87)*(ISNUMBER('SVB-Coring'!$K$2:$K$40))*('SVB-Coring'!$K$2:$K$40))</f>
        <v>2</v>
      </c>
      <c r="AF15" s="657" cm="1">
        <f t="array" ref="AF15">SUMPRODUCT(('SVB-Coring'!$T$2:$T$40&gt;=AF86)*('SVB-Coring'!$T$2:$T$40&lt;=AF87)*(ISNUMBER('SVB-Coring'!$K$2:$K$40))*('SVB-Coring'!$K$2:$K$40))</f>
        <v>2</v>
      </c>
      <c r="AG15" s="657" cm="1">
        <f t="array" ref="AG15">SUMPRODUCT(('SVB-Coring'!$T$2:$T$40&gt;=AG86)*('SVB-Coring'!$T$2:$T$40&lt;=AG87)*(ISNUMBER('SVB-Coring'!$K$2:$K$40))*('SVB-Coring'!$K$2:$K$40))</f>
        <v>2</v>
      </c>
      <c r="AH15" s="657" cm="1">
        <f t="array" ref="AH15">SUMPRODUCT(('SVB-Coring'!$T$2:$T$40&gt;=AH86)*('SVB-Coring'!$T$2:$T$40&lt;=AH87)*(ISNUMBER('SVB-Coring'!$K$2:$K$40))*('SVB-Coring'!$K$2:$K$40))</f>
        <v>2</v>
      </c>
      <c r="AI15" s="657" cm="1">
        <f t="array" ref="AI15">SUMPRODUCT(('SVB-Coring'!$T$2:$T$40&gt;=AI86)*('SVB-Coring'!$T$2:$T$40&lt;=AI87)*(ISNUMBER('SVB-Coring'!$K$2:$K$40))*('SVB-Coring'!$K$2:$K$40))</f>
        <v>2</v>
      </c>
      <c r="AJ15" s="657" cm="1">
        <f t="array" ref="AJ15">SUMPRODUCT(('SVB-Coring'!$T$2:$T$40&gt;=AJ86)*('SVB-Coring'!$T$2:$T$40&lt;=AJ87)*(ISNUMBER('SVB-Coring'!$K$2:$K$40))*('SVB-Coring'!$K$2:$K$40))</f>
        <v>2</v>
      </c>
      <c r="AK15" s="657" cm="1">
        <f t="array" ref="AK15">SUMPRODUCT(('SVB-Coring'!$T$2:$T$40&gt;=AK86)*('SVB-Coring'!$T$2:$T$40&lt;=AK87)*(ISNUMBER('SVB-Coring'!$K$2:$K$40))*('SVB-Coring'!$K$2:$K$40))</f>
        <v>0</v>
      </c>
      <c r="AL15" s="657" cm="1">
        <f t="array" ref="AL15">SUMPRODUCT(('SVB-Coring'!$T$2:$T$40&gt;=AL86)*('SVB-Coring'!$T$2:$T$40&lt;=AL87)*(ISNUMBER('SVB-Coring'!$K$2:$K$40))*('SVB-Coring'!$K$2:$K$40))</f>
        <v>0</v>
      </c>
      <c r="AM15" s="657" cm="1">
        <f t="array" ref="AM15">SUMPRODUCT(('SVB-Coring'!$T$2:$T$40&gt;=AM86)*('SVB-Coring'!$T$2:$T$40&lt;=AM87)*(ISNUMBER('SVB-Coring'!$K$2:$K$40))*('SVB-Coring'!$K$2:$K$40))</f>
        <v>0</v>
      </c>
      <c r="AN15" s="658" cm="1">
        <f t="array" ref="AN15">SUMPRODUCT((ISNUMBER('SVB-Coring'!$T$2:$T$40))*(ISNUMBER('SVB-Coring'!$K$2:$K$40))*('SVB-Coring'!$K$2:$K$40))</f>
        <v>39</v>
      </c>
    </row>
    <row r="16" spans="1:40" ht="18" customHeight="1">
      <c r="A16" s="659" t="s">
        <v>1358</v>
      </c>
      <c r="B16" s="660" cm="1">
        <f t="array" ref="B16">SUMPRODUCT(('SVB-Coring'!$U$2:$U$40&gt;=B86)*('SVB-Coring'!$U$2:$U$40&lt;=B87)*(ISNUMBER('SVB-Coring'!$K$2:$K$40))*('SVB-Coring'!$K$2:$K$40))</f>
        <v>0</v>
      </c>
      <c r="C16" s="660" cm="1">
        <f t="array" ref="C16">SUMPRODUCT(('SVB-Coring'!$U$2:$U$40&gt;=C86)*('SVB-Coring'!$U$2:$U$40&lt;=C87)*(ISNUMBER('SVB-Coring'!$K$2:$K$40))*('SVB-Coring'!$K$2:$K$40))</f>
        <v>0</v>
      </c>
      <c r="D16" s="660" cm="1">
        <f t="array" ref="D16">SUMPRODUCT(('SVB-Coring'!$U$2:$U$40&gt;=D86)*('SVB-Coring'!$U$2:$U$40&lt;=D87)*(ISNUMBER('SVB-Coring'!$K$2:$K$40))*('SVB-Coring'!$K$2:$K$40))</f>
        <v>0</v>
      </c>
      <c r="E16" s="660" cm="1">
        <f t="array" ref="E16">SUMPRODUCT(('SVB-Coring'!$U$2:$U$40&gt;=E86)*('SVB-Coring'!$U$2:$U$40&lt;=E87)*(ISNUMBER('SVB-Coring'!$K$2:$K$40))*('SVB-Coring'!$K$2:$K$40))</f>
        <v>0</v>
      </c>
      <c r="F16" s="660" cm="1">
        <f t="array" ref="F16">SUMPRODUCT(('SVB-Coring'!$U$2:$U$40&gt;=F86)*('SVB-Coring'!$U$2:$U$40&lt;=F87)*(ISNUMBER('SVB-Coring'!$K$2:$K$40))*('SVB-Coring'!$K$2:$K$40))</f>
        <v>0</v>
      </c>
      <c r="G16" s="660" cm="1">
        <f t="array" ref="G16">SUMPRODUCT(('SVB-Coring'!$U$2:$U$40&gt;=G86)*('SVB-Coring'!$U$2:$U$40&lt;=G87)*(ISNUMBER('SVB-Coring'!$K$2:$K$40))*('SVB-Coring'!$K$2:$K$40))</f>
        <v>0</v>
      </c>
      <c r="H16" s="660" cm="1">
        <f t="array" ref="H16">SUMPRODUCT(('SVB-Coring'!$U$2:$U$40&gt;=H86)*('SVB-Coring'!$U$2:$U$40&lt;=H87)*(ISNUMBER('SVB-Coring'!$K$2:$K$40))*('SVB-Coring'!$K$2:$K$40))</f>
        <v>0</v>
      </c>
      <c r="I16" s="660" cm="1">
        <f t="array" ref="I16">SUMPRODUCT(('SVB-Coring'!$U$2:$U$40&gt;=I86)*('SVB-Coring'!$U$2:$U$40&lt;=I87)*(ISNUMBER('SVB-Coring'!$K$2:$K$40))*('SVB-Coring'!$K$2:$K$40))</f>
        <v>0</v>
      </c>
      <c r="J16" s="660" cm="1">
        <f t="array" ref="J16">SUMPRODUCT(('SVB-Coring'!$U$2:$U$40&gt;=J86)*('SVB-Coring'!$U$2:$U$40&lt;=J87)*(ISNUMBER('SVB-Coring'!$K$2:$K$40))*('SVB-Coring'!$K$2:$K$40))</f>
        <v>0</v>
      </c>
      <c r="K16" s="660" cm="1">
        <f t="array" ref="K16">SUMPRODUCT(('SVB-Coring'!$U$2:$U$40&gt;=K86)*('SVB-Coring'!$U$2:$U$40&lt;=K87)*(ISNUMBER('SVB-Coring'!$K$2:$K$40))*('SVB-Coring'!$K$2:$K$40))</f>
        <v>0</v>
      </c>
      <c r="L16" s="660" cm="1">
        <f t="array" ref="L16">SUMPRODUCT(('SVB-Coring'!$U$2:$U$40&gt;=L86)*('SVB-Coring'!$U$2:$U$40&lt;=L87)*(ISNUMBER('SVB-Coring'!$K$2:$K$40))*('SVB-Coring'!$K$2:$K$40))</f>
        <v>1</v>
      </c>
      <c r="M16" s="660" cm="1">
        <f t="array" ref="M16">SUMPRODUCT(('SVB-Coring'!$U$2:$U$40&gt;=M86)*('SVB-Coring'!$U$2:$U$40&lt;=M87)*(ISNUMBER('SVB-Coring'!$K$2:$K$40))*('SVB-Coring'!$K$2:$K$40))</f>
        <v>0</v>
      </c>
      <c r="N16" s="660" cm="1">
        <f t="array" ref="N16">SUMPRODUCT(('SVB-Coring'!$U$2:$U$40&gt;=N86)*('SVB-Coring'!$U$2:$U$40&lt;=N87)*(ISNUMBER('SVB-Coring'!$K$2:$K$40))*('SVB-Coring'!$K$2:$K$40))</f>
        <v>0</v>
      </c>
      <c r="O16" s="660" cm="1">
        <f t="array" ref="O16">SUMPRODUCT(('SVB-Coring'!$U$2:$U$40&gt;=O86)*('SVB-Coring'!$U$2:$U$40&lt;=O87)*(ISNUMBER('SVB-Coring'!$K$2:$K$40))*('SVB-Coring'!$K$2:$K$40))</f>
        <v>1</v>
      </c>
      <c r="P16" s="660" cm="1">
        <f t="array" ref="P16">SUMPRODUCT(('SVB-Coring'!$U$2:$U$40&gt;=P86)*('SVB-Coring'!$U$2:$U$40&lt;=P87)*(ISNUMBER('SVB-Coring'!$K$2:$K$40))*('SVB-Coring'!$K$2:$K$40))</f>
        <v>2</v>
      </c>
      <c r="Q16" s="660" cm="1">
        <f t="array" ref="Q16">SUMPRODUCT(('SVB-Coring'!$U$2:$U$40&gt;=Q86)*('SVB-Coring'!$U$2:$U$40&lt;=Q87)*(ISNUMBER('SVB-Coring'!$K$2:$K$40))*('SVB-Coring'!$K$2:$K$40))</f>
        <v>1</v>
      </c>
      <c r="R16" s="660" cm="1">
        <f t="array" ref="R16">SUMPRODUCT(('SVB-Coring'!$U$2:$U$40&gt;=R86)*('SVB-Coring'!$U$2:$U$40&lt;=R87)*(ISNUMBER('SVB-Coring'!$K$2:$K$40))*('SVB-Coring'!$K$2:$K$40))</f>
        <v>1</v>
      </c>
      <c r="S16" s="660" cm="1">
        <f t="array" ref="S16">SUMPRODUCT(('SVB-Coring'!$U$2:$U$40&gt;=S86)*('SVB-Coring'!$U$2:$U$40&lt;=S87)*(ISNUMBER('SVB-Coring'!$K$2:$K$40))*('SVB-Coring'!$K$2:$K$40))</f>
        <v>1</v>
      </c>
      <c r="T16" s="660" cm="1">
        <f t="array" ref="T16">SUMPRODUCT(('SVB-Coring'!$U$2:$U$40&gt;=T86)*('SVB-Coring'!$U$2:$U$40&lt;=T87)*(ISNUMBER('SVB-Coring'!$K$2:$K$40))*('SVB-Coring'!$K$2:$K$40))</f>
        <v>0</v>
      </c>
      <c r="U16" s="660" cm="1">
        <f t="array" ref="U16">SUMPRODUCT(('SVB-Coring'!$U$2:$U$40&gt;=U86)*('SVB-Coring'!$U$2:$U$40&lt;=U87)*(ISNUMBER('SVB-Coring'!$K$2:$K$40))*('SVB-Coring'!$K$2:$K$40))</f>
        <v>1</v>
      </c>
      <c r="V16" s="660" cm="1">
        <f t="array" ref="V16">SUMPRODUCT(('SVB-Coring'!$U$2:$U$40&gt;=V86)*('SVB-Coring'!$U$2:$U$40&lt;=V87)*(ISNUMBER('SVB-Coring'!$K$2:$K$40))*('SVB-Coring'!$K$2:$K$40))</f>
        <v>0</v>
      </c>
      <c r="W16" s="660" cm="1">
        <f t="array" ref="W16">SUMPRODUCT(('SVB-Coring'!$U$2:$U$40&gt;=W86)*('SVB-Coring'!$U$2:$U$40&lt;=W87)*(ISNUMBER('SVB-Coring'!$K$2:$K$40))*('SVB-Coring'!$K$2:$K$40))</f>
        <v>0</v>
      </c>
      <c r="X16" s="660" cm="1">
        <f t="array" ref="X16">SUMPRODUCT(('SVB-Coring'!$U$2:$U$40&gt;=X86)*('SVB-Coring'!$U$2:$U$40&lt;=X87)*(ISNUMBER('SVB-Coring'!$K$2:$K$40))*('SVB-Coring'!$K$2:$K$40))</f>
        <v>0</v>
      </c>
      <c r="Y16" s="660" cm="1">
        <f t="array" ref="Y16">SUMPRODUCT(('SVB-Coring'!$U$2:$U$40&gt;=Y86)*('SVB-Coring'!$U$2:$U$40&lt;=Y87)*(ISNUMBER('SVB-Coring'!$K$2:$K$40))*('SVB-Coring'!$K$2:$K$40))</f>
        <v>0</v>
      </c>
      <c r="Z16" s="660" cm="1">
        <f t="array" ref="Z16">SUMPRODUCT(('SVB-Coring'!$U$2:$U$40&gt;=Z86)*('SVB-Coring'!$U$2:$U$40&lt;=Z87)*(ISNUMBER('SVB-Coring'!$K$2:$K$40))*('SVB-Coring'!$K$2:$K$40))</f>
        <v>0</v>
      </c>
      <c r="AA16" s="660" cm="1">
        <f t="array" ref="AA16">SUMPRODUCT(('SVB-Coring'!$U$2:$U$40&gt;=AA86)*('SVB-Coring'!$U$2:$U$40&lt;=AA87)*(ISNUMBER('SVB-Coring'!$K$2:$K$40))*('SVB-Coring'!$K$2:$K$40))</f>
        <v>0</v>
      </c>
      <c r="AB16" s="660" cm="1">
        <f t="array" ref="AB16">SUMPRODUCT(('SVB-Coring'!$U$2:$U$40&gt;=AB86)*('SVB-Coring'!$U$2:$U$40&lt;=AB87)*(ISNUMBER('SVB-Coring'!$K$2:$K$40))*('SVB-Coring'!$K$2:$K$40))</f>
        <v>0</v>
      </c>
      <c r="AC16" s="660" cm="1">
        <f t="array" ref="AC16">SUMPRODUCT(('SVB-Coring'!$U$2:$U$40&gt;=AC86)*('SVB-Coring'!$U$2:$U$40&lt;=AC87)*(ISNUMBER('SVB-Coring'!$K$2:$K$40))*('SVB-Coring'!$K$2:$K$40))</f>
        <v>0</v>
      </c>
      <c r="AD16" s="660" cm="1">
        <f t="array" ref="AD16">SUMPRODUCT(('SVB-Coring'!$U$2:$U$40&gt;=AD86)*('SVB-Coring'!$U$2:$U$40&lt;=AD87)*(ISNUMBER('SVB-Coring'!$K$2:$K$40))*('SVB-Coring'!$K$2:$K$40))</f>
        <v>0</v>
      </c>
      <c r="AE16" s="660" cm="1">
        <f t="array" ref="AE16">SUMPRODUCT(('SVB-Coring'!$U$2:$U$40&gt;=AE86)*('SVB-Coring'!$U$2:$U$40&lt;=AE87)*(ISNUMBER('SVB-Coring'!$K$2:$K$40))*('SVB-Coring'!$K$2:$K$40))</f>
        <v>0</v>
      </c>
      <c r="AF16" s="660" cm="1">
        <f t="array" ref="AF16">SUMPRODUCT(('SVB-Coring'!$U$2:$U$40&gt;=AF86)*('SVB-Coring'!$U$2:$U$40&lt;=AF87)*(ISNUMBER('SVB-Coring'!$K$2:$K$40))*('SVB-Coring'!$K$2:$K$40))</f>
        <v>0</v>
      </c>
      <c r="AG16" s="660" cm="1">
        <f t="array" ref="AG16">SUMPRODUCT(('SVB-Coring'!$U$2:$U$40&gt;=AG86)*('SVB-Coring'!$U$2:$U$40&lt;=AG87)*(ISNUMBER('SVB-Coring'!$K$2:$K$40))*('SVB-Coring'!$K$2:$K$40))</f>
        <v>0</v>
      </c>
      <c r="AH16" s="660" cm="1">
        <f t="array" ref="AH16">SUMPRODUCT(('SVB-Coring'!$U$2:$U$40&gt;=AH86)*('SVB-Coring'!$U$2:$U$40&lt;=AH87)*(ISNUMBER('SVB-Coring'!$K$2:$K$40))*('SVB-Coring'!$K$2:$K$40))</f>
        <v>0</v>
      </c>
      <c r="AI16" s="660" cm="1">
        <f t="array" ref="AI16">SUMPRODUCT(('SVB-Coring'!$U$2:$U$40&gt;=AI86)*('SVB-Coring'!$U$2:$U$40&lt;=AI87)*(ISNUMBER('SVB-Coring'!$K$2:$K$40))*('SVB-Coring'!$K$2:$K$40))</f>
        <v>0</v>
      </c>
      <c r="AJ16" s="660" cm="1">
        <f t="array" ref="AJ16">SUMPRODUCT(('SVB-Coring'!$U$2:$U$40&gt;=AJ86)*('SVB-Coring'!$U$2:$U$40&lt;=AJ87)*(ISNUMBER('SVB-Coring'!$K$2:$K$40))*('SVB-Coring'!$K$2:$K$40))</f>
        <v>0</v>
      </c>
      <c r="AK16" s="660" cm="1">
        <f t="array" ref="AK16">SUMPRODUCT(('SVB-Coring'!$U$2:$U$40&gt;=AK86)*('SVB-Coring'!$U$2:$U$40&lt;=AK87)*(ISNUMBER('SVB-Coring'!$K$2:$K$40))*('SVB-Coring'!$K$2:$K$40))</f>
        <v>0</v>
      </c>
      <c r="AL16" s="660" cm="1">
        <f t="array" ref="AL16">SUMPRODUCT(('SVB-Coring'!$U$2:$U$40&gt;=AL86)*('SVB-Coring'!$U$2:$U$40&lt;=AL87)*(ISNUMBER('SVB-Coring'!$K$2:$K$40))*('SVB-Coring'!$K$2:$K$40))</f>
        <v>0</v>
      </c>
      <c r="AM16" s="660" cm="1">
        <f t="array" ref="AM16">SUMPRODUCT(('SVB-Coring'!$U$2:$U$40&gt;=AM86)*('SVB-Coring'!$U$2:$U$40&lt;=AM87)*(ISNUMBER('SVB-Coring'!$K$2:$K$40))*('SVB-Coring'!$K$2:$K$40))</f>
        <v>0</v>
      </c>
      <c r="AN16" s="658">
        <f>SUM(B16:AM16)</f>
        <v>8</v>
      </c>
    </row>
    <row r="17" spans="1:40" ht="18" customHeight="1">
      <c r="A17" s="661" t="s">
        <v>1359</v>
      </c>
      <c r="B17" s="662">
        <f t="shared" ref="B17:AN17" si="1">IF(B15=0,0,B16/B15)</f>
        <v>0</v>
      </c>
      <c r="C17" s="662">
        <f t="shared" si="1"/>
        <v>0</v>
      </c>
      <c r="D17" s="662">
        <f t="shared" si="1"/>
        <v>0</v>
      </c>
      <c r="E17" s="662">
        <f t="shared" si="1"/>
        <v>0</v>
      </c>
      <c r="F17" s="662">
        <f t="shared" si="1"/>
        <v>0</v>
      </c>
      <c r="G17" s="662">
        <f t="shared" si="1"/>
        <v>0</v>
      </c>
      <c r="H17" s="662">
        <f t="shared" si="1"/>
        <v>0</v>
      </c>
      <c r="I17" s="662">
        <f t="shared" si="1"/>
        <v>0</v>
      </c>
      <c r="J17" s="662">
        <f t="shared" si="1"/>
        <v>0</v>
      </c>
      <c r="K17" s="662">
        <f t="shared" si="1"/>
        <v>0</v>
      </c>
      <c r="L17" s="662">
        <f t="shared" si="1"/>
        <v>1</v>
      </c>
      <c r="M17" s="662">
        <f t="shared" si="1"/>
        <v>0</v>
      </c>
      <c r="N17" s="662">
        <f t="shared" si="1"/>
        <v>0</v>
      </c>
      <c r="O17" s="662">
        <f t="shared" si="1"/>
        <v>1</v>
      </c>
      <c r="P17" s="662">
        <f t="shared" si="1"/>
        <v>1</v>
      </c>
      <c r="Q17" s="662">
        <f t="shared" si="1"/>
        <v>1</v>
      </c>
      <c r="R17" s="662">
        <f t="shared" si="1"/>
        <v>1</v>
      </c>
      <c r="S17" s="662">
        <f t="shared" si="1"/>
        <v>1</v>
      </c>
      <c r="T17" s="662">
        <f t="shared" si="1"/>
        <v>0</v>
      </c>
      <c r="U17" s="662">
        <f t="shared" si="1"/>
        <v>0.5</v>
      </c>
      <c r="V17" s="662">
        <f t="shared" si="1"/>
        <v>0</v>
      </c>
      <c r="W17" s="662">
        <f t="shared" si="1"/>
        <v>0</v>
      </c>
      <c r="X17" s="662">
        <f t="shared" si="1"/>
        <v>0</v>
      </c>
      <c r="Y17" s="662">
        <f t="shared" si="1"/>
        <v>0</v>
      </c>
      <c r="Z17" s="662">
        <f t="shared" si="1"/>
        <v>0</v>
      </c>
      <c r="AA17" s="662">
        <f t="shared" si="1"/>
        <v>0</v>
      </c>
      <c r="AB17" s="662">
        <f t="shared" si="1"/>
        <v>0</v>
      </c>
      <c r="AC17" s="662">
        <f t="shared" si="1"/>
        <v>0</v>
      </c>
      <c r="AD17" s="662">
        <f t="shared" si="1"/>
        <v>0</v>
      </c>
      <c r="AE17" s="662">
        <f t="shared" si="1"/>
        <v>0</v>
      </c>
      <c r="AF17" s="662">
        <f t="shared" si="1"/>
        <v>0</v>
      </c>
      <c r="AG17" s="662">
        <f t="shared" si="1"/>
        <v>0</v>
      </c>
      <c r="AH17" s="662">
        <f t="shared" si="1"/>
        <v>0</v>
      </c>
      <c r="AI17" s="662">
        <f t="shared" si="1"/>
        <v>0</v>
      </c>
      <c r="AJ17" s="662">
        <f t="shared" si="1"/>
        <v>0</v>
      </c>
      <c r="AK17" s="662">
        <f t="shared" si="1"/>
        <v>0</v>
      </c>
      <c r="AL17" s="662">
        <f t="shared" si="1"/>
        <v>0</v>
      </c>
      <c r="AM17" s="662">
        <f t="shared" si="1"/>
        <v>0</v>
      </c>
      <c r="AN17" s="663">
        <f t="shared" si="1"/>
        <v>0.20512820512820512</v>
      </c>
    </row>
    <row r="18" spans="1:40" ht="18" customHeight="1">
      <c r="A18" s="664" t="s">
        <v>1360</v>
      </c>
      <c r="B18" s="665">
        <f>SUM($B15:B15)</f>
        <v>0</v>
      </c>
      <c r="C18" s="665">
        <f>SUM($B15:C15)</f>
        <v>0</v>
      </c>
      <c r="D18" s="665">
        <f>SUM($B15:D15)</f>
        <v>0</v>
      </c>
      <c r="E18" s="665">
        <f>SUM($B15:E15)</f>
        <v>0</v>
      </c>
      <c r="F18" s="665">
        <f>SUM($B15:F15)</f>
        <v>0</v>
      </c>
      <c r="G18" s="665">
        <f>SUM($B15:G15)</f>
        <v>0</v>
      </c>
      <c r="H18" s="665">
        <f>SUM($B15:H15)</f>
        <v>0</v>
      </c>
      <c r="I18" s="665">
        <f>SUM($B15:I15)</f>
        <v>0</v>
      </c>
      <c r="J18" s="665">
        <f>SUM($B15:J15)</f>
        <v>0</v>
      </c>
      <c r="K18" s="665">
        <f>SUM($B15:K15)</f>
        <v>0</v>
      </c>
      <c r="L18" s="665">
        <f>SUM($B15:L15)</f>
        <v>1</v>
      </c>
      <c r="M18" s="665">
        <f>SUM($B15:M15)</f>
        <v>1</v>
      </c>
      <c r="N18" s="665">
        <f>SUM($B15:N15)</f>
        <v>1</v>
      </c>
      <c r="O18" s="665">
        <f>SUM($B15:O15)</f>
        <v>2</v>
      </c>
      <c r="P18" s="665">
        <f>SUM($B15:P15)</f>
        <v>4</v>
      </c>
      <c r="Q18" s="665">
        <f>SUM($B15:Q15)</f>
        <v>5</v>
      </c>
      <c r="R18" s="665">
        <f>SUM($B15:R15)</f>
        <v>6</v>
      </c>
      <c r="S18" s="665">
        <f>SUM($B15:S15)</f>
        <v>7</v>
      </c>
      <c r="T18" s="665">
        <f>SUM($B15:T15)</f>
        <v>9</v>
      </c>
      <c r="U18" s="665">
        <f>SUM($B15:U15)</f>
        <v>11</v>
      </c>
      <c r="V18" s="665">
        <f>SUM($B15:V15)</f>
        <v>13</v>
      </c>
      <c r="W18" s="665">
        <f>SUM($B15:W15)</f>
        <v>15</v>
      </c>
      <c r="X18" s="665">
        <f>SUM($B15:X15)</f>
        <v>15</v>
      </c>
      <c r="Y18" s="665">
        <f>SUM($B15:Y15)</f>
        <v>17</v>
      </c>
      <c r="Z18" s="665">
        <f>SUM($B15:Z15)</f>
        <v>19</v>
      </c>
      <c r="AA18" s="665">
        <f>SUM($B15:AA15)</f>
        <v>21</v>
      </c>
      <c r="AB18" s="665">
        <f>SUM($B15:AB15)</f>
        <v>23</v>
      </c>
      <c r="AC18" s="665">
        <f>SUM($B15:AC15)</f>
        <v>25</v>
      </c>
      <c r="AD18" s="665">
        <f>SUM($B15:AD15)</f>
        <v>27</v>
      </c>
      <c r="AE18" s="665">
        <f>SUM($B15:AE15)</f>
        <v>29</v>
      </c>
      <c r="AF18" s="665">
        <f>SUM($B15:AF15)</f>
        <v>31</v>
      </c>
      <c r="AG18" s="665">
        <f>SUM($B15:AG15)</f>
        <v>33</v>
      </c>
      <c r="AH18" s="665">
        <f>SUM($B15:AH15)</f>
        <v>35</v>
      </c>
      <c r="AI18" s="665">
        <f>SUM($B15:AI15)</f>
        <v>37</v>
      </c>
      <c r="AJ18" s="665">
        <f>SUM($B15:AJ15)</f>
        <v>39</v>
      </c>
      <c r="AK18" s="665">
        <f>SUM($B15:AK15)</f>
        <v>39</v>
      </c>
      <c r="AL18" s="665">
        <f>SUM($B15:AL15)</f>
        <v>39</v>
      </c>
      <c r="AM18" s="665">
        <f>SUM($B15:AM15)</f>
        <v>39</v>
      </c>
      <c r="AN18" s="658">
        <f>AN15</f>
        <v>39</v>
      </c>
    </row>
    <row r="19" spans="1:40" ht="18" customHeight="1">
      <c r="A19" s="664" t="s">
        <v>1361</v>
      </c>
      <c r="B19" s="665">
        <f>SUM($B16:B16)</f>
        <v>0</v>
      </c>
      <c r="C19" s="665">
        <f>SUM($B16:C16)</f>
        <v>0</v>
      </c>
      <c r="D19" s="665">
        <f>SUM($B16:D16)</f>
        <v>0</v>
      </c>
      <c r="E19" s="665">
        <f>SUM($B16:E16)</f>
        <v>0</v>
      </c>
      <c r="F19" s="665">
        <f>SUM($B16:F16)</f>
        <v>0</v>
      </c>
      <c r="G19" s="665">
        <f>SUM($B16:G16)</f>
        <v>0</v>
      </c>
      <c r="H19" s="665">
        <f>SUM($B16:H16)</f>
        <v>0</v>
      </c>
      <c r="I19" s="665">
        <f>SUM($B16:I16)</f>
        <v>0</v>
      </c>
      <c r="J19" s="665">
        <f>SUM($B16:J16)</f>
        <v>0</v>
      </c>
      <c r="K19" s="665">
        <f>SUM($B16:K16)</f>
        <v>0</v>
      </c>
      <c r="L19" s="665">
        <f>SUM($B16:L16)</f>
        <v>1</v>
      </c>
      <c r="M19" s="665">
        <f>SUM($B16:M16)</f>
        <v>1</v>
      </c>
      <c r="N19" s="665">
        <f>SUM($B16:N16)</f>
        <v>1</v>
      </c>
      <c r="O19" s="665">
        <f>SUM($B16:O16)</f>
        <v>2</v>
      </c>
      <c r="P19" s="665">
        <f>SUM($B16:P16)</f>
        <v>4</v>
      </c>
      <c r="Q19" s="665">
        <f>SUM($B16:Q16)</f>
        <v>5</v>
      </c>
      <c r="R19" s="665">
        <f>SUM($B16:R16)</f>
        <v>6</v>
      </c>
      <c r="S19" s="665">
        <f>SUM($B16:S16)</f>
        <v>7</v>
      </c>
      <c r="T19" s="665">
        <f>SUM($B16:T16)</f>
        <v>7</v>
      </c>
      <c r="U19" s="665">
        <f>SUM($B16:U16)</f>
        <v>8</v>
      </c>
      <c r="V19" s="665">
        <f>SUM($B16:V16)</f>
        <v>8</v>
      </c>
      <c r="W19" s="665">
        <f>SUM($B16:W16)</f>
        <v>8</v>
      </c>
      <c r="X19" s="665">
        <f>SUM($B16:X16)</f>
        <v>8</v>
      </c>
      <c r="Y19" s="665">
        <f>SUM($B16:Y16)</f>
        <v>8</v>
      </c>
      <c r="Z19" s="665">
        <f>SUM($B16:Z16)</f>
        <v>8</v>
      </c>
      <c r="AA19" s="665">
        <f>SUM($B16:AA16)</f>
        <v>8</v>
      </c>
      <c r="AB19" s="665">
        <f>SUM($B16:AB16)</f>
        <v>8</v>
      </c>
      <c r="AC19" s="665">
        <f>SUM($B16:AC16)</f>
        <v>8</v>
      </c>
      <c r="AD19" s="665">
        <f>SUM($B16:AD16)</f>
        <v>8</v>
      </c>
      <c r="AE19" s="665">
        <f>SUM($B16:AE16)</f>
        <v>8</v>
      </c>
      <c r="AF19" s="665">
        <f>SUM($B16:AF16)</f>
        <v>8</v>
      </c>
      <c r="AG19" s="665">
        <f>SUM($B16:AG16)</f>
        <v>8</v>
      </c>
      <c r="AH19" s="665">
        <f>SUM($B16:AH16)</f>
        <v>8</v>
      </c>
      <c r="AI19" s="665">
        <f>SUM($B16:AI16)</f>
        <v>8</v>
      </c>
      <c r="AJ19" s="665">
        <f>SUM($B16:AJ16)</f>
        <v>8</v>
      </c>
      <c r="AK19" s="665">
        <f>SUM($B16:AK16)</f>
        <v>8</v>
      </c>
      <c r="AL19" s="665">
        <f>SUM($B16:AL16)</f>
        <v>8</v>
      </c>
      <c r="AM19" s="665">
        <f>SUM($B16:AM16)</f>
        <v>8</v>
      </c>
      <c r="AN19" s="658">
        <f>AN16</f>
        <v>8</v>
      </c>
    </row>
    <row r="20" spans="1:40" ht="18" customHeight="1">
      <c r="A20" s="666" t="s">
        <v>1362</v>
      </c>
      <c r="B20" s="667">
        <f>IF(AN15=0,0,B19/AN15)</f>
        <v>0</v>
      </c>
      <c r="C20" s="667">
        <f>IF(AN15=0,0,C19/AN15)</f>
        <v>0</v>
      </c>
      <c r="D20" s="667">
        <f>IF(AN15=0,0,D19/AN15)</f>
        <v>0</v>
      </c>
      <c r="E20" s="667">
        <f>IF(AN15=0,0,E19/AN15)</f>
        <v>0</v>
      </c>
      <c r="F20" s="667">
        <f>IF(AN15=0,0,F19/AN15)</f>
        <v>0</v>
      </c>
      <c r="G20" s="667">
        <f>IF(AN15=0,0,G19/AN15)</f>
        <v>0</v>
      </c>
      <c r="H20" s="667">
        <f>IF(AN15=0,0,H19/AN15)</f>
        <v>0</v>
      </c>
      <c r="I20" s="667">
        <f>IF(AN15=0,0,I19/AN15)</f>
        <v>0</v>
      </c>
      <c r="J20" s="667">
        <f>IF(AN15=0,0,J19/AN15)</f>
        <v>0</v>
      </c>
      <c r="K20" s="667">
        <f>IF(AN15=0,0,K19/AN15)</f>
        <v>0</v>
      </c>
      <c r="L20" s="667">
        <f>IF(AN15=0,0,L19/AN15)</f>
        <v>2.564102564102564E-2</v>
      </c>
      <c r="M20" s="667">
        <f>IF(AN15=0,0,M19/AN15)</f>
        <v>2.564102564102564E-2</v>
      </c>
      <c r="N20" s="667">
        <f>IF(AN15=0,0,N19/AN15)</f>
        <v>2.564102564102564E-2</v>
      </c>
      <c r="O20" s="667">
        <f>IF(AN15=0,0,O19/AN15)</f>
        <v>5.128205128205128E-2</v>
      </c>
      <c r="P20" s="667">
        <f>IF(AN15=0,0,P19/AN15)</f>
        <v>0.10256410256410256</v>
      </c>
      <c r="Q20" s="667">
        <f>IF(AN15=0,0,Q19/AN15)</f>
        <v>0.12820512820512819</v>
      </c>
      <c r="R20" s="667">
        <f>IF(AN15=0,0,R19/AN15)</f>
        <v>0.15384615384615385</v>
      </c>
      <c r="S20" s="667">
        <f>IF(AN15=0,0,S19/AN15)</f>
        <v>0.17948717948717949</v>
      </c>
      <c r="T20" s="667">
        <f>IF(AN15=0,0,T19/AN15)</f>
        <v>0.17948717948717949</v>
      </c>
      <c r="U20" s="667">
        <f>IF(AN15=0,0,U19/AN15)</f>
        <v>0.20512820512820512</v>
      </c>
      <c r="V20" s="667">
        <f>IF(AN15=0,0,V19/AN15)</f>
        <v>0.20512820512820512</v>
      </c>
      <c r="W20" s="667">
        <f>IF(AN15=0,0,W19/AN15)</f>
        <v>0.20512820512820512</v>
      </c>
      <c r="X20" s="667">
        <f>IF(AN15=0,0,X19/AN15)</f>
        <v>0.20512820512820512</v>
      </c>
      <c r="Y20" s="667">
        <f>IF(AN15=0,0,Y19/AN15)</f>
        <v>0.20512820512820512</v>
      </c>
      <c r="Z20" s="667">
        <f>IF(AN15=0,0,Z19/AN15)</f>
        <v>0.20512820512820512</v>
      </c>
      <c r="AA20" s="667">
        <f>IF(AN15=0,0,AA19/AN15)</f>
        <v>0.20512820512820512</v>
      </c>
      <c r="AB20" s="667">
        <f>IF(AN15=0,0,AB19/AN15)</f>
        <v>0.20512820512820512</v>
      </c>
      <c r="AC20" s="667">
        <f>IF(AN15=0,0,AC19/AN15)</f>
        <v>0.20512820512820512</v>
      </c>
      <c r="AD20" s="667">
        <f>IF(AN15=0,0,AD19/AN15)</f>
        <v>0.20512820512820512</v>
      </c>
      <c r="AE20" s="667">
        <f>IF(AN15=0,0,AE19/AN15)</f>
        <v>0.20512820512820512</v>
      </c>
      <c r="AF20" s="667">
        <f>IF(AN15=0,0,AF19/AN15)</f>
        <v>0.20512820512820512</v>
      </c>
      <c r="AG20" s="667">
        <f>IF(AN15=0,0,AG19/AN15)</f>
        <v>0.20512820512820512</v>
      </c>
      <c r="AH20" s="667">
        <f>IF(AN15=0,0,AH19/AN15)</f>
        <v>0.20512820512820512</v>
      </c>
      <c r="AI20" s="667">
        <f>IF(AN15=0,0,AI19/AN15)</f>
        <v>0.20512820512820512</v>
      </c>
      <c r="AJ20" s="667">
        <f>IF(AN15=0,0,AJ19/AN15)</f>
        <v>0.20512820512820512</v>
      </c>
      <c r="AK20" s="667">
        <f>IF(AN15=0,0,AK19/AN15)</f>
        <v>0.20512820512820512</v>
      </c>
      <c r="AL20" s="667">
        <f>IF(AN15=0,0,AL19/AN15)</f>
        <v>0.20512820512820512</v>
      </c>
      <c r="AM20" s="667">
        <f>IF(AN15=0,0,AM19/AN15)</f>
        <v>0.20512820512820512</v>
      </c>
      <c r="AN20" s="663">
        <f>IF(AN15=0,0,AN19/AN15)</f>
        <v>0.20512820512820512</v>
      </c>
    </row>
    <row r="21" spans="1:40" ht="4.95" customHeight="1"/>
    <row r="22" spans="1:40" ht="22.2" customHeight="1">
      <c r="A22" s="1199" t="s">
        <v>1364</v>
      </c>
      <c r="B22" s="1200"/>
      <c r="C22" s="1200"/>
      <c r="D22" s="1200"/>
      <c r="E22" s="1200"/>
      <c r="F22" s="1200"/>
      <c r="G22" s="1200"/>
      <c r="H22" s="1200"/>
      <c r="I22" s="1200"/>
      <c r="J22" s="1200"/>
      <c r="K22" s="1200"/>
      <c r="L22" s="1200"/>
      <c r="M22" s="1200"/>
      <c r="N22" s="1200"/>
      <c r="O22" s="1200"/>
      <c r="P22" s="1200"/>
      <c r="Q22" s="1200"/>
      <c r="R22" s="1200"/>
      <c r="S22" s="1200"/>
      <c r="T22" s="1200"/>
      <c r="U22" s="1200"/>
      <c r="V22" s="1200"/>
      <c r="W22" s="1200"/>
      <c r="X22" s="1200"/>
      <c r="Y22" s="1200"/>
      <c r="Z22" s="1200"/>
      <c r="AA22" s="1200"/>
      <c r="AB22" s="1200"/>
      <c r="AC22" s="1200"/>
      <c r="AD22" s="1200"/>
      <c r="AE22" s="1200"/>
      <c r="AF22" s="1200"/>
      <c r="AG22" s="1200"/>
      <c r="AH22" s="1200"/>
      <c r="AI22" s="1200"/>
      <c r="AJ22" s="1200"/>
      <c r="AK22" s="1200"/>
      <c r="AL22" s="1200"/>
      <c r="AM22" s="1200"/>
      <c r="AN22" s="1201"/>
    </row>
    <row r="23" spans="1:40" ht="18" customHeight="1">
      <c r="A23" s="668" t="s">
        <v>1365</v>
      </c>
      <c r="B23" s="669">
        <f t="shared" ref="B23:AN23" si="2">AVERAGE(B9,B17)</f>
        <v>0.5</v>
      </c>
      <c r="C23" s="669">
        <f t="shared" si="2"/>
        <v>0.5</v>
      </c>
      <c r="D23" s="669">
        <f t="shared" si="2"/>
        <v>0.5</v>
      </c>
      <c r="E23" s="669">
        <f t="shared" si="2"/>
        <v>0.5</v>
      </c>
      <c r="F23" s="669">
        <f t="shared" si="2"/>
        <v>0.5</v>
      </c>
      <c r="G23" s="669">
        <f t="shared" si="2"/>
        <v>0.5</v>
      </c>
      <c r="H23" s="669">
        <f t="shared" si="2"/>
        <v>0.5</v>
      </c>
      <c r="I23" s="669">
        <f t="shared" si="2"/>
        <v>0</v>
      </c>
      <c r="J23" s="669">
        <f t="shared" si="2"/>
        <v>0.5</v>
      </c>
      <c r="K23" s="669">
        <f t="shared" si="2"/>
        <v>0.5</v>
      </c>
      <c r="L23" s="669">
        <f t="shared" si="2"/>
        <v>1</v>
      </c>
      <c r="M23" s="669">
        <f t="shared" si="2"/>
        <v>0</v>
      </c>
      <c r="N23" s="669">
        <f t="shared" si="2"/>
        <v>0</v>
      </c>
      <c r="O23" s="669">
        <f t="shared" si="2"/>
        <v>0.5</v>
      </c>
      <c r="P23" s="669">
        <f t="shared" si="2"/>
        <v>0.5</v>
      </c>
      <c r="Q23" s="669">
        <f t="shared" si="2"/>
        <v>0.5</v>
      </c>
      <c r="R23" s="669">
        <f t="shared" si="2"/>
        <v>0.5</v>
      </c>
      <c r="S23" s="669">
        <f t="shared" si="2"/>
        <v>0.5</v>
      </c>
      <c r="T23" s="669">
        <f t="shared" si="2"/>
        <v>0</v>
      </c>
      <c r="U23" s="669">
        <f t="shared" si="2"/>
        <v>0.25</v>
      </c>
      <c r="V23" s="669">
        <f t="shared" si="2"/>
        <v>0</v>
      </c>
      <c r="W23" s="669">
        <f t="shared" si="2"/>
        <v>0</v>
      </c>
      <c r="X23" s="669">
        <f t="shared" si="2"/>
        <v>0</v>
      </c>
      <c r="Y23" s="669">
        <f t="shared" si="2"/>
        <v>0</v>
      </c>
      <c r="Z23" s="669">
        <f t="shared" si="2"/>
        <v>0</v>
      </c>
      <c r="AA23" s="669">
        <f t="shared" si="2"/>
        <v>0</v>
      </c>
      <c r="AB23" s="669">
        <f t="shared" si="2"/>
        <v>0</v>
      </c>
      <c r="AC23" s="669">
        <f t="shared" si="2"/>
        <v>0</v>
      </c>
      <c r="AD23" s="669">
        <f t="shared" si="2"/>
        <v>0</v>
      </c>
      <c r="AE23" s="669">
        <f t="shared" si="2"/>
        <v>0</v>
      </c>
      <c r="AF23" s="669">
        <f t="shared" si="2"/>
        <v>0</v>
      </c>
      <c r="AG23" s="669">
        <f t="shared" si="2"/>
        <v>0</v>
      </c>
      <c r="AH23" s="669">
        <f t="shared" si="2"/>
        <v>0</v>
      </c>
      <c r="AI23" s="669">
        <f t="shared" si="2"/>
        <v>0</v>
      </c>
      <c r="AJ23" s="669">
        <f t="shared" si="2"/>
        <v>0</v>
      </c>
      <c r="AK23" s="669">
        <f t="shared" si="2"/>
        <v>0</v>
      </c>
      <c r="AL23" s="669">
        <f t="shared" si="2"/>
        <v>0</v>
      </c>
      <c r="AM23" s="669">
        <f t="shared" si="2"/>
        <v>0</v>
      </c>
      <c r="AN23" s="663">
        <f t="shared" si="2"/>
        <v>0.60256410256410253</v>
      </c>
    </row>
    <row r="25" spans="1:40" ht="22.2" customHeight="1">
      <c r="A25" s="1199" t="s">
        <v>1366</v>
      </c>
      <c r="B25" s="1200"/>
      <c r="C25" s="1200"/>
      <c r="D25" s="1200"/>
      <c r="E25" s="1200"/>
      <c r="F25" s="1200"/>
      <c r="G25" s="1200"/>
      <c r="H25" s="1200"/>
      <c r="I25" s="1200"/>
      <c r="J25" s="1200"/>
      <c r="K25" s="1200"/>
      <c r="L25" s="1200"/>
      <c r="M25" s="1200"/>
      <c r="N25" s="1200"/>
      <c r="O25" s="1200"/>
      <c r="P25" s="1200"/>
      <c r="Q25" s="1200"/>
      <c r="R25" s="1200"/>
      <c r="S25" s="1200"/>
      <c r="T25" s="1200"/>
      <c r="U25" s="1200"/>
      <c r="V25" s="1200"/>
      <c r="W25" s="1200"/>
      <c r="X25" s="1200"/>
      <c r="Y25" s="1200"/>
      <c r="Z25" s="1200"/>
      <c r="AA25" s="1200"/>
      <c r="AB25" s="1200"/>
      <c r="AC25" s="1200"/>
      <c r="AD25" s="1200"/>
      <c r="AE25" s="1200"/>
      <c r="AF25" s="1200"/>
      <c r="AG25" s="1200"/>
      <c r="AH25" s="1200"/>
      <c r="AI25" s="1200"/>
      <c r="AJ25" s="1200"/>
      <c r="AK25" s="1200"/>
      <c r="AL25" s="1200"/>
      <c r="AM25" s="1200"/>
      <c r="AN25" s="1201"/>
    </row>
    <row r="26" spans="1:40" ht="18" customHeight="1">
      <c r="A26" s="670" t="s">
        <v>1367</v>
      </c>
      <c r="B26" s="671">
        <f>IF(($AN$7+$AN$15)=0,0,(B10+B18)/($AN$7+$AN$15))</f>
        <v>2.564102564102564E-2</v>
      </c>
      <c r="C26" s="671">
        <f>IF(($AN$7+$AN$15)=0,0,(C10+C18)/($AN$7+$AN$15))</f>
        <v>5.128205128205128E-2</v>
      </c>
      <c r="D26" s="671">
        <f t="shared" ref="D26:AM26" si="3">IF(($AN$7+$AN$15)=0,0,(D10+D18)/($AN$7+$AN$15))</f>
        <v>0.14102564102564102</v>
      </c>
      <c r="E26" s="671">
        <f t="shared" si="3"/>
        <v>0.17948717948717949</v>
      </c>
      <c r="F26" s="671">
        <f t="shared" si="3"/>
        <v>0.23076923076923078</v>
      </c>
      <c r="G26" s="671">
        <f t="shared" si="3"/>
        <v>0.30769230769230771</v>
      </c>
      <c r="H26" s="671">
        <f t="shared" si="3"/>
        <v>0.33333333333333331</v>
      </c>
      <c r="I26" s="671">
        <f t="shared" si="3"/>
        <v>0.33333333333333331</v>
      </c>
      <c r="J26" s="671">
        <f t="shared" si="3"/>
        <v>0.35897435897435898</v>
      </c>
      <c r="K26" s="671">
        <f t="shared" si="3"/>
        <v>0.4358974358974359</v>
      </c>
      <c r="L26" s="671">
        <f t="shared" si="3"/>
        <v>0.51282051282051277</v>
      </c>
      <c r="M26" s="671">
        <f t="shared" si="3"/>
        <v>0.51282051282051277</v>
      </c>
      <c r="N26" s="671">
        <f t="shared" si="3"/>
        <v>0.51282051282051277</v>
      </c>
      <c r="O26" s="671">
        <f t="shared" si="3"/>
        <v>0.52564102564102566</v>
      </c>
      <c r="P26" s="671">
        <f t="shared" si="3"/>
        <v>0.55128205128205132</v>
      </c>
      <c r="Q26" s="671">
        <f t="shared" si="3"/>
        <v>0.5641025641025641</v>
      </c>
      <c r="R26" s="671">
        <f t="shared" si="3"/>
        <v>0.57692307692307687</v>
      </c>
      <c r="S26" s="671">
        <f t="shared" si="3"/>
        <v>0.58974358974358976</v>
      </c>
      <c r="T26" s="671">
        <f t="shared" si="3"/>
        <v>0.61538461538461542</v>
      </c>
      <c r="U26" s="671">
        <f t="shared" si="3"/>
        <v>0.64102564102564108</v>
      </c>
      <c r="V26" s="671">
        <f t="shared" si="3"/>
        <v>0.66666666666666663</v>
      </c>
      <c r="W26" s="671">
        <f t="shared" si="3"/>
        <v>0.69230769230769229</v>
      </c>
      <c r="X26" s="671">
        <f t="shared" si="3"/>
        <v>0.69230769230769229</v>
      </c>
      <c r="Y26" s="671">
        <f t="shared" si="3"/>
        <v>0.71794871794871795</v>
      </c>
      <c r="Z26" s="671">
        <f t="shared" si="3"/>
        <v>0.74358974358974361</v>
      </c>
      <c r="AA26" s="671">
        <f t="shared" si="3"/>
        <v>0.76923076923076927</v>
      </c>
      <c r="AB26" s="671">
        <f t="shared" si="3"/>
        <v>0.79487179487179482</v>
      </c>
      <c r="AC26" s="671">
        <f t="shared" si="3"/>
        <v>0.82051282051282048</v>
      </c>
      <c r="AD26" s="671">
        <f t="shared" si="3"/>
        <v>0.84615384615384615</v>
      </c>
      <c r="AE26" s="671">
        <f t="shared" si="3"/>
        <v>0.87179487179487181</v>
      </c>
      <c r="AF26" s="671">
        <f t="shared" si="3"/>
        <v>0.89743589743589747</v>
      </c>
      <c r="AG26" s="671">
        <f t="shared" si="3"/>
        <v>0.92307692307692313</v>
      </c>
      <c r="AH26" s="671">
        <f t="shared" si="3"/>
        <v>0.94871794871794868</v>
      </c>
      <c r="AI26" s="671">
        <f t="shared" si="3"/>
        <v>0.97435897435897434</v>
      </c>
      <c r="AJ26" s="671">
        <f t="shared" si="3"/>
        <v>1</v>
      </c>
      <c r="AK26" s="671">
        <f t="shared" si="3"/>
        <v>1</v>
      </c>
      <c r="AL26" s="671">
        <f t="shared" si="3"/>
        <v>1</v>
      </c>
      <c r="AM26" s="671">
        <f t="shared" si="3"/>
        <v>1</v>
      </c>
      <c r="AN26" s="663">
        <f>IF((AN7+AN15)=0,0,(AN10+AN18)/(AN7+AN15))</f>
        <v>1</v>
      </c>
    </row>
    <row r="27" spans="1:40" ht="18" customHeight="1">
      <c r="A27" s="672" t="s">
        <v>1368</v>
      </c>
      <c r="B27" s="667">
        <f>IF(($AN$7+$AN$15)=0,0,(B11+B19)/($AN$7+$AN$15))</f>
        <v>2.564102564102564E-2</v>
      </c>
      <c r="C27" s="667">
        <f t="shared" ref="C27:AM27" si="4">IF(($AN$7+$AN$15)=0,0,(C11+C19)/($AN$7+$AN$15))</f>
        <v>5.128205128205128E-2</v>
      </c>
      <c r="D27" s="667">
        <f t="shared" si="4"/>
        <v>0.14102564102564102</v>
      </c>
      <c r="E27" s="667">
        <f t="shared" si="4"/>
        <v>0.17948717948717949</v>
      </c>
      <c r="F27" s="667">
        <f t="shared" si="4"/>
        <v>0.23076923076923078</v>
      </c>
      <c r="G27" s="667">
        <f t="shared" si="4"/>
        <v>0.30769230769230771</v>
      </c>
      <c r="H27" s="667">
        <f t="shared" si="4"/>
        <v>0.33333333333333331</v>
      </c>
      <c r="I27" s="667">
        <f t="shared" si="4"/>
        <v>0.33333333333333331</v>
      </c>
      <c r="J27" s="667">
        <f t="shared" si="4"/>
        <v>0.35897435897435898</v>
      </c>
      <c r="K27" s="667">
        <f t="shared" si="4"/>
        <v>0.4358974358974359</v>
      </c>
      <c r="L27" s="667">
        <f t="shared" si="4"/>
        <v>0.51282051282051277</v>
      </c>
      <c r="M27" s="667">
        <f t="shared" si="4"/>
        <v>0.51282051282051277</v>
      </c>
      <c r="N27" s="667">
        <f t="shared" si="4"/>
        <v>0.51282051282051277</v>
      </c>
      <c r="O27" s="667">
        <f t="shared" si="4"/>
        <v>0.52564102564102566</v>
      </c>
      <c r="P27" s="667">
        <f t="shared" si="4"/>
        <v>0.55128205128205132</v>
      </c>
      <c r="Q27" s="667">
        <f t="shared" si="4"/>
        <v>0.5641025641025641</v>
      </c>
      <c r="R27" s="667">
        <f t="shared" si="4"/>
        <v>0.57692307692307687</v>
      </c>
      <c r="S27" s="667">
        <f t="shared" si="4"/>
        <v>0.58974358974358976</v>
      </c>
      <c r="T27" s="667">
        <f t="shared" si="4"/>
        <v>0.58974358974358976</v>
      </c>
      <c r="U27" s="667">
        <f t="shared" si="4"/>
        <v>0.60256410256410253</v>
      </c>
      <c r="V27" s="667">
        <f t="shared" si="4"/>
        <v>0.60256410256410253</v>
      </c>
      <c r="W27" s="667">
        <f t="shared" si="4"/>
        <v>0.60256410256410253</v>
      </c>
      <c r="X27" s="667">
        <f t="shared" si="4"/>
        <v>0.60256410256410253</v>
      </c>
      <c r="Y27" s="667">
        <f t="shared" si="4"/>
        <v>0.60256410256410253</v>
      </c>
      <c r="Z27" s="667">
        <f t="shared" si="4"/>
        <v>0.60256410256410253</v>
      </c>
      <c r="AA27" s="667">
        <f t="shared" si="4"/>
        <v>0.60256410256410253</v>
      </c>
      <c r="AB27" s="667">
        <f t="shared" si="4"/>
        <v>0.60256410256410253</v>
      </c>
      <c r="AC27" s="667">
        <f t="shared" si="4"/>
        <v>0.60256410256410253</v>
      </c>
      <c r="AD27" s="667">
        <f t="shared" si="4"/>
        <v>0.60256410256410253</v>
      </c>
      <c r="AE27" s="667">
        <f t="shared" si="4"/>
        <v>0.60256410256410253</v>
      </c>
      <c r="AF27" s="667">
        <f t="shared" si="4"/>
        <v>0.60256410256410253</v>
      </c>
      <c r="AG27" s="667">
        <f t="shared" si="4"/>
        <v>0.60256410256410253</v>
      </c>
      <c r="AH27" s="667">
        <f t="shared" si="4"/>
        <v>0.60256410256410253</v>
      </c>
      <c r="AI27" s="667">
        <f t="shared" si="4"/>
        <v>0.60256410256410253</v>
      </c>
      <c r="AJ27" s="667">
        <f t="shared" si="4"/>
        <v>0.60256410256410253</v>
      </c>
      <c r="AK27" s="667">
        <f t="shared" si="4"/>
        <v>0.60256410256410253</v>
      </c>
      <c r="AL27" s="667">
        <f t="shared" si="4"/>
        <v>0.60256410256410253</v>
      </c>
      <c r="AM27" s="667">
        <f t="shared" si="4"/>
        <v>0.60256410256410253</v>
      </c>
      <c r="AN27" s="663">
        <f>IF((AN7+AN15)=0,0,(AN11+AN19)/(AN7+AN15))</f>
        <v>0.60256410256410253</v>
      </c>
    </row>
    <row r="28" spans="1:40" ht="18" customHeight="1">
      <c r="A28" s="673" t="s">
        <v>1369</v>
      </c>
      <c r="B28" s="674">
        <f t="shared" ref="B28:AN28" si="5">B26-B27</f>
        <v>0</v>
      </c>
      <c r="C28" s="674">
        <f t="shared" si="5"/>
        <v>0</v>
      </c>
      <c r="D28" s="674">
        <f t="shared" si="5"/>
        <v>0</v>
      </c>
      <c r="E28" s="674">
        <f t="shared" si="5"/>
        <v>0</v>
      </c>
      <c r="F28" s="674">
        <f t="shared" si="5"/>
        <v>0</v>
      </c>
      <c r="G28" s="674">
        <f t="shared" si="5"/>
        <v>0</v>
      </c>
      <c r="H28" s="674">
        <f t="shared" si="5"/>
        <v>0</v>
      </c>
      <c r="I28" s="674">
        <f t="shared" si="5"/>
        <v>0</v>
      </c>
      <c r="J28" s="674">
        <f t="shared" si="5"/>
        <v>0</v>
      </c>
      <c r="K28" s="674">
        <f t="shared" si="5"/>
        <v>0</v>
      </c>
      <c r="L28" s="674">
        <f t="shared" si="5"/>
        <v>0</v>
      </c>
      <c r="M28" s="674">
        <f t="shared" si="5"/>
        <v>0</v>
      </c>
      <c r="N28" s="674">
        <f t="shared" si="5"/>
        <v>0</v>
      </c>
      <c r="O28" s="674">
        <f t="shared" si="5"/>
        <v>0</v>
      </c>
      <c r="P28" s="674">
        <f t="shared" si="5"/>
        <v>0</v>
      </c>
      <c r="Q28" s="674">
        <f t="shared" si="5"/>
        <v>0</v>
      </c>
      <c r="R28" s="674">
        <f t="shared" si="5"/>
        <v>0</v>
      </c>
      <c r="S28" s="674">
        <f t="shared" si="5"/>
        <v>0</v>
      </c>
      <c r="T28" s="674">
        <f t="shared" si="5"/>
        <v>2.5641025641025661E-2</v>
      </c>
      <c r="U28" s="674">
        <f t="shared" si="5"/>
        <v>3.8461538461538547E-2</v>
      </c>
      <c r="V28" s="674">
        <f t="shared" si="5"/>
        <v>6.4102564102564097E-2</v>
      </c>
      <c r="W28" s="674">
        <f t="shared" si="5"/>
        <v>8.9743589743589758E-2</v>
      </c>
      <c r="X28" s="674">
        <f t="shared" si="5"/>
        <v>8.9743589743589758E-2</v>
      </c>
      <c r="Y28" s="674">
        <f t="shared" si="5"/>
        <v>0.11538461538461542</v>
      </c>
      <c r="Z28" s="674">
        <f t="shared" si="5"/>
        <v>0.14102564102564108</v>
      </c>
      <c r="AA28" s="674">
        <f t="shared" si="5"/>
        <v>0.16666666666666674</v>
      </c>
      <c r="AB28" s="674">
        <f t="shared" si="5"/>
        <v>0.19230769230769229</v>
      </c>
      <c r="AC28" s="674">
        <f t="shared" si="5"/>
        <v>0.21794871794871795</v>
      </c>
      <c r="AD28" s="674">
        <f t="shared" si="5"/>
        <v>0.24358974358974361</v>
      </c>
      <c r="AE28" s="674">
        <f t="shared" si="5"/>
        <v>0.26923076923076927</v>
      </c>
      <c r="AF28" s="674">
        <f t="shared" si="5"/>
        <v>0.29487179487179493</v>
      </c>
      <c r="AG28" s="674">
        <f t="shared" si="5"/>
        <v>0.3205128205128206</v>
      </c>
      <c r="AH28" s="674">
        <f t="shared" si="5"/>
        <v>0.34615384615384615</v>
      </c>
      <c r="AI28" s="674">
        <f t="shared" si="5"/>
        <v>0.37179487179487181</v>
      </c>
      <c r="AJ28" s="674">
        <f t="shared" si="5"/>
        <v>0.39743589743589747</v>
      </c>
      <c r="AK28" s="674">
        <f t="shared" si="5"/>
        <v>0.39743589743589747</v>
      </c>
      <c r="AL28" s="674">
        <f t="shared" si="5"/>
        <v>0.39743589743589747</v>
      </c>
      <c r="AM28" s="674">
        <f t="shared" si="5"/>
        <v>0.39743589743589747</v>
      </c>
      <c r="AN28" s="675">
        <f t="shared" si="5"/>
        <v>0.39743589743589747</v>
      </c>
    </row>
    <row r="29" spans="1:40" ht="27.6">
      <c r="A29" s="676" t="s">
        <v>1370</v>
      </c>
      <c r="B29" s="876"/>
      <c r="C29" s="876"/>
      <c r="D29" s="876"/>
      <c r="E29" s="876"/>
      <c r="F29" s="876"/>
      <c r="G29" s="876"/>
      <c r="H29" s="876"/>
      <c r="I29" s="876"/>
      <c r="J29" s="876"/>
      <c r="K29" s="876"/>
      <c r="L29" s="876"/>
      <c r="M29" s="876"/>
      <c r="N29" s="876"/>
      <c r="O29" s="876"/>
      <c r="P29" s="876"/>
      <c r="Q29" s="876"/>
      <c r="R29" s="876"/>
      <c r="S29" s="876"/>
      <c r="T29" s="876"/>
      <c r="U29" s="876"/>
      <c r="V29" s="876"/>
      <c r="W29" s="876"/>
      <c r="X29" s="876"/>
      <c r="Y29" s="876"/>
      <c r="Z29" s="876"/>
      <c r="AA29" s="876"/>
      <c r="AB29" s="876"/>
      <c r="AC29" s="876"/>
      <c r="AD29" s="876"/>
      <c r="AE29" s="876"/>
      <c r="AF29" s="876"/>
      <c r="AG29" s="876"/>
      <c r="AH29" s="876"/>
      <c r="AI29" s="876"/>
      <c r="AJ29" s="876"/>
      <c r="AK29" s="876"/>
      <c r="AL29" s="876"/>
      <c r="AM29" s="876"/>
      <c r="AN29" s="877"/>
    </row>
    <row r="86" spans="2:39" hidden="1">
      <c r="B86" s="677">
        <f>DATE(2025,11,8)</f>
        <v>45969</v>
      </c>
      <c r="C86" s="677">
        <f>DATE(2025,11,15)</f>
        <v>45976</v>
      </c>
      <c r="D86" s="677">
        <f>DATE(2025,11,22)</f>
        <v>45983</v>
      </c>
      <c r="E86" s="677">
        <f>DATE(2025,11,29)</f>
        <v>45990</v>
      </c>
      <c r="F86" s="677">
        <f>DATE(2025,12,6)</f>
        <v>45997</v>
      </c>
      <c r="G86" s="677">
        <f>DATE(2025,12,13)</f>
        <v>46004</v>
      </c>
      <c r="H86" s="677">
        <f>DATE(2025,12,20)</f>
        <v>46011</v>
      </c>
      <c r="I86" s="677">
        <f>DATE(2025,12,27)</f>
        <v>46018</v>
      </c>
      <c r="J86" s="677">
        <f>DATE(2026,1,3)</f>
        <v>46025</v>
      </c>
      <c r="K86" s="677">
        <f>DATE(2026,1,10)</f>
        <v>46032</v>
      </c>
      <c r="L86" s="677">
        <f>DATE(2026,1,17)</f>
        <v>46039</v>
      </c>
      <c r="M86" s="677">
        <f>DATE(2026,1,24)</f>
        <v>46046</v>
      </c>
      <c r="N86" s="677">
        <f>DATE(2026,1,31)</f>
        <v>46053</v>
      </c>
      <c r="O86" s="677">
        <f>DATE(2026,2,7)</f>
        <v>46060</v>
      </c>
      <c r="P86" s="677">
        <f>DATE(2026,2,14)</f>
        <v>46067</v>
      </c>
      <c r="Q86" s="677">
        <f>DATE(2026,2,21)</f>
        <v>46074</v>
      </c>
      <c r="R86" s="677">
        <f>DATE(2026,2,28)</f>
        <v>46081</v>
      </c>
      <c r="S86" s="677">
        <f>DATE(2026,3,7)</f>
        <v>46088</v>
      </c>
      <c r="T86" s="677">
        <f>DATE(2026,3,14)</f>
        <v>46095</v>
      </c>
      <c r="U86" s="677">
        <f>DATE(2026,3,21)</f>
        <v>46102</v>
      </c>
      <c r="V86" s="677">
        <f>DATE(2026,3,28)</f>
        <v>46109</v>
      </c>
      <c r="W86" s="677">
        <f>DATE(2026,4,4)</f>
        <v>46116</v>
      </c>
      <c r="X86" s="677">
        <f>DATE(2026,4,11)</f>
        <v>46123</v>
      </c>
      <c r="Y86" s="677">
        <f>DATE(2026,4,18)</f>
        <v>46130</v>
      </c>
      <c r="Z86" s="677">
        <f>DATE(2026,4,25)</f>
        <v>46137</v>
      </c>
      <c r="AA86" s="677">
        <f>DATE(2026,5,2)</f>
        <v>46144</v>
      </c>
      <c r="AB86" s="677">
        <f>DATE(2026,5,9)</f>
        <v>46151</v>
      </c>
      <c r="AC86" s="677">
        <f>DATE(2026,5,16)</f>
        <v>46158</v>
      </c>
      <c r="AD86" s="677">
        <f>DATE(2026,5,23)</f>
        <v>46165</v>
      </c>
      <c r="AE86" s="677">
        <f>DATE(2026,5,30)</f>
        <v>46172</v>
      </c>
      <c r="AF86" s="677">
        <f>DATE(2026,6,6)</f>
        <v>46179</v>
      </c>
      <c r="AG86" s="677">
        <f>DATE(2026,6,13)</f>
        <v>46186</v>
      </c>
      <c r="AH86" s="677">
        <f>DATE(2026,6,20)</f>
        <v>46193</v>
      </c>
      <c r="AI86" s="677">
        <f>DATE(2026,6,27)</f>
        <v>46200</v>
      </c>
      <c r="AJ86" s="677">
        <f>DATE(2026,7,4)</f>
        <v>46207</v>
      </c>
      <c r="AK86" s="677">
        <f>DATE(2026,7,11)</f>
        <v>46214</v>
      </c>
      <c r="AL86" s="677">
        <f>DATE(2026,7,18)</f>
        <v>46221</v>
      </c>
      <c r="AM86" s="677">
        <f>DATE(2026,7,25)</f>
        <v>46228</v>
      </c>
    </row>
    <row r="87" spans="2:39" hidden="1">
      <c r="B87" s="677">
        <f>DATE(2025,11,14)</f>
        <v>45975</v>
      </c>
      <c r="C87" s="677">
        <f>DATE(2025,11,21)</f>
        <v>45982</v>
      </c>
      <c r="D87" s="677">
        <f>DATE(2025,11,28)</f>
        <v>45989</v>
      </c>
      <c r="E87" s="677">
        <f>DATE(2025,12,5)</f>
        <v>45996</v>
      </c>
      <c r="F87" s="677">
        <f>DATE(2025,12,12)</f>
        <v>46003</v>
      </c>
      <c r="G87" s="677">
        <f>DATE(2025,12,19)</f>
        <v>46010</v>
      </c>
      <c r="H87" s="677">
        <f>DATE(2025,12,26)</f>
        <v>46017</v>
      </c>
      <c r="I87" s="677">
        <f>DATE(2026,1,2)</f>
        <v>46024</v>
      </c>
      <c r="J87" s="677">
        <f>DATE(2026,1,9)</f>
        <v>46031</v>
      </c>
      <c r="K87" s="677">
        <f>DATE(2026,1,16)</f>
        <v>46038</v>
      </c>
      <c r="L87" s="677">
        <f>DATE(2026,1,23)</f>
        <v>46045</v>
      </c>
      <c r="M87" s="677">
        <f>DATE(2026,1,30)</f>
        <v>46052</v>
      </c>
      <c r="N87" s="677">
        <f>DATE(2026,2,6)</f>
        <v>46059</v>
      </c>
      <c r="O87" s="677">
        <f>DATE(2026,2,13)</f>
        <v>46066</v>
      </c>
      <c r="P87" s="677">
        <f>DATE(2026,2,20)</f>
        <v>46073</v>
      </c>
      <c r="Q87" s="677">
        <f>DATE(2026,2,27)</f>
        <v>46080</v>
      </c>
      <c r="R87" s="677">
        <f>DATE(2026,3,6)</f>
        <v>46087</v>
      </c>
      <c r="S87" s="677">
        <f>DATE(2026,3,13)</f>
        <v>46094</v>
      </c>
      <c r="T87" s="677">
        <f>DATE(2026,3,20)</f>
        <v>46101</v>
      </c>
      <c r="U87" s="677">
        <f>DATE(2026,3,27)</f>
        <v>46108</v>
      </c>
      <c r="V87" s="677">
        <f>DATE(2026,4,3)</f>
        <v>46115</v>
      </c>
      <c r="W87" s="677">
        <f>DATE(2026,4,10)</f>
        <v>46122</v>
      </c>
      <c r="X87" s="677">
        <f>DATE(2026,4,17)</f>
        <v>46129</v>
      </c>
      <c r="Y87" s="677">
        <f>DATE(2026,4,24)</f>
        <v>46136</v>
      </c>
      <c r="Z87" s="677">
        <f>DATE(2026,5,1)</f>
        <v>46143</v>
      </c>
      <c r="AA87" s="677">
        <f>DATE(2026,5,8)</f>
        <v>46150</v>
      </c>
      <c r="AB87" s="677">
        <f>DATE(2026,5,15)</f>
        <v>46157</v>
      </c>
      <c r="AC87" s="677">
        <f>DATE(2026,5,22)</f>
        <v>46164</v>
      </c>
      <c r="AD87" s="677">
        <f>DATE(2026,5,29)</f>
        <v>46171</v>
      </c>
      <c r="AE87" s="677">
        <f>DATE(2026,6,5)</f>
        <v>46178</v>
      </c>
      <c r="AF87" s="677">
        <f>DATE(2026,6,12)</f>
        <v>46185</v>
      </c>
      <c r="AG87" s="677">
        <f>DATE(2026,6,19)</f>
        <v>46192</v>
      </c>
      <c r="AH87" s="677">
        <f>DATE(2026,6,26)</f>
        <v>46199</v>
      </c>
      <c r="AI87" s="677">
        <f>DATE(2026,7,3)</f>
        <v>46206</v>
      </c>
      <c r="AJ87" s="677">
        <f>DATE(2026,7,10)</f>
        <v>46213</v>
      </c>
      <c r="AK87" s="677">
        <f>DATE(2026,7,17)</f>
        <v>46220</v>
      </c>
      <c r="AL87" s="677">
        <f>DATE(2026,7,24)</f>
        <v>46227</v>
      </c>
      <c r="AM87" s="677">
        <f>DATE(2026,7,31)</f>
        <v>46234</v>
      </c>
    </row>
  </sheetData>
  <mergeCells count="8">
    <mergeCell ref="A22:AN22"/>
    <mergeCell ref="A25:AN25"/>
    <mergeCell ref="A1:AN1"/>
    <mergeCell ref="A2:AN2"/>
    <mergeCell ref="A4:A5"/>
    <mergeCell ref="AN4:AN5"/>
    <mergeCell ref="A6:AN6"/>
    <mergeCell ref="A14:AN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731D-A3C6-4D0C-85D1-6099201FC3C2}">
  <dimension ref="A1:AO83"/>
  <sheetViews>
    <sheetView topLeftCell="A3" zoomScale="80" zoomScaleNormal="80" workbookViewId="0">
      <selection activeCell="L6" sqref="L6:N8"/>
    </sheetView>
  </sheetViews>
  <sheetFormatPr defaultColWidth="8.88671875" defaultRowHeight="14.4"/>
  <cols>
    <col min="1" max="1" width="22" style="654" customWidth="1"/>
    <col min="2" max="39" width="9.33203125" style="654" customWidth="1"/>
    <col min="40" max="16384" width="8.88671875" style="654"/>
  </cols>
  <sheetData>
    <row r="1" spans="1:41" ht="30" customHeight="1">
      <c r="A1" s="1202" t="s">
        <v>1371</v>
      </c>
      <c r="B1" s="1200"/>
      <c r="C1" s="1200"/>
      <c r="D1" s="1200"/>
      <c r="E1" s="1200"/>
      <c r="F1" s="1200"/>
      <c r="G1" s="1200"/>
      <c r="H1" s="1200"/>
      <c r="I1" s="1200"/>
      <c r="J1" s="1200"/>
      <c r="K1" s="1200"/>
      <c r="L1" s="1200"/>
      <c r="M1" s="1200"/>
      <c r="N1" s="1200"/>
      <c r="O1" s="1200"/>
      <c r="P1" s="1200"/>
      <c r="Q1" s="1200"/>
      <c r="R1" s="1200"/>
      <c r="S1" s="1200"/>
      <c r="T1" s="1200"/>
      <c r="U1" s="1200"/>
      <c r="V1" s="1200"/>
      <c r="W1" s="1200"/>
      <c r="X1" s="1200"/>
      <c r="Y1" s="1200"/>
      <c r="Z1" s="1200"/>
      <c r="AA1" s="1200"/>
      <c r="AB1" s="1200"/>
      <c r="AC1" s="1200"/>
      <c r="AD1" s="1200"/>
      <c r="AE1" s="1200"/>
      <c r="AF1" s="1200"/>
      <c r="AG1" s="1200"/>
      <c r="AH1" s="1200"/>
      <c r="AI1" s="1200"/>
      <c r="AJ1" s="1200"/>
      <c r="AK1" s="1200"/>
      <c r="AL1" s="1200"/>
      <c r="AM1" s="1200"/>
      <c r="AN1" s="1200"/>
      <c r="AO1" s="1201"/>
    </row>
    <row r="2" spans="1:41" ht="18" customHeight="1">
      <c r="A2" s="1203" t="s">
        <v>1372</v>
      </c>
      <c r="B2" s="1200"/>
      <c r="C2" s="1200"/>
      <c r="D2" s="1200"/>
      <c r="E2" s="1200"/>
      <c r="F2" s="1200"/>
      <c r="G2" s="1200"/>
      <c r="H2" s="1200"/>
      <c r="I2" s="1200"/>
      <c r="J2" s="1200"/>
      <c r="K2" s="1200"/>
      <c r="L2" s="1200"/>
      <c r="M2" s="1200"/>
      <c r="N2" s="1200"/>
      <c r="O2" s="1200"/>
      <c r="P2" s="1200"/>
      <c r="Q2" s="1200"/>
      <c r="R2" s="1200"/>
      <c r="S2" s="1200"/>
      <c r="T2" s="1200"/>
      <c r="U2" s="1200"/>
      <c r="V2" s="1200"/>
      <c r="W2" s="1200"/>
      <c r="X2" s="1200"/>
      <c r="Y2" s="1200"/>
      <c r="Z2" s="1200"/>
      <c r="AA2" s="1200"/>
      <c r="AB2" s="1200"/>
      <c r="AC2" s="1200"/>
      <c r="AD2" s="1200"/>
      <c r="AE2" s="1200"/>
      <c r="AF2" s="1200"/>
      <c r="AG2" s="1200"/>
      <c r="AH2" s="1200"/>
      <c r="AI2" s="1200"/>
      <c r="AJ2" s="1200"/>
      <c r="AK2" s="1200"/>
      <c r="AL2" s="1200"/>
      <c r="AM2" s="1200"/>
      <c r="AN2" s="1200"/>
      <c r="AO2" s="1201"/>
    </row>
    <row r="4" spans="1:41" ht="22.2" customHeight="1">
      <c r="A4" s="1208" t="s">
        <v>1356</v>
      </c>
      <c r="B4" s="1200"/>
      <c r="C4" s="1200"/>
      <c r="D4" s="1200"/>
      <c r="E4" s="1200"/>
      <c r="F4" s="1200"/>
      <c r="G4" s="1200"/>
      <c r="H4" s="1200"/>
      <c r="I4" s="1200"/>
      <c r="J4" s="1200"/>
      <c r="K4" s="1200"/>
      <c r="L4" s="1200"/>
      <c r="M4" s="1200"/>
      <c r="N4" s="1200"/>
      <c r="O4" s="1200"/>
      <c r="P4" s="1200"/>
      <c r="Q4" s="1200"/>
      <c r="R4" s="1200"/>
      <c r="S4" s="1200"/>
      <c r="T4" s="1200"/>
      <c r="U4" s="1200"/>
      <c r="V4" s="1200"/>
      <c r="W4" s="1200"/>
      <c r="X4" s="1200"/>
      <c r="Y4" s="1200"/>
      <c r="Z4" s="1200"/>
      <c r="AA4" s="1200"/>
      <c r="AB4" s="1200"/>
      <c r="AC4" s="1200"/>
      <c r="AD4" s="1200"/>
      <c r="AE4" s="1200"/>
      <c r="AF4" s="1200"/>
      <c r="AG4" s="1200"/>
      <c r="AH4" s="1200"/>
      <c r="AI4" s="1200"/>
      <c r="AJ4" s="1200"/>
      <c r="AK4" s="1200"/>
      <c r="AL4" s="1200"/>
      <c r="AM4" s="1200"/>
      <c r="AN4" s="1200"/>
      <c r="AO4" s="1201"/>
    </row>
    <row r="5" spans="1:41" ht="24">
      <c r="A5" s="678"/>
      <c r="B5" s="655" t="str">
        <f>'SVB-Coring-รายสัปดาห์'!B4</f>
        <v>W.1
(8/11-14/11)</v>
      </c>
      <c r="C5" s="655" t="str">
        <f>'SVB-Coring-รายสัปดาห์'!C4</f>
        <v>W.2
(15/11-21/11)</v>
      </c>
      <c r="D5" s="655" t="str">
        <f>'SVB-Coring-รายสัปดาห์'!D4</f>
        <v>W.3
(22/11-28/11)</v>
      </c>
      <c r="E5" s="655" t="str">
        <f>'SVB-Coring-รายสัปดาห์'!E4</f>
        <v>W.4
(29/11-5/12)</v>
      </c>
      <c r="F5" s="655" t="str">
        <f>'SVB-Coring-รายสัปดาห์'!F4</f>
        <v>W.5
(6/12-12/12)</v>
      </c>
      <c r="G5" s="655" t="str">
        <f>'SVB-Coring-รายสัปดาห์'!G4</f>
        <v>W.6
(13/12-19/12)</v>
      </c>
      <c r="H5" s="655" t="str">
        <f>'SVB-Coring-รายสัปดาห์'!H4</f>
        <v>W.7
(20/12-26/12)</v>
      </c>
      <c r="I5" s="655" t="str">
        <f>'SVB-Coring-รายสัปดาห์'!I4</f>
        <v>W.8
(27/12-2/1)</v>
      </c>
      <c r="J5" s="655" t="str">
        <f>'SVB-Coring-รายสัปดาห์'!J4</f>
        <v>W.9
(3/1-9/1)</v>
      </c>
      <c r="K5" s="655" t="str">
        <f>'SVB-Coring-รายสัปดาห์'!K4</f>
        <v>W.10
(10/1-16/1)</v>
      </c>
      <c r="L5" s="655" t="str">
        <f>'SVB-Coring-รายสัปดาห์'!L4</f>
        <v>W.11
(17/1-23/1)</v>
      </c>
      <c r="M5" s="655" t="str">
        <f>'SVB-Coring-รายสัปดาห์'!M4</f>
        <v>W.12
(24/1-30/1)</v>
      </c>
      <c r="N5" s="655" t="str">
        <f>'SVB-Coring-รายสัปดาห์'!N4</f>
        <v>W.13
(31/1-6/2)</v>
      </c>
      <c r="O5" s="655" t="str">
        <f>'SVB-Coring-รายสัปดาห์'!O4</f>
        <v>W.14
(7/2-13/2)</v>
      </c>
      <c r="P5" s="655" t="str">
        <f>'SVB-Coring-รายสัปดาห์'!P4</f>
        <v>W.15
(14/2-20/2)</v>
      </c>
      <c r="Q5" s="655" t="str">
        <f>'SVB-Coring-รายสัปดาห์'!Q4</f>
        <v>W.16
(21/2-27/2)</v>
      </c>
      <c r="R5" s="655" t="str">
        <f>'SVB-Coring-รายสัปดาห์'!R4</f>
        <v>W.17
(28/2-6/3)</v>
      </c>
      <c r="S5" s="655" t="str">
        <f>'SVB-Coring-รายสัปดาห์'!S4</f>
        <v>W.18
(7/3-13/3)</v>
      </c>
      <c r="T5" s="655" t="str">
        <f>'SVB-Coring-รายสัปดาห์'!T4</f>
        <v>W.19
(14/3-20/3)</v>
      </c>
      <c r="U5" s="655" t="str">
        <f>'SVB-Coring-รายสัปดาห์'!U4</f>
        <v>W.20
(21/3-27/3)</v>
      </c>
      <c r="V5" s="655" t="str">
        <f>'SVB-Coring-รายสัปดาห์'!V4</f>
        <v>W.21
(28/3-3/4)</v>
      </c>
      <c r="W5" s="655" t="str">
        <f>'SVB-Coring-รายสัปดาห์'!W4</f>
        <v>W.22
(4/4-10/4)</v>
      </c>
      <c r="X5" s="655" t="str">
        <f>'SVB-Coring-รายสัปดาห์'!X4</f>
        <v>W.23
(11/4-17/4)</v>
      </c>
      <c r="Y5" s="655" t="str">
        <f>'SVB-Coring-รายสัปดาห์'!Y4</f>
        <v>W.24
(18/4-24/4)</v>
      </c>
      <c r="Z5" s="655" t="str">
        <f>'SVB-Coring-รายสัปดาห์'!Z4</f>
        <v>W.25
(25/4-1/5)</v>
      </c>
      <c r="AA5" s="655" t="str">
        <f>'SVB-Coring-รายสัปดาห์'!AA4</f>
        <v>W.26
(2/5-8/5)</v>
      </c>
      <c r="AB5" s="655" t="str">
        <f>'SVB-Coring-รายสัปดาห์'!AB4</f>
        <v>W.27
(9/5-15/5)</v>
      </c>
      <c r="AC5" s="655" t="str">
        <f>'SVB-Coring-รายสัปดาห์'!AC4</f>
        <v>W.28
(16/5-22/5)</v>
      </c>
      <c r="AD5" s="655" t="str">
        <f>'SVB-Coring-รายสัปดาห์'!AD4</f>
        <v>W.29
(23/5-29/5)</v>
      </c>
      <c r="AE5" s="655" t="str">
        <f>'SVB-Coring-รายสัปดาห์'!AE4</f>
        <v>W.30
(30/5-5/6)</v>
      </c>
      <c r="AF5" s="655" t="str">
        <f>'SVB-Coring-รายสัปดาห์'!AF4</f>
        <v>W.31
(6/6-12/6)</v>
      </c>
      <c r="AG5" s="655" t="str">
        <f>'SVB-Coring-รายสัปดาห์'!AG4</f>
        <v>W.32
(13/6-19/6)</v>
      </c>
      <c r="AH5" s="655" t="str">
        <f>'SVB-Coring-รายสัปดาห์'!AH4</f>
        <v>W.33
(20/6-26/6)</v>
      </c>
      <c r="AI5" s="655" t="str">
        <f>'SVB-Coring-รายสัปดาห์'!AI4</f>
        <v>W.34
(27/6-3/7)</v>
      </c>
      <c r="AJ5" s="655" t="str">
        <f>'SVB-Coring-รายสัปดาห์'!AJ4</f>
        <v>W.35
(4/7-10/7)</v>
      </c>
      <c r="AK5" s="655" t="str">
        <f>'SVB-Coring-รายสัปดาห์'!AK4</f>
        <v>W.36
(11/7-17/7)</v>
      </c>
      <c r="AL5" s="655" t="str">
        <f>'SVB-Coring-รายสัปดาห์'!AL4</f>
        <v>W.37
(18/7-24/7)</v>
      </c>
      <c r="AM5" s="655" t="str">
        <f>'SVB-Coring-รายสัปดาห์'!AM4</f>
        <v>W.38
(25/7-31/7)</v>
      </c>
    </row>
    <row r="6" spans="1:41" ht="16.2" customHeight="1">
      <c r="A6" s="679" t="s">
        <v>1373</v>
      </c>
      <c r="B6" s="680">
        <f>'SVB-Coring-รายสัปดาห์'!B7</f>
        <v>2</v>
      </c>
      <c r="C6" s="680">
        <f>'SVB-Coring-รายสัปดาห์'!C7</f>
        <v>2</v>
      </c>
      <c r="D6" s="680">
        <f>'SVB-Coring-รายสัปดาห์'!D7</f>
        <v>7</v>
      </c>
      <c r="E6" s="680">
        <f>'SVB-Coring-รายสัปดาห์'!E7</f>
        <v>3</v>
      </c>
      <c r="F6" s="680">
        <f>'SVB-Coring-รายสัปดาห์'!F7</f>
        <v>4</v>
      </c>
      <c r="G6" s="680">
        <f>'SVB-Coring-รายสัปดาห์'!G7</f>
        <v>6</v>
      </c>
      <c r="H6" s="680">
        <f>'SVB-Coring-รายสัปดาห์'!H7</f>
        <v>2</v>
      </c>
      <c r="I6" s="680">
        <f>'SVB-Coring-รายสัปดาห์'!I7</f>
        <v>0</v>
      </c>
      <c r="J6" s="680">
        <f>'SVB-Coring-รายสัปดาห์'!J7</f>
        <v>2</v>
      </c>
      <c r="K6" s="680">
        <f>'SVB-Coring-รายสัปดาห์'!K7</f>
        <v>6</v>
      </c>
      <c r="L6" s="680">
        <f>'SVB-Coring-รายสัปดาห์'!L7</f>
        <v>5</v>
      </c>
      <c r="M6" s="680">
        <f>'SVB-Coring-รายสัปดาห์'!M7</f>
        <v>0</v>
      </c>
      <c r="N6" s="680">
        <f>'SVB-Coring-รายสัปดาห์'!N7</f>
        <v>0</v>
      </c>
      <c r="O6" s="680"/>
      <c r="P6" s="680"/>
      <c r="Q6" s="680"/>
      <c r="R6" s="680"/>
      <c r="S6" s="680"/>
      <c r="T6" s="680"/>
      <c r="U6" s="680"/>
      <c r="V6" s="680"/>
      <c r="W6" s="680"/>
      <c r="X6" s="680"/>
      <c r="Y6" s="680"/>
      <c r="Z6" s="680"/>
      <c r="AA6" s="680"/>
      <c r="AB6" s="680"/>
      <c r="AC6" s="680"/>
      <c r="AD6" s="680"/>
      <c r="AE6" s="680"/>
      <c r="AF6" s="680"/>
      <c r="AG6" s="680"/>
      <c r="AH6" s="680"/>
      <c r="AI6" s="680"/>
      <c r="AJ6" s="680"/>
      <c r="AK6" s="680"/>
      <c r="AL6" s="680"/>
      <c r="AM6" s="680"/>
    </row>
    <row r="7" spans="1:41" ht="16.2" customHeight="1">
      <c r="A7" s="659" t="s">
        <v>1374</v>
      </c>
      <c r="B7" s="681">
        <f>'SVB-Coring-รายสัปดาห์'!B8</f>
        <v>2</v>
      </c>
      <c r="C7" s="681">
        <f>'SVB-Coring-รายสัปดาห์'!C8</f>
        <v>2</v>
      </c>
      <c r="D7" s="681">
        <f>'SVB-Coring-รายสัปดาห์'!D8</f>
        <v>7</v>
      </c>
      <c r="E7" s="681">
        <f>'SVB-Coring-รายสัปดาห์'!E8</f>
        <v>3</v>
      </c>
      <c r="F7" s="681">
        <f>'SVB-Coring-รายสัปดาห์'!F8</f>
        <v>4</v>
      </c>
      <c r="G7" s="681">
        <f>'SVB-Coring-รายสัปดาห์'!G8</f>
        <v>6</v>
      </c>
      <c r="H7" s="681">
        <f>'SVB-Coring-รายสัปดาห์'!H8</f>
        <v>2</v>
      </c>
      <c r="I7" s="681">
        <f>'SVB-Coring-รายสัปดาห์'!I8</f>
        <v>0</v>
      </c>
      <c r="J7" s="681">
        <f>'SVB-Coring-รายสัปดาห์'!J8</f>
        <v>2</v>
      </c>
      <c r="K7" s="681">
        <f>'SVB-Coring-รายสัปดาห์'!K8</f>
        <v>6</v>
      </c>
      <c r="L7" s="681">
        <f>'SVB-Coring-รายสัปดาห์'!L8</f>
        <v>5</v>
      </c>
      <c r="M7" s="681">
        <f>'SVB-Coring-รายสัปดาห์'!M8</f>
        <v>0</v>
      </c>
      <c r="N7" s="681">
        <f>'SVB-Coring-รายสัปดาห์'!N8</f>
        <v>0</v>
      </c>
      <c r="O7" s="681"/>
      <c r="P7" s="681"/>
      <c r="Q7" s="681"/>
      <c r="R7" s="681"/>
      <c r="S7" s="681"/>
      <c r="T7" s="681"/>
      <c r="U7" s="681"/>
      <c r="V7" s="681"/>
      <c r="W7" s="681"/>
      <c r="X7" s="681"/>
      <c r="Y7" s="681"/>
      <c r="Z7" s="681"/>
      <c r="AA7" s="681"/>
      <c r="AB7" s="681"/>
      <c r="AC7" s="681"/>
      <c r="AD7" s="681"/>
      <c r="AE7" s="681"/>
      <c r="AF7" s="681"/>
      <c r="AG7" s="681"/>
      <c r="AH7" s="681"/>
      <c r="AI7" s="681"/>
      <c r="AJ7" s="681"/>
      <c r="AK7" s="681"/>
      <c r="AL7" s="681"/>
      <c r="AM7" s="681"/>
    </row>
    <row r="8" spans="1:41" ht="16.2" customHeight="1">
      <c r="A8" s="659" t="s">
        <v>1361</v>
      </c>
      <c r="B8" s="681">
        <f>'SVB-Coring-รายสัปดาห์'!B11</f>
        <v>2</v>
      </c>
      <c r="C8" s="681">
        <f>'SVB-Coring-รายสัปดาห์'!C11</f>
        <v>4</v>
      </c>
      <c r="D8" s="681">
        <f>'SVB-Coring-รายสัปดาห์'!D11</f>
        <v>11</v>
      </c>
      <c r="E8" s="681">
        <f>'SVB-Coring-รายสัปดาห์'!E11</f>
        <v>14</v>
      </c>
      <c r="F8" s="681">
        <f>'SVB-Coring-รายสัปดาห์'!F11</f>
        <v>18</v>
      </c>
      <c r="G8" s="681">
        <f>'SVB-Coring-รายสัปดาห์'!G11</f>
        <v>24</v>
      </c>
      <c r="H8" s="681">
        <f>'SVB-Coring-รายสัปดาห์'!H11</f>
        <v>26</v>
      </c>
      <c r="I8" s="681">
        <f>'SVB-Coring-รายสัปดาห์'!I11</f>
        <v>26</v>
      </c>
      <c r="J8" s="681">
        <f>'SVB-Coring-รายสัปดาห์'!J11</f>
        <v>28</v>
      </c>
      <c r="K8" s="681">
        <f>'SVB-Coring-รายสัปดาห์'!K11</f>
        <v>34</v>
      </c>
      <c r="L8" s="681">
        <f>'SVB-Coring-รายสัปดาห์'!L11</f>
        <v>39</v>
      </c>
      <c r="M8" s="681">
        <f>'SVB-Coring-รายสัปดาห์'!M11</f>
        <v>39</v>
      </c>
      <c r="N8" s="681">
        <f>'SVB-Coring-รายสัปดาห์'!N11</f>
        <v>39</v>
      </c>
      <c r="O8" s="681"/>
      <c r="P8" s="681"/>
      <c r="Q8" s="681"/>
      <c r="R8" s="681"/>
      <c r="S8" s="681"/>
      <c r="T8" s="681"/>
      <c r="U8" s="681"/>
      <c r="V8" s="681"/>
      <c r="W8" s="681"/>
      <c r="X8" s="681"/>
      <c r="Y8" s="681"/>
      <c r="Z8" s="681"/>
      <c r="AA8" s="681"/>
      <c r="AB8" s="681"/>
      <c r="AC8" s="681"/>
      <c r="AD8" s="681"/>
      <c r="AE8" s="681"/>
      <c r="AF8" s="681"/>
      <c r="AG8" s="681"/>
      <c r="AH8" s="681"/>
      <c r="AI8" s="681"/>
      <c r="AJ8" s="681"/>
      <c r="AK8" s="681"/>
      <c r="AL8" s="681"/>
      <c r="AM8" s="681"/>
    </row>
    <row r="9" spans="1:41" ht="16.2" customHeight="1">
      <c r="A9" s="673" t="s">
        <v>1359</v>
      </c>
      <c r="B9" s="682">
        <f>'SVB-Coring-รายสัปดาห์'!B9</f>
        <v>1</v>
      </c>
      <c r="C9" s="682">
        <f>'SVB-Coring-รายสัปดาห์'!C9</f>
        <v>1</v>
      </c>
      <c r="D9" s="682">
        <f>'SVB-Coring-รายสัปดาห์'!D9</f>
        <v>1</v>
      </c>
      <c r="E9" s="682">
        <f>'SVB-Coring-รายสัปดาห์'!E9</f>
        <v>1</v>
      </c>
      <c r="F9" s="682">
        <f>'SVB-Coring-รายสัปดาห์'!F9</f>
        <v>1</v>
      </c>
      <c r="G9" s="682">
        <f>'SVB-Coring-รายสัปดาห์'!G9</f>
        <v>1</v>
      </c>
      <c r="H9" s="682">
        <f>'SVB-Coring-รายสัปดาห์'!H9</f>
        <v>1</v>
      </c>
      <c r="I9" s="682">
        <f>'SVB-Coring-รายสัปดาห์'!I9</f>
        <v>0</v>
      </c>
      <c r="J9" s="682">
        <f>'SVB-Coring-รายสัปดาห์'!J9</f>
        <v>1</v>
      </c>
      <c r="K9" s="682">
        <f>'SVB-Coring-รายสัปดาห์'!K9</f>
        <v>1</v>
      </c>
      <c r="L9" s="682">
        <f>'SVB-Coring-รายสัปดาห์'!L9</f>
        <v>1</v>
      </c>
      <c r="M9" s="682">
        <f>'SVB-Coring-รายสัปดาห์'!M9</f>
        <v>0</v>
      </c>
      <c r="N9" s="682">
        <f>'SVB-Coring-รายสัปดาห์'!N9</f>
        <v>0</v>
      </c>
      <c r="O9" s="682">
        <f>'SVB-Coring-รายสัปดาห์'!O9</f>
        <v>0</v>
      </c>
      <c r="P9" s="682">
        <f>'SVB-Coring-รายสัปดาห์'!P9</f>
        <v>0</v>
      </c>
      <c r="Q9" s="682">
        <f>'SVB-Coring-รายสัปดาห์'!Q9</f>
        <v>0</v>
      </c>
      <c r="R9" s="682">
        <f>'SVB-Coring-รายสัปดาห์'!R9</f>
        <v>0</v>
      </c>
      <c r="S9" s="682">
        <f>'SVB-Coring-รายสัปดาห์'!S9</f>
        <v>0</v>
      </c>
      <c r="T9" s="682">
        <f>'SVB-Coring-รายสัปดาห์'!T9</f>
        <v>0</v>
      </c>
      <c r="U9" s="682">
        <f>'SVB-Coring-รายสัปดาห์'!U9</f>
        <v>0</v>
      </c>
      <c r="V9" s="682">
        <f>'SVB-Coring-รายสัปดาห์'!V9</f>
        <v>0</v>
      </c>
      <c r="W9" s="682">
        <f>'SVB-Coring-รายสัปดาห์'!W9</f>
        <v>0</v>
      </c>
      <c r="X9" s="682">
        <f>'SVB-Coring-รายสัปดาห์'!X9</f>
        <v>0</v>
      </c>
      <c r="Y9" s="682">
        <f>'SVB-Coring-รายสัปดาห์'!Y9</f>
        <v>0</v>
      </c>
      <c r="Z9" s="682">
        <f>'SVB-Coring-รายสัปดาห์'!Z9</f>
        <v>0</v>
      </c>
      <c r="AA9" s="682">
        <f>'SVB-Coring-รายสัปดาห์'!AA9</f>
        <v>0</v>
      </c>
      <c r="AB9" s="682">
        <f>'SVB-Coring-รายสัปดาห์'!AB9</f>
        <v>0</v>
      </c>
      <c r="AC9" s="682">
        <f>'SVB-Coring-รายสัปดาห์'!AC9</f>
        <v>0</v>
      </c>
      <c r="AD9" s="682">
        <f>'SVB-Coring-รายสัปดาห์'!AD9</f>
        <v>0</v>
      </c>
      <c r="AE9" s="682">
        <f>'SVB-Coring-รายสัปดาห์'!AE9</f>
        <v>0</v>
      </c>
      <c r="AF9" s="682">
        <f>'SVB-Coring-รายสัปดาห์'!AF9</f>
        <v>0</v>
      </c>
      <c r="AG9" s="682">
        <f>'SVB-Coring-รายสัปดาห์'!AG9</f>
        <v>0</v>
      </c>
      <c r="AH9" s="682">
        <f>'SVB-Coring-รายสัปดาห์'!AH9</f>
        <v>0</v>
      </c>
      <c r="AI9" s="682">
        <f>'SVB-Coring-รายสัปดาห์'!AI9</f>
        <v>0</v>
      </c>
      <c r="AJ9" s="682">
        <f>'SVB-Coring-รายสัปดาห์'!AJ9</f>
        <v>0</v>
      </c>
      <c r="AK9" s="682">
        <f>'SVB-Coring-รายสัปดาห์'!AK9</f>
        <v>0</v>
      </c>
      <c r="AL9" s="682">
        <f>'SVB-Coring-รายสัปดาห์'!AL9</f>
        <v>0</v>
      </c>
      <c r="AM9" s="682">
        <f>'SVB-Coring-รายสัปดาห์'!AM9</f>
        <v>0</v>
      </c>
    </row>
    <row r="10" spans="1:41" ht="16.2" customHeight="1">
      <c r="A10" s="664" t="s">
        <v>1375</v>
      </c>
      <c r="B10" s="683">
        <f>'SVB-Coring-รายสัปดาห์'!B12</f>
        <v>5.128205128205128E-2</v>
      </c>
      <c r="C10" s="683">
        <f>'SVB-Coring-รายสัปดาห์'!C12</f>
        <v>0.10256410256410256</v>
      </c>
      <c r="D10" s="683">
        <f>'SVB-Coring-รายสัปดาห์'!D12</f>
        <v>0.28205128205128205</v>
      </c>
      <c r="E10" s="683">
        <f>'SVB-Coring-รายสัปดาห์'!E12</f>
        <v>0.35897435897435898</v>
      </c>
      <c r="F10" s="683">
        <f>'SVB-Coring-รายสัปดาห์'!F12</f>
        <v>0.46153846153846156</v>
      </c>
      <c r="G10" s="683">
        <f>'SVB-Coring-รายสัปดาห์'!G12</f>
        <v>0.61538461538461542</v>
      </c>
      <c r="H10" s="683">
        <f>'SVB-Coring-รายสัปดาห์'!H12</f>
        <v>0.66666666666666663</v>
      </c>
      <c r="I10" s="683">
        <f>'SVB-Coring-รายสัปดาห์'!I12</f>
        <v>0.66666666666666663</v>
      </c>
      <c r="J10" s="683">
        <f>'SVB-Coring-รายสัปดาห์'!J12</f>
        <v>0.71794871794871795</v>
      </c>
      <c r="K10" s="683">
        <f>'SVB-Coring-รายสัปดาห์'!K12</f>
        <v>0.87179487179487181</v>
      </c>
      <c r="L10" s="683">
        <f>'SVB-Coring-รายสัปดาห์'!L12</f>
        <v>1</v>
      </c>
      <c r="M10" s="683">
        <f>'SVB-Coring-รายสัปดาห์'!M12</f>
        <v>1</v>
      </c>
      <c r="N10" s="683">
        <f>'SVB-Coring-รายสัปดาห์'!N12</f>
        <v>1</v>
      </c>
      <c r="O10" s="683">
        <f>'SVB-Coring-รายสัปดาห์'!O12</f>
        <v>1</v>
      </c>
      <c r="P10" s="683">
        <f>'SVB-Coring-รายสัปดาห์'!P12</f>
        <v>1</v>
      </c>
      <c r="Q10" s="683">
        <f>'SVB-Coring-รายสัปดาห์'!Q12</f>
        <v>1</v>
      </c>
      <c r="R10" s="683">
        <f>'SVB-Coring-รายสัปดาห์'!R12</f>
        <v>1</v>
      </c>
      <c r="S10" s="683">
        <f>'SVB-Coring-รายสัปดาห์'!S12</f>
        <v>1</v>
      </c>
      <c r="T10" s="683">
        <f>'SVB-Coring-รายสัปดาห์'!T12</f>
        <v>1</v>
      </c>
      <c r="U10" s="683">
        <f>'SVB-Coring-รายสัปดาห์'!U12</f>
        <v>1</v>
      </c>
      <c r="V10" s="683">
        <f>'SVB-Coring-รายสัปดาห์'!V12</f>
        <v>1</v>
      </c>
      <c r="W10" s="683">
        <f>'SVB-Coring-รายสัปดาห์'!W12</f>
        <v>1</v>
      </c>
      <c r="X10" s="683">
        <f>'SVB-Coring-รายสัปดาห์'!X12</f>
        <v>1</v>
      </c>
      <c r="Y10" s="683">
        <f>'SVB-Coring-รายสัปดาห์'!Y12</f>
        <v>1</v>
      </c>
      <c r="Z10" s="683">
        <f>'SVB-Coring-รายสัปดาห์'!Z12</f>
        <v>1</v>
      </c>
      <c r="AA10" s="683">
        <f>'SVB-Coring-รายสัปดาห์'!AA12</f>
        <v>1</v>
      </c>
      <c r="AB10" s="683">
        <f>'SVB-Coring-รายสัปดาห์'!AB12</f>
        <v>1</v>
      </c>
      <c r="AC10" s="683">
        <f>'SVB-Coring-รายสัปดาห์'!AC12</f>
        <v>1</v>
      </c>
      <c r="AD10" s="683">
        <f>'SVB-Coring-รายสัปดาห์'!AD12</f>
        <v>1</v>
      </c>
      <c r="AE10" s="683">
        <f>'SVB-Coring-รายสัปดาห์'!AE12</f>
        <v>1</v>
      </c>
      <c r="AF10" s="683">
        <f>'SVB-Coring-รายสัปดาห์'!AF12</f>
        <v>1</v>
      </c>
      <c r="AG10" s="683">
        <f>'SVB-Coring-รายสัปดาห์'!AG12</f>
        <v>1</v>
      </c>
      <c r="AH10" s="683">
        <f>'SVB-Coring-รายสัปดาห์'!AH12</f>
        <v>1</v>
      </c>
      <c r="AI10" s="683">
        <f>'SVB-Coring-รายสัปดาห์'!AI12</f>
        <v>1</v>
      </c>
      <c r="AJ10" s="683">
        <f>'SVB-Coring-รายสัปดาห์'!AJ12</f>
        <v>1</v>
      </c>
      <c r="AK10" s="683">
        <f>'SVB-Coring-รายสัปดาห์'!AK12</f>
        <v>1</v>
      </c>
      <c r="AL10" s="683">
        <f>'SVB-Coring-รายสัปดาห์'!AL12</f>
        <v>1</v>
      </c>
      <c r="AM10" s="683">
        <f>'SVB-Coring-รายสัปดาห์'!AM12</f>
        <v>1</v>
      </c>
    </row>
    <row r="44" spans="1:41" ht="22.2" customHeight="1">
      <c r="A44" s="1209" t="s">
        <v>1363</v>
      </c>
      <c r="B44" s="1200"/>
      <c r="C44" s="1200"/>
      <c r="D44" s="1200"/>
      <c r="E44" s="1200"/>
      <c r="F44" s="1200"/>
      <c r="G44" s="1200"/>
      <c r="H44" s="1200"/>
      <c r="I44" s="1200"/>
      <c r="J44" s="1200"/>
      <c r="K44" s="1200"/>
      <c r="L44" s="1200"/>
      <c r="M44" s="1200"/>
      <c r="N44" s="1200"/>
      <c r="O44" s="1200"/>
      <c r="P44" s="1200"/>
      <c r="Q44" s="1200"/>
      <c r="R44" s="1200"/>
      <c r="S44" s="1200"/>
      <c r="T44" s="1200"/>
      <c r="U44" s="1200"/>
      <c r="V44" s="1200"/>
      <c r="W44" s="1200"/>
      <c r="X44" s="1200"/>
      <c r="Y44" s="1200"/>
      <c r="Z44" s="1200"/>
      <c r="AA44" s="1200"/>
      <c r="AB44" s="1200"/>
      <c r="AC44" s="1200"/>
      <c r="AD44" s="1200"/>
      <c r="AE44" s="1200"/>
      <c r="AF44" s="1200"/>
      <c r="AG44" s="1200"/>
      <c r="AH44" s="1200"/>
      <c r="AI44" s="1200"/>
      <c r="AJ44" s="1200"/>
      <c r="AK44" s="1200"/>
      <c r="AL44" s="1200"/>
      <c r="AM44" s="1200"/>
      <c r="AN44" s="1200"/>
      <c r="AO44" s="1201"/>
    </row>
    <row r="45" spans="1:41" ht="24">
      <c r="A45" s="678"/>
      <c r="B45" s="655" t="str">
        <f>'SVB-Coring-รายสัปดาห์'!B4</f>
        <v>W.1
(8/11-14/11)</v>
      </c>
      <c r="C45" s="655" t="str">
        <f>'SVB-Coring-รายสัปดาห์'!C4</f>
        <v>W.2
(15/11-21/11)</v>
      </c>
      <c r="D45" s="655" t="str">
        <f>'SVB-Coring-รายสัปดาห์'!D4</f>
        <v>W.3
(22/11-28/11)</v>
      </c>
      <c r="E45" s="655" t="str">
        <f>'SVB-Coring-รายสัปดาห์'!E4</f>
        <v>W.4
(29/11-5/12)</v>
      </c>
      <c r="F45" s="655" t="str">
        <f>'SVB-Coring-รายสัปดาห์'!F4</f>
        <v>W.5
(6/12-12/12)</v>
      </c>
      <c r="G45" s="655" t="str">
        <f>'SVB-Coring-รายสัปดาห์'!G4</f>
        <v>W.6
(13/12-19/12)</v>
      </c>
      <c r="H45" s="655" t="str">
        <f>'SVB-Coring-รายสัปดาห์'!H4</f>
        <v>W.7
(20/12-26/12)</v>
      </c>
      <c r="I45" s="655" t="str">
        <f>'SVB-Coring-รายสัปดาห์'!I4</f>
        <v>W.8
(27/12-2/1)</v>
      </c>
      <c r="J45" s="655" t="str">
        <f>'SVB-Coring-รายสัปดาห์'!J4</f>
        <v>W.9
(3/1-9/1)</v>
      </c>
      <c r="K45" s="655" t="str">
        <f>'SVB-Coring-รายสัปดาห์'!K4</f>
        <v>W.10
(10/1-16/1)</v>
      </c>
      <c r="L45" s="655" t="str">
        <f>'SVB-Coring-รายสัปดาห์'!L4</f>
        <v>W.11
(17/1-23/1)</v>
      </c>
      <c r="M45" s="655" t="str">
        <f>'SVB-Coring-รายสัปดาห์'!M4</f>
        <v>W.12
(24/1-30/1)</v>
      </c>
      <c r="N45" s="655" t="str">
        <f>'SVB-Coring-รายสัปดาห์'!N4</f>
        <v>W.13
(31/1-6/2)</v>
      </c>
      <c r="O45" s="655" t="str">
        <f>'SVB-Coring-รายสัปดาห์'!O4</f>
        <v>W.14
(7/2-13/2)</v>
      </c>
      <c r="P45" s="655" t="str">
        <f>'SVB-Coring-รายสัปดาห์'!P4</f>
        <v>W.15
(14/2-20/2)</v>
      </c>
      <c r="Q45" s="655" t="str">
        <f>'SVB-Coring-รายสัปดาห์'!Q4</f>
        <v>W.16
(21/2-27/2)</v>
      </c>
      <c r="R45" s="655" t="str">
        <f>'SVB-Coring-รายสัปดาห์'!R4</f>
        <v>W.17
(28/2-6/3)</v>
      </c>
      <c r="S45" s="655" t="str">
        <f>'SVB-Coring-รายสัปดาห์'!S4</f>
        <v>W.18
(7/3-13/3)</v>
      </c>
      <c r="T45" s="655" t="str">
        <f>'SVB-Coring-รายสัปดาห์'!T4</f>
        <v>W.19
(14/3-20/3)</v>
      </c>
      <c r="U45" s="655" t="str">
        <f>'SVB-Coring-รายสัปดาห์'!U4</f>
        <v>W.20
(21/3-27/3)</v>
      </c>
      <c r="V45" s="655" t="str">
        <f>'SVB-Coring-รายสัปดาห์'!V4</f>
        <v>W.21
(28/3-3/4)</v>
      </c>
      <c r="W45" s="655" t="str">
        <f>'SVB-Coring-รายสัปดาห์'!W4</f>
        <v>W.22
(4/4-10/4)</v>
      </c>
      <c r="X45" s="655" t="str">
        <f>'SVB-Coring-รายสัปดาห์'!X4</f>
        <v>W.23
(11/4-17/4)</v>
      </c>
      <c r="Y45" s="655" t="str">
        <f>'SVB-Coring-รายสัปดาห์'!Y4</f>
        <v>W.24
(18/4-24/4)</v>
      </c>
      <c r="Z45" s="655" t="str">
        <f>'SVB-Coring-รายสัปดาห์'!Z4</f>
        <v>W.25
(25/4-1/5)</v>
      </c>
      <c r="AA45" s="655" t="str">
        <f>'SVB-Coring-รายสัปดาห์'!AA4</f>
        <v>W.26
(2/5-8/5)</v>
      </c>
      <c r="AB45" s="655" t="str">
        <f>'SVB-Coring-รายสัปดาห์'!AB4</f>
        <v>W.27
(9/5-15/5)</v>
      </c>
      <c r="AC45" s="655" t="str">
        <f>'SVB-Coring-รายสัปดาห์'!AC4</f>
        <v>W.28
(16/5-22/5)</v>
      </c>
      <c r="AD45" s="655" t="str">
        <f>'SVB-Coring-รายสัปดาห์'!AD4</f>
        <v>W.29
(23/5-29/5)</v>
      </c>
      <c r="AE45" s="655" t="str">
        <f>'SVB-Coring-รายสัปดาห์'!AE4</f>
        <v>W.30
(30/5-5/6)</v>
      </c>
      <c r="AF45" s="655" t="str">
        <f>'SVB-Coring-รายสัปดาห์'!AF4</f>
        <v>W.31
(6/6-12/6)</v>
      </c>
      <c r="AG45" s="655" t="str">
        <f>'SVB-Coring-รายสัปดาห์'!AG4</f>
        <v>W.32
(13/6-19/6)</v>
      </c>
      <c r="AH45" s="655" t="str">
        <f>'SVB-Coring-รายสัปดาห์'!AH4</f>
        <v>W.33
(20/6-26/6)</v>
      </c>
      <c r="AI45" s="655" t="str">
        <f>'SVB-Coring-รายสัปดาห์'!AI4</f>
        <v>W.34
(27/6-3/7)</v>
      </c>
      <c r="AJ45" s="655" t="str">
        <f>'SVB-Coring-รายสัปดาห์'!AJ4</f>
        <v>W.35
(4/7-10/7)</v>
      </c>
      <c r="AK45" s="655" t="str">
        <f>'SVB-Coring-รายสัปดาห์'!AK4</f>
        <v>W.36
(11/7-17/7)</v>
      </c>
      <c r="AL45" s="655" t="str">
        <f>'SVB-Coring-รายสัปดาห์'!AL4</f>
        <v>W.37
(18/7-24/7)</v>
      </c>
      <c r="AM45" s="655" t="str">
        <f>'SVB-Coring-รายสัปดาห์'!AM4</f>
        <v>W.38
(25/7-31/7)</v>
      </c>
    </row>
    <row r="46" spans="1:41" ht="16.2" customHeight="1">
      <c r="A46" s="679" t="s">
        <v>1373</v>
      </c>
      <c r="B46" s="680">
        <f>'SVB-Coring-รายสัปดาห์'!B15</f>
        <v>0</v>
      </c>
      <c r="C46" s="680">
        <f>'SVB-Coring-รายสัปดาห์'!C15</f>
        <v>0</v>
      </c>
      <c r="D46" s="680">
        <f>'SVB-Coring-รายสัปดาห์'!D15</f>
        <v>0</v>
      </c>
      <c r="E46" s="680">
        <f>'SVB-Coring-รายสัปดาห์'!E15</f>
        <v>0</v>
      </c>
      <c r="F46" s="680">
        <f>'SVB-Coring-รายสัปดาห์'!F15</f>
        <v>0</v>
      </c>
      <c r="G46" s="680">
        <f>'SVB-Coring-รายสัปดาห์'!G15</f>
        <v>0</v>
      </c>
      <c r="H46" s="680">
        <f>'SVB-Coring-รายสัปดาห์'!H15</f>
        <v>0</v>
      </c>
      <c r="I46" s="680">
        <f>'SVB-Coring-รายสัปดาห์'!I15</f>
        <v>0</v>
      </c>
      <c r="J46" s="680">
        <f>'SVB-Coring-รายสัปดาห์'!J15</f>
        <v>0</v>
      </c>
      <c r="K46" s="680">
        <f>'SVB-Coring-รายสัปดาห์'!K15</f>
        <v>0</v>
      </c>
      <c r="L46" s="680">
        <f>'SVB-Coring-รายสัปดาห์'!L15</f>
        <v>1</v>
      </c>
      <c r="M46" s="680">
        <f>'SVB-Coring-รายสัปดาห์'!M15</f>
        <v>0</v>
      </c>
      <c r="N46" s="680">
        <f>'SVB-Coring-รายสัปดาห์'!N15</f>
        <v>0</v>
      </c>
      <c r="O46" s="680">
        <f>'SVB-Coring-รายสัปดาห์'!O15</f>
        <v>1</v>
      </c>
      <c r="P46" s="680">
        <f>'SVB-Coring-รายสัปดาห์'!P15</f>
        <v>2</v>
      </c>
      <c r="Q46" s="680">
        <f>'SVB-Coring-รายสัปดาห์'!Q15</f>
        <v>1</v>
      </c>
      <c r="R46" s="680">
        <f>'SVB-Coring-รายสัปดาห์'!R15</f>
        <v>1</v>
      </c>
      <c r="S46" s="680">
        <f>'SVB-Coring-รายสัปดาห์'!S15</f>
        <v>1</v>
      </c>
      <c r="T46" s="680">
        <f>'SVB-Coring-รายสัปดาห์'!T15</f>
        <v>2</v>
      </c>
      <c r="U46" s="680">
        <f>'SVB-Coring-รายสัปดาห์'!U15</f>
        <v>2</v>
      </c>
      <c r="V46" s="680">
        <f>'SVB-Coring-รายสัปดาห์'!V15</f>
        <v>2</v>
      </c>
      <c r="W46" s="680">
        <f>'SVB-Coring-รายสัปดาห์'!W15</f>
        <v>2</v>
      </c>
      <c r="X46" s="680">
        <f>'SVB-Coring-รายสัปดาห์'!X15</f>
        <v>0</v>
      </c>
      <c r="Y46" s="680">
        <f>'SVB-Coring-รายสัปดาห์'!Y15</f>
        <v>2</v>
      </c>
      <c r="Z46" s="680">
        <f>'SVB-Coring-รายสัปดาห์'!Z15</f>
        <v>2</v>
      </c>
      <c r="AA46" s="680">
        <f>'SVB-Coring-รายสัปดาห์'!AA15</f>
        <v>2</v>
      </c>
      <c r="AB46" s="680">
        <f>'SVB-Coring-รายสัปดาห์'!AB15</f>
        <v>2</v>
      </c>
      <c r="AC46" s="680">
        <f>'SVB-Coring-รายสัปดาห์'!AC15</f>
        <v>2</v>
      </c>
      <c r="AD46" s="680">
        <f>'SVB-Coring-รายสัปดาห์'!AD15</f>
        <v>2</v>
      </c>
      <c r="AE46" s="680">
        <f>'SVB-Coring-รายสัปดาห์'!AE15</f>
        <v>2</v>
      </c>
      <c r="AF46" s="680">
        <f>'SVB-Coring-รายสัปดาห์'!AF15</f>
        <v>2</v>
      </c>
      <c r="AG46" s="680">
        <f>'SVB-Coring-รายสัปดาห์'!AG15</f>
        <v>2</v>
      </c>
      <c r="AH46" s="680">
        <f>'SVB-Coring-รายสัปดาห์'!AH15</f>
        <v>2</v>
      </c>
      <c r="AI46" s="680">
        <f>'SVB-Coring-รายสัปดาห์'!AI15</f>
        <v>2</v>
      </c>
      <c r="AJ46" s="680">
        <f>'SVB-Coring-รายสัปดาห์'!AJ15</f>
        <v>2</v>
      </c>
      <c r="AK46" s="680">
        <f>'SVB-Coring-รายสัปดาห์'!AK15</f>
        <v>0</v>
      </c>
      <c r="AL46" s="680">
        <f>'SVB-Coring-รายสัปดาห์'!AL15</f>
        <v>0</v>
      </c>
      <c r="AM46" s="680">
        <f>'SVB-Coring-รายสัปดาห์'!AM15</f>
        <v>0</v>
      </c>
    </row>
    <row r="47" spans="1:41" ht="16.2" customHeight="1">
      <c r="A47" s="659" t="s">
        <v>1374</v>
      </c>
      <c r="B47" s="681">
        <f>'SVB-Coring-รายสัปดาห์'!B16</f>
        <v>0</v>
      </c>
      <c r="C47" s="681">
        <f>'SVB-Coring-รายสัปดาห์'!C16</f>
        <v>0</v>
      </c>
      <c r="D47" s="681">
        <f>'SVB-Coring-รายสัปดาห์'!D16</f>
        <v>0</v>
      </c>
      <c r="E47" s="681">
        <f>'SVB-Coring-รายสัปดาห์'!E16</f>
        <v>0</v>
      </c>
      <c r="F47" s="681">
        <f>'SVB-Coring-รายสัปดาห์'!F16</f>
        <v>0</v>
      </c>
      <c r="G47" s="681">
        <f>'SVB-Coring-รายสัปดาห์'!G16</f>
        <v>0</v>
      </c>
      <c r="H47" s="681">
        <f>'SVB-Coring-รายสัปดาห์'!H16</f>
        <v>0</v>
      </c>
      <c r="I47" s="681">
        <f>'SVB-Coring-รายสัปดาห์'!I16</f>
        <v>0</v>
      </c>
      <c r="J47" s="681">
        <f>'SVB-Coring-รายสัปดาห์'!J16</f>
        <v>0</v>
      </c>
      <c r="K47" s="681">
        <f>'SVB-Coring-รายสัปดาห์'!K16</f>
        <v>0</v>
      </c>
      <c r="L47" s="681">
        <f>'SVB-Coring-รายสัปดาห์'!L16</f>
        <v>1</v>
      </c>
      <c r="M47" s="681">
        <f>'SVB-Coring-รายสัปดาห์'!M16</f>
        <v>0</v>
      </c>
      <c r="N47" s="681">
        <f>'SVB-Coring-รายสัปดาห์'!N16</f>
        <v>0</v>
      </c>
      <c r="O47" s="681">
        <f>'SVB-Coring-รายสัปดาห์'!O16</f>
        <v>1</v>
      </c>
      <c r="P47" s="681">
        <f>'SVB-Coring-รายสัปดาห์'!P16</f>
        <v>2</v>
      </c>
      <c r="Q47" s="681">
        <f>'SVB-Coring-รายสัปดาห์'!Q16</f>
        <v>1</v>
      </c>
      <c r="R47" s="681">
        <f>'SVB-Coring-รายสัปดาห์'!R16</f>
        <v>1</v>
      </c>
      <c r="S47" s="681">
        <f>'SVB-Coring-รายสัปดาห์'!S16</f>
        <v>1</v>
      </c>
      <c r="T47" s="681">
        <f>'SVB-Coring-รายสัปดาห์'!T16</f>
        <v>0</v>
      </c>
      <c r="U47" s="681"/>
      <c r="V47" s="681"/>
      <c r="W47" s="681"/>
      <c r="X47" s="681"/>
      <c r="Y47" s="681"/>
      <c r="Z47" s="681"/>
      <c r="AA47" s="681"/>
      <c r="AB47" s="681"/>
      <c r="AC47" s="681"/>
      <c r="AD47" s="681"/>
      <c r="AE47" s="681"/>
      <c r="AF47" s="681"/>
      <c r="AG47" s="681"/>
      <c r="AH47" s="681"/>
      <c r="AI47" s="681"/>
      <c r="AJ47" s="681"/>
      <c r="AK47" s="681"/>
      <c r="AL47" s="681"/>
      <c r="AM47" s="681"/>
    </row>
    <row r="48" spans="1:41" ht="16.2" customHeight="1">
      <c r="A48" s="659" t="s">
        <v>1361</v>
      </c>
      <c r="B48" s="681">
        <f>'SVB-Coring-รายสัปดาห์'!B19</f>
        <v>0</v>
      </c>
      <c r="C48" s="681">
        <f>'SVB-Coring-รายสัปดาห์'!C19</f>
        <v>0</v>
      </c>
      <c r="D48" s="681">
        <f>'SVB-Coring-รายสัปดาห์'!D19</f>
        <v>0</v>
      </c>
      <c r="E48" s="681">
        <f>'SVB-Coring-รายสัปดาห์'!E19</f>
        <v>0</v>
      </c>
      <c r="F48" s="681">
        <f>'SVB-Coring-รายสัปดาห์'!F19</f>
        <v>0</v>
      </c>
      <c r="G48" s="681">
        <f>'SVB-Coring-รายสัปดาห์'!G19</f>
        <v>0</v>
      </c>
      <c r="H48" s="681">
        <f>'SVB-Coring-รายสัปดาห์'!H19</f>
        <v>0</v>
      </c>
      <c r="I48" s="681">
        <f>'SVB-Coring-รายสัปดาห์'!I19</f>
        <v>0</v>
      </c>
      <c r="J48" s="681">
        <f>'SVB-Coring-รายสัปดาห์'!J19</f>
        <v>0</v>
      </c>
      <c r="K48" s="681">
        <f>'SVB-Coring-รายสัปดาห์'!K19</f>
        <v>0</v>
      </c>
      <c r="L48" s="681">
        <f>'SVB-Coring-รายสัปดาห์'!L19</f>
        <v>1</v>
      </c>
      <c r="M48" s="681">
        <f>'SVB-Coring-รายสัปดาห์'!M19</f>
        <v>1</v>
      </c>
      <c r="N48" s="681">
        <f>'SVB-Coring-รายสัปดาห์'!N19</f>
        <v>1</v>
      </c>
      <c r="O48" s="681">
        <f>'SVB-Coring-รายสัปดาห์'!O19</f>
        <v>2</v>
      </c>
      <c r="P48" s="681">
        <f>'SVB-Coring-รายสัปดาห์'!P19</f>
        <v>4</v>
      </c>
      <c r="Q48" s="681">
        <f>'SVB-Coring-รายสัปดาห์'!Q19</f>
        <v>5</v>
      </c>
      <c r="R48" s="681">
        <f>'SVB-Coring-รายสัปดาห์'!R19</f>
        <v>6</v>
      </c>
      <c r="S48" s="681">
        <f>'SVB-Coring-รายสัปดาห์'!S19</f>
        <v>7</v>
      </c>
      <c r="T48" s="681">
        <f>'SVB-Coring-รายสัปดาห์'!T19</f>
        <v>7</v>
      </c>
      <c r="U48" s="681"/>
      <c r="V48" s="681"/>
      <c r="W48" s="681"/>
      <c r="X48" s="681"/>
      <c r="Y48" s="681"/>
      <c r="Z48" s="681"/>
      <c r="AA48" s="681"/>
      <c r="AB48" s="681"/>
      <c r="AC48" s="681"/>
      <c r="AD48" s="681"/>
      <c r="AE48" s="681"/>
      <c r="AF48" s="681"/>
      <c r="AG48" s="681"/>
      <c r="AH48" s="681"/>
      <c r="AI48" s="681"/>
      <c r="AJ48" s="681"/>
      <c r="AK48" s="681"/>
      <c r="AL48" s="681"/>
      <c r="AM48" s="681"/>
    </row>
    <row r="49" spans="1:39" ht="16.2" customHeight="1">
      <c r="A49" s="673" t="s">
        <v>1359</v>
      </c>
      <c r="B49" s="682">
        <f>'SVB-Coring-รายสัปดาห์'!B17</f>
        <v>0</v>
      </c>
      <c r="C49" s="682">
        <f>'SVB-Coring-รายสัปดาห์'!C17</f>
        <v>0</v>
      </c>
      <c r="D49" s="682">
        <f>'SVB-Coring-รายสัปดาห์'!D17</f>
        <v>0</v>
      </c>
      <c r="E49" s="682">
        <f>'SVB-Coring-รายสัปดาห์'!E17</f>
        <v>0</v>
      </c>
      <c r="F49" s="682">
        <f>'SVB-Coring-รายสัปดาห์'!F17</f>
        <v>0</v>
      </c>
      <c r="G49" s="682">
        <f>'SVB-Coring-รายสัปดาห์'!G17</f>
        <v>0</v>
      </c>
      <c r="H49" s="682">
        <f>'SVB-Coring-รายสัปดาห์'!H17</f>
        <v>0</v>
      </c>
      <c r="I49" s="682">
        <f>'SVB-Coring-รายสัปดาห์'!I17</f>
        <v>0</v>
      </c>
      <c r="J49" s="682">
        <f>'SVB-Coring-รายสัปดาห์'!J17</f>
        <v>0</v>
      </c>
      <c r="K49" s="682">
        <f>'SVB-Coring-รายสัปดาห์'!K17</f>
        <v>0</v>
      </c>
      <c r="L49" s="682">
        <f>'SVB-Coring-รายสัปดาห์'!L17</f>
        <v>1</v>
      </c>
      <c r="M49" s="682">
        <f>'SVB-Coring-รายสัปดาห์'!M17</f>
        <v>0</v>
      </c>
      <c r="N49" s="682">
        <f>'SVB-Coring-รายสัปดาห์'!N17</f>
        <v>0</v>
      </c>
      <c r="O49" s="682">
        <f>'SVB-Coring-รายสัปดาห์'!O17</f>
        <v>1</v>
      </c>
      <c r="P49" s="682">
        <f>'SVB-Coring-รายสัปดาห์'!P17</f>
        <v>1</v>
      </c>
      <c r="Q49" s="682">
        <f>'SVB-Coring-รายสัปดาห์'!Q17</f>
        <v>1</v>
      </c>
      <c r="R49" s="682">
        <f>'SVB-Coring-รายสัปดาห์'!R17</f>
        <v>1</v>
      </c>
      <c r="S49" s="682">
        <f>'SVB-Coring-รายสัปดาห์'!S17</f>
        <v>1</v>
      </c>
      <c r="T49" s="682">
        <f>'SVB-Coring-รายสัปดาห์'!T17</f>
        <v>0</v>
      </c>
      <c r="U49" s="682">
        <f>'SVB-Coring-รายสัปดาห์'!U17</f>
        <v>0.5</v>
      </c>
      <c r="V49" s="682">
        <f>'SVB-Coring-รายสัปดาห์'!V17</f>
        <v>0</v>
      </c>
      <c r="W49" s="682">
        <f>'SVB-Coring-รายสัปดาห์'!W17</f>
        <v>0</v>
      </c>
      <c r="X49" s="682">
        <f>'SVB-Coring-รายสัปดาห์'!X17</f>
        <v>0</v>
      </c>
      <c r="Y49" s="682">
        <f>'SVB-Coring-รายสัปดาห์'!Y17</f>
        <v>0</v>
      </c>
      <c r="Z49" s="682">
        <f>'SVB-Coring-รายสัปดาห์'!Z17</f>
        <v>0</v>
      </c>
      <c r="AA49" s="682">
        <f>'SVB-Coring-รายสัปดาห์'!AA17</f>
        <v>0</v>
      </c>
      <c r="AB49" s="682">
        <f>'SVB-Coring-รายสัปดาห์'!AB17</f>
        <v>0</v>
      </c>
      <c r="AC49" s="682">
        <f>'SVB-Coring-รายสัปดาห์'!AC17</f>
        <v>0</v>
      </c>
      <c r="AD49" s="682">
        <f>'SVB-Coring-รายสัปดาห์'!AD17</f>
        <v>0</v>
      </c>
      <c r="AE49" s="682">
        <f>'SVB-Coring-รายสัปดาห์'!AE17</f>
        <v>0</v>
      </c>
      <c r="AF49" s="682">
        <f>'SVB-Coring-รายสัปดาห์'!AF17</f>
        <v>0</v>
      </c>
      <c r="AG49" s="682">
        <f>'SVB-Coring-รายสัปดาห์'!AG17</f>
        <v>0</v>
      </c>
      <c r="AH49" s="682">
        <f>'SVB-Coring-รายสัปดาห์'!AH17</f>
        <v>0</v>
      </c>
      <c r="AI49" s="682">
        <f>'SVB-Coring-รายสัปดาห์'!AI17</f>
        <v>0</v>
      </c>
      <c r="AJ49" s="682">
        <f>'SVB-Coring-รายสัปดาห์'!AJ17</f>
        <v>0</v>
      </c>
      <c r="AK49" s="682">
        <f>'SVB-Coring-รายสัปดาห์'!AK17</f>
        <v>0</v>
      </c>
      <c r="AL49" s="682">
        <f>'SVB-Coring-รายสัปดาห์'!AL17</f>
        <v>0</v>
      </c>
      <c r="AM49" s="682">
        <f>'SVB-Coring-รายสัปดาห์'!AM17</f>
        <v>0</v>
      </c>
    </row>
    <row r="50" spans="1:39" ht="16.2" customHeight="1">
      <c r="A50" s="664" t="s">
        <v>1375</v>
      </c>
      <c r="B50" s="683">
        <f>'SVB-Coring-รายสัปดาห์'!B20</f>
        <v>0</v>
      </c>
      <c r="C50" s="683">
        <f>'SVB-Coring-รายสัปดาห์'!C20</f>
        <v>0</v>
      </c>
      <c r="D50" s="683">
        <f>'SVB-Coring-รายสัปดาห์'!D20</f>
        <v>0</v>
      </c>
      <c r="E50" s="683">
        <f>'SVB-Coring-รายสัปดาห์'!E20</f>
        <v>0</v>
      </c>
      <c r="F50" s="683">
        <f>'SVB-Coring-รายสัปดาห์'!F20</f>
        <v>0</v>
      </c>
      <c r="G50" s="683">
        <f>'SVB-Coring-รายสัปดาห์'!G20</f>
        <v>0</v>
      </c>
      <c r="H50" s="683">
        <f>'SVB-Coring-รายสัปดาห์'!H20</f>
        <v>0</v>
      </c>
      <c r="I50" s="683">
        <f>'SVB-Coring-รายสัปดาห์'!I20</f>
        <v>0</v>
      </c>
      <c r="J50" s="683">
        <f>'SVB-Coring-รายสัปดาห์'!J20</f>
        <v>0</v>
      </c>
      <c r="K50" s="683">
        <f>'SVB-Coring-รายสัปดาห์'!K20</f>
        <v>0</v>
      </c>
      <c r="L50" s="683">
        <f>'SVB-Coring-รายสัปดาห์'!L20</f>
        <v>2.564102564102564E-2</v>
      </c>
      <c r="M50" s="683">
        <f>'SVB-Coring-รายสัปดาห์'!M20</f>
        <v>2.564102564102564E-2</v>
      </c>
      <c r="N50" s="683">
        <f>'SVB-Coring-รายสัปดาห์'!N20</f>
        <v>2.564102564102564E-2</v>
      </c>
      <c r="O50" s="683">
        <f>'SVB-Coring-รายสัปดาห์'!O20</f>
        <v>5.128205128205128E-2</v>
      </c>
      <c r="P50" s="683">
        <f>'SVB-Coring-รายสัปดาห์'!P20</f>
        <v>0.10256410256410256</v>
      </c>
      <c r="Q50" s="683">
        <f>'SVB-Coring-รายสัปดาห์'!Q20</f>
        <v>0.12820512820512819</v>
      </c>
      <c r="R50" s="683">
        <f>'SVB-Coring-รายสัปดาห์'!R20</f>
        <v>0.15384615384615385</v>
      </c>
      <c r="S50" s="683">
        <f>'SVB-Coring-รายสัปดาห์'!S20</f>
        <v>0.17948717948717949</v>
      </c>
      <c r="T50" s="683">
        <f>'SVB-Coring-รายสัปดาห์'!T20</f>
        <v>0.17948717948717949</v>
      </c>
      <c r="U50" s="683">
        <f>'SVB-Coring-รายสัปดาห์'!U20</f>
        <v>0.20512820512820512</v>
      </c>
      <c r="V50" s="683">
        <f>'SVB-Coring-รายสัปดาห์'!V20</f>
        <v>0.20512820512820512</v>
      </c>
      <c r="W50" s="683">
        <f>'SVB-Coring-รายสัปดาห์'!W20</f>
        <v>0.20512820512820512</v>
      </c>
      <c r="X50" s="683">
        <f>'SVB-Coring-รายสัปดาห์'!X20</f>
        <v>0.20512820512820512</v>
      </c>
      <c r="Y50" s="683">
        <f>'SVB-Coring-รายสัปดาห์'!Y20</f>
        <v>0.20512820512820512</v>
      </c>
      <c r="Z50" s="683">
        <f>'SVB-Coring-รายสัปดาห์'!Z20</f>
        <v>0.20512820512820512</v>
      </c>
      <c r="AA50" s="683">
        <f>'SVB-Coring-รายสัปดาห์'!AA20</f>
        <v>0.20512820512820512</v>
      </c>
      <c r="AB50" s="683">
        <f>'SVB-Coring-รายสัปดาห์'!AB20</f>
        <v>0.20512820512820512</v>
      </c>
      <c r="AC50" s="683">
        <f>'SVB-Coring-รายสัปดาห์'!AC20</f>
        <v>0.20512820512820512</v>
      </c>
      <c r="AD50" s="683">
        <f>'SVB-Coring-รายสัปดาห์'!AD20</f>
        <v>0.20512820512820512</v>
      </c>
      <c r="AE50" s="683">
        <f>'SVB-Coring-รายสัปดาห์'!AE20</f>
        <v>0.20512820512820512</v>
      </c>
      <c r="AF50" s="683">
        <f>'SVB-Coring-รายสัปดาห์'!AF20</f>
        <v>0.20512820512820512</v>
      </c>
      <c r="AG50" s="683">
        <f>'SVB-Coring-รายสัปดาห์'!AG20</f>
        <v>0.20512820512820512</v>
      </c>
      <c r="AH50" s="683">
        <f>'SVB-Coring-รายสัปดาห์'!AH20</f>
        <v>0.20512820512820512</v>
      </c>
      <c r="AI50" s="683">
        <f>'SVB-Coring-รายสัปดาห์'!AI20</f>
        <v>0.20512820512820512</v>
      </c>
      <c r="AJ50" s="683">
        <f>'SVB-Coring-รายสัปดาห์'!AJ20</f>
        <v>0.20512820512820512</v>
      </c>
      <c r="AK50" s="683">
        <f>'SVB-Coring-รายสัปดาห์'!AK20</f>
        <v>0.20512820512820512</v>
      </c>
      <c r="AL50" s="683">
        <f>'SVB-Coring-รายสัปดาห์'!AL20</f>
        <v>0.20512820512820512</v>
      </c>
      <c r="AM50" s="683">
        <f>'SVB-Coring-รายสัปดาห์'!AM20</f>
        <v>0.20512820512820512</v>
      </c>
    </row>
    <row r="80" spans="1:41" ht="22.2" customHeight="1">
      <c r="A80" s="1210" t="s">
        <v>1376</v>
      </c>
      <c r="B80" s="1211"/>
      <c r="C80" s="1211"/>
      <c r="D80" s="1211"/>
      <c r="E80" s="1211"/>
      <c r="F80" s="1211"/>
      <c r="G80" s="1211"/>
      <c r="H80" s="1211"/>
      <c r="I80" s="1211"/>
      <c r="J80" s="1211"/>
      <c r="K80" s="1211"/>
      <c r="L80" s="1211"/>
      <c r="M80" s="1211"/>
      <c r="N80" s="1211"/>
      <c r="O80" s="1211"/>
      <c r="P80" s="1211"/>
      <c r="Q80" s="1211"/>
      <c r="R80" s="1211"/>
      <c r="S80" s="1211"/>
      <c r="T80" s="1211"/>
      <c r="U80" s="1211"/>
      <c r="V80" s="1211"/>
      <c r="W80" s="1211"/>
      <c r="X80" s="1211"/>
      <c r="Y80" s="1211"/>
      <c r="Z80" s="1211"/>
      <c r="AA80" s="1211"/>
      <c r="AB80" s="1211"/>
      <c r="AC80" s="1211"/>
      <c r="AD80" s="1211"/>
      <c r="AE80" s="1211"/>
      <c r="AF80" s="1211"/>
      <c r="AG80" s="1211"/>
      <c r="AH80" s="1211"/>
      <c r="AI80" s="1211"/>
      <c r="AJ80" s="1211"/>
      <c r="AK80" s="1211"/>
      <c r="AL80" s="1211"/>
      <c r="AM80" s="1211"/>
      <c r="AN80" s="1211"/>
      <c r="AO80" s="1211"/>
    </row>
    <row r="81" spans="1:39" ht="24">
      <c r="A81" s="678"/>
      <c r="B81" s="655" t="str">
        <f>'SVB-Coring-รายสัปดาห์'!B4</f>
        <v>W.1
(8/11-14/11)</v>
      </c>
      <c r="C81" s="655" t="str">
        <f>'SVB-Coring-รายสัปดาห์'!C4</f>
        <v>W.2
(15/11-21/11)</v>
      </c>
      <c r="D81" s="655" t="str">
        <f>'SVB-Coring-รายสัปดาห์'!D4</f>
        <v>W.3
(22/11-28/11)</v>
      </c>
      <c r="E81" s="655" t="str">
        <f>'SVB-Coring-รายสัปดาห์'!E4</f>
        <v>W.4
(29/11-5/12)</v>
      </c>
      <c r="F81" s="655" t="str">
        <f>'SVB-Coring-รายสัปดาห์'!F4</f>
        <v>W.5
(6/12-12/12)</v>
      </c>
      <c r="G81" s="655" t="str">
        <f>'SVB-Coring-รายสัปดาห์'!G4</f>
        <v>W.6
(13/12-19/12)</v>
      </c>
      <c r="H81" s="655" t="str">
        <f>'SVB-Coring-รายสัปดาห์'!H4</f>
        <v>W.7
(20/12-26/12)</v>
      </c>
      <c r="I81" s="655" t="str">
        <f>'SVB-Coring-รายสัปดาห์'!I4</f>
        <v>W.8
(27/12-2/1)</v>
      </c>
      <c r="J81" s="655" t="str">
        <f>'SVB-Coring-รายสัปดาห์'!J4</f>
        <v>W.9
(3/1-9/1)</v>
      </c>
      <c r="K81" s="655" t="str">
        <f>'SVB-Coring-รายสัปดาห์'!K4</f>
        <v>W.10
(10/1-16/1)</v>
      </c>
      <c r="L81" s="655" t="str">
        <f>'SVB-Coring-รายสัปดาห์'!L4</f>
        <v>W.11
(17/1-23/1)</v>
      </c>
      <c r="M81" s="655" t="str">
        <f>'SVB-Coring-รายสัปดาห์'!M4</f>
        <v>W.12
(24/1-30/1)</v>
      </c>
      <c r="N81" s="655" t="str">
        <f>'SVB-Coring-รายสัปดาห์'!N4</f>
        <v>W.13
(31/1-6/2)</v>
      </c>
      <c r="O81" s="655" t="str">
        <f>'SVB-Coring-รายสัปดาห์'!O4</f>
        <v>W.14
(7/2-13/2)</v>
      </c>
      <c r="P81" s="655" t="str">
        <f>'SVB-Coring-รายสัปดาห์'!P4</f>
        <v>W.15
(14/2-20/2)</v>
      </c>
      <c r="Q81" s="655" t="str">
        <f>'SVB-Coring-รายสัปดาห์'!Q4</f>
        <v>W.16
(21/2-27/2)</v>
      </c>
      <c r="R81" s="655" t="str">
        <f>'SVB-Coring-รายสัปดาห์'!R4</f>
        <v>W.17
(28/2-6/3)</v>
      </c>
      <c r="S81" s="655" t="str">
        <f>'SVB-Coring-รายสัปดาห์'!S4</f>
        <v>W.18
(7/3-13/3)</v>
      </c>
      <c r="T81" s="655" t="str">
        <f>'SVB-Coring-รายสัปดาห์'!T4</f>
        <v>W.19
(14/3-20/3)</v>
      </c>
      <c r="U81" s="655" t="str">
        <f>'SVB-Coring-รายสัปดาห์'!U4</f>
        <v>W.20
(21/3-27/3)</v>
      </c>
      <c r="V81" s="655" t="str">
        <f>'SVB-Coring-รายสัปดาห์'!V4</f>
        <v>W.21
(28/3-3/4)</v>
      </c>
      <c r="W81" s="655" t="str">
        <f>'SVB-Coring-รายสัปดาห์'!W4</f>
        <v>W.22
(4/4-10/4)</v>
      </c>
      <c r="X81" s="655" t="str">
        <f>'SVB-Coring-รายสัปดาห์'!X4</f>
        <v>W.23
(11/4-17/4)</v>
      </c>
      <c r="Y81" s="655" t="str">
        <f>'SVB-Coring-รายสัปดาห์'!Y4</f>
        <v>W.24
(18/4-24/4)</v>
      </c>
      <c r="Z81" s="655" t="str">
        <f>'SVB-Coring-รายสัปดาห์'!Z4</f>
        <v>W.25
(25/4-1/5)</v>
      </c>
      <c r="AA81" s="655" t="str">
        <f>'SVB-Coring-รายสัปดาห์'!AA4</f>
        <v>W.26
(2/5-8/5)</v>
      </c>
      <c r="AB81" s="655" t="str">
        <f>'SVB-Coring-รายสัปดาห์'!AB4</f>
        <v>W.27
(9/5-15/5)</v>
      </c>
      <c r="AC81" s="655" t="str">
        <f>'SVB-Coring-รายสัปดาห์'!AC4</f>
        <v>W.28
(16/5-22/5)</v>
      </c>
      <c r="AD81" s="655" t="str">
        <f>'SVB-Coring-รายสัปดาห์'!AD4</f>
        <v>W.29
(23/5-29/5)</v>
      </c>
      <c r="AE81" s="655" t="str">
        <f>'SVB-Coring-รายสัปดาห์'!AE4</f>
        <v>W.30
(30/5-5/6)</v>
      </c>
      <c r="AF81" s="655" t="str">
        <f>'SVB-Coring-รายสัปดาห์'!AF4</f>
        <v>W.31
(6/6-12/6)</v>
      </c>
      <c r="AG81" s="655" t="str">
        <f>'SVB-Coring-รายสัปดาห์'!AG4</f>
        <v>W.32
(13/6-19/6)</v>
      </c>
      <c r="AH81" s="655" t="str">
        <f>'SVB-Coring-รายสัปดาห์'!AH4</f>
        <v>W.33
(20/6-26/6)</v>
      </c>
      <c r="AI81" s="655" t="str">
        <f>'SVB-Coring-รายสัปดาห์'!AI4</f>
        <v>W.34
(27/6-3/7)</v>
      </c>
      <c r="AJ81" s="655" t="str">
        <f>'SVB-Coring-รายสัปดาห์'!AJ4</f>
        <v>W.35
(4/7-10/7)</v>
      </c>
      <c r="AK81" s="655" t="str">
        <f>'SVB-Coring-รายสัปดาห์'!AK4</f>
        <v>W.36
(11/7-17/7)</v>
      </c>
      <c r="AL81" s="655" t="str">
        <f>'SVB-Coring-รายสัปดาห์'!AL4</f>
        <v>W.37
(18/7-24/7)</v>
      </c>
      <c r="AM81" s="655" t="str">
        <f>'SVB-Coring-รายสัปดาห์'!AM4</f>
        <v>W.38
(25/7-31/7)</v>
      </c>
    </row>
    <row r="82" spans="1:39" ht="16.2" customHeight="1">
      <c r="A82" s="670" t="s">
        <v>1377</v>
      </c>
      <c r="B82" s="684">
        <f>'SVB-Coring-รายสัปดาห์'!B26</f>
        <v>2.564102564102564E-2</v>
      </c>
      <c r="C82" s="684">
        <f>'SVB-Coring-รายสัปดาห์'!C26</f>
        <v>5.128205128205128E-2</v>
      </c>
      <c r="D82" s="684">
        <f>'SVB-Coring-รายสัปดาห์'!D26</f>
        <v>0.14102564102564102</v>
      </c>
      <c r="E82" s="684">
        <f>'SVB-Coring-รายสัปดาห์'!E26</f>
        <v>0.17948717948717949</v>
      </c>
      <c r="F82" s="684">
        <f>'SVB-Coring-รายสัปดาห์'!F26</f>
        <v>0.23076923076923078</v>
      </c>
      <c r="G82" s="684">
        <f>'SVB-Coring-รายสัปดาห์'!G26</f>
        <v>0.30769230769230771</v>
      </c>
      <c r="H82" s="684">
        <f>'SVB-Coring-รายสัปดาห์'!H26</f>
        <v>0.33333333333333331</v>
      </c>
      <c r="I82" s="684">
        <f>'SVB-Coring-รายสัปดาห์'!I26</f>
        <v>0.33333333333333331</v>
      </c>
      <c r="J82" s="684">
        <f>'SVB-Coring-รายสัปดาห์'!J26</f>
        <v>0.35897435897435898</v>
      </c>
      <c r="K82" s="684">
        <f>'SVB-Coring-รายสัปดาห์'!K26</f>
        <v>0.4358974358974359</v>
      </c>
      <c r="L82" s="684">
        <f>'SVB-Coring-รายสัปดาห์'!L26</f>
        <v>0.51282051282051277</v>
      </c>
      <c r="M82" s="684">
        <f>'SVB-Coring-รายสัปดาห์'!M26</f>
        <v>0.51282051282051277</v>
      </c>
      <c r="N82" s="684">
        <f>'SVB-Coring-รายสัปดาห์'!N26</f>
        <v>0.51282051282051277</v>
      </c>
      <c r="O82" s="684">
        <f>'SVB-Coring-รายสัปดาห์'!O26</f>
        <v>0.52564102564102566</v>
      </c>
      <c r="P82" s="684">
        <f>'SVB-Coring-รายสัปดาห์'!P26</f>
        <v>0.55128205128205132</v>
      </c>
      <c r="Q82" s="684">
        <f>'SVB-Coring-รายสัปดาห์'!Q26</f>
        <v>0.5641025641025641</v>
      </c>
      <c r="R82" s="684">
        <f>'SVB-Coring-รายสัปดาห์'!R26</f>
        <v>0.57692307692307687</v>
      </c>
      <c r="S82" s="684">
        <f>'SVB-Coring-รายสัปดาห์'!S26</f>
        <v>0.58974358974358976</v>
      </c>
      <c r="T82" s="684">
        <f>'SVB-Coring-รายสัปดาห์'!T26</f>
        <v>0.61538461538461542</v>
      </c>
      <c r="U82" s="684">
        <f>'SVB-Coring-รายสัปดาห์'!U26</f>
        <v>0.64102564102564108</v>
      </c>
      <c r="V82" s="684">
        <f>'SVB-Coring-รายสัปดาห์'!V26</f>
        <v>0.66666666666666663</v>
      </c>
      <c r="W82" s="684">
        <f>'SVB-Coring-รายสัปดาห์'!W26</f>
        <v>0.69230769230769229</v>
      </c>
      <c r="X82" s="684">
        <f>'SVB-Coring-รายสัปดาห์'!X26</f>
        <v>0.69230769230769229</v>
      </c>
      <c r="Y82" s="684">
        <f>'SVB-Coring-รายสัปดาห์'!Y26</f>
        <v>0.71794871794871795</v>
      </c>
      <c r="Z82" s="684">
        <f>'SVB-Coring-รายสัปดาห์'!Z26</f>
        <v>0.74358974358974361</v>
      </c>
      <c r="AA82" s="684">
        <f>'SVB-Coring-รายสัปดาห์'!AA26</f>
        <v>0.76923076923076927</v>
      </c>
      <c r="AB82" s="684">
        <f>'SVB-Coring-รายสัปดาห์'!AB26</f>
        <v>0.79487179487179482</v>
      </c>
      <c r="AC82" s="684">
        <f>'SVB-Coring-รายสัปดาห์'!AC26</f>
        <v>0.82051282051282048</v>
      </c>
      <c r="AD82" s="684">
        <f>'SVB-Coring-รายสัปดาห์'!AD26</f>
        <v>0.84615384615384615</v>
      </c>
      <c r="AE82" s="684">
        <f>'SVB-Coring-รายสัปดาห์'!AE26</f>
        <v>0.87179487179487181</v>
      </c>
      <c r="AF82" s="684">
        <f>'SVB-Coring-รายสัปดาห์'!AF26</f>
        <v>0.89743589743589747</v>
      </c>
      <c r="AG82" s="684">
        <f>'SVB-Coring-รายสัปดาห์'!AG26</f>
        <v>0.92307692307692313</v>
      </c>
      <c r="AH82" s="684">
        <f>'SVB-Coring-รายสัปดาห์'!AH26</f>
        <v>0.94871794871794868</v>
      </c>
      <c r="AI82" s="684">
        <f>'SVB-Coring-รายสัปดาห์'!AI26</f>
        <v>0.97435897435897434</v>
      </c>
      <c r="AJ82" s="684">
        <f>'SVB-Coring-รายสัปดาห์'!AJ26</f>
        <v>1</v>
      </c>
      <c r="AK82" s="684">
        <f>'SVB-Coring-รายสัปดาห์'!AK26</f>
        <v>1</v>
      </c>
      <c r="AL82" s="684">
        <f>'SVB-Coring-รายสัปดาห์'!AL26</f>
        <v>1</v>
      </c>
      <c r="AM82" s="684">
        <f>'SVB-Coring-รายสัปดาห์'!AM26</f>
        <v>1</v>
      </c>
    </row>
    <row r="83" spans="1:39" ht="16.2" customHeight="1">
      <c r="A83" s="685" t="s">
        <v>345</v>
      </c>
      <c r="B83" s="686">
        <f>'SVB-Coring-รายสัปดาห์'!B27</f>
        <v>2.564102564102564E-2</v>
      </c>
      <c r="C83" s="686">
        <f>'SVB-Coring-รายสัปดาห์'!C27</f>
        <v>5.128205128205128E-2</v>
      </c>
      <c r="D83" s="686">
        <f>'SVB-Coring-รายสัปดาห์'!D27</f>
        <v>0.14102564102564102</v>
      </c>
      <c r="E83" s="686">
        <f>'SVB-Coring-รายสัปดาห์'!E27</f>
        <v>0.17948717948717949</v>
      </c>
      <c r="F83" s="686">
        <f>'SVB-Coring-รายสัปดาห์'!F27</f>
        <v>0.23076923076923078</v>
      </c>
      <c r="G83" s="686">
        <f>'SVB-Coring-รายสัปดาห์'!G27</f>
        <v>0.30769230769230771</v>
      </c>
      <c r="H83" s="686">
        <f>'SVB-Coring-รายสัปดาห์'!H27</f>
        <v>0.33333333333333331</v>
      </c>
      <c r="I83" s="686">
        <f>'SVB-Coring-รายสัปดาห์'!I27</f>
        <v>0.33333333333333331</v>
      </c>
      <c r="J83" s="686">
        <f>'SVB-Coring-รายสัปดาห์'!J27</f>
        <v>0.35897435897435898</v>
      </c>
      <c r="K83" s="686">
        <f>'SVB-Coring-รายสัปดาห์'!K27</f>
        <v>0.4358974358974359</v>
      </c>
      <c r="L83" s="686">
        <f>'SVB-Coring-รายสัปดาห์'!L27</f>
        <v>0.51282051282051277</v>
      </c>
      <c r="M83" s="686">
        <f>'SVB-Coring-รายสัปดาห์'!M27</f>
        <v>0.51282051282051277</v>
      </c>
      <c r="N83" s="686">
        <f>'SVB-Coring-รายสัปดาห์'!N27</f>
        <v>0.51282051282051277</v>
      </c>
      <c r="O83" s="686">
        <f>'SVB-Coring-รายสัปดาห์'!O27</f>
        <v>0.52564102564102566</v>
      </c>
      <c r="P83" s="686">
        <f>'SVB-Coring-รายสัปดาห์'!P27</f>
        <v>0.55128205128205132</v>
      </c>
      <c r="Q83" s="686">
        <f>'SVB-Coring-รายสัปดาห์'!Q27</f>
        <v>0.5641025641025641</v>
      </c>
      <c r="R83" s="686">
        <f>'SVB-Coring-รายสัปดาห์'!R27</f>
        <v>0.57692307692307687</v>
      </c>
      <c r="S83" s="686">
        <f>'SVB-Coring-รายสัปดาห์'!S27</f>
        <v>0.58974358974358976</v>
      </c>
      <c r="T83" s="686">
        <f>'SVB-Coring-รายสัปดาห์'!T27</f>
        <v>0.58974358974358976</v>
      </c>
      <c r="U83" s="686"/>
      <c r="V83" s="686"/>
      <c r="W83" s="686"/>
      <c r="X83" s="686"/>
      <c r="Y83" s="686"/>
      <c r="Z83" s="686"/>
      <c r="AA83" s="686"/>
      <c r="AB83" s="686"/>
      <c r="AC83" s="686"/>
      <c r="AD83" s="686"/>
      <c r="AE83" s="686"/>
      <c r="AF83" s="686"/>
      <c r="AG83" s="686"/>
      <c r="AH83" s="686"/>
      <c r="AI83" s="686"/>
      <c r="AJ83" s="686"/>
      <c r="AK83" s="686"/>
      <c r="AL83" s="686"/>
      <c r="AM83" s="686"/>
    </row>
  </sheetData>
  <mergeCells count="5">
    <mergeCell ref="A1:AO1"/>
    <mergeCell ref="A2:AO2"/>
    <mergeCell ref="A4:AO4"/>
    <mergeCell ref="A44:AO44"/>
    <mergeCell ref="A80:AO80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CB15-F5D0-44CF-88C8-DA100F101FB3}">
  <dimension ref="A1:V114"/>
  <sheetViews>
    <sheetView zoomScale="60" zoomScaleNormal="60" workbookViewId="0">
      <pane ySplit="1" topLeftCell="A2" activePane="bottomLeft" state="frozen"/>
      <selection pane="bottomLeft" activeCell="H1" sqref="H1"/>
    </sheetView>
  </sheetViews>
  <sheetFormatPr defaultColWidth="8.88671875" defaultRowHeight="21"/>
  <cols>
    <col min="1" max="1" width="30.44140625" style="26" customWidth="1"/>
    <col min="2" max="2" width="23.5546875" style="713" customWidth="1"/>
    <col min="3" max="3" width="10" style="220" hidden="1" customWidth="1"/>
    <col min="4" max="4" width="77.44140625" style="1" customWidth="1"/>
    <col min="5" max="5" width="28.109375" style="712" customWidth="1"/>
    <col min="6" max="6" width="13.5546875" style="712" customWidth="1"/>
    <col min="7" max="7" width="11.6640625" style="1" customWidth="1"/>
    <col min="8" max="8" width="21.109375" style="6" customWidth="1"/>
    <col min="9" max="9" width="20.6640625" style="6" customWidth="1"/>
    <col min="10" max="10" width="20" style="714" customWidth="1"/>
    <col min="11" max="11" width="18.88671875" style="6" customWidth="1"/>
    <col min="12" max="12" width="14.109375" style="6" customWidth="1"/>
    <col min="13" max="13" width="47" style="804" customWidth="1"/>
    <col min="14" max="14" width="16.5546875" style="2" customWidth="1"/>
    <col min="15" max="15" width="14" style="2" customWidth="1"/>
    <col min="16" max="16" width="14.33203125" style="2" customWidth="1"/>
    <col min="17" max="17" width="19.109375" style="2" customWidth="1"/>
    <col min="18" max="18" width="21.44140625" style="2" customWidth="1"/>
    <col min="19" max="19" width="27.33203125" style="2" customWidth="1"/>
    <col min="20" max="20" width="18" style="2" customWidth="1"/>
    <col min="21" max="21" width="22.109375" style="2" customWidth="1"/>
    <col min="22" max="22" width="18" style="2" customWidth="1"/>
    <col min="23" max="16384" width="8.88671875" style="2"/>
  </cols>
  <sheetData>
    <row r="1" spans="1:22" s="715" customFormat="1" ht="46.8">
      <c r="A1" s="716" t="s">
        <v>15</v>
      </c>
      <c r="B1" s="716" t="s">
        <v>16</v>
      </c>
      <c r="C1" s="898" t="s">
        <v>17</v>
      </c>
      <c r="D1" s="716" t="s">
        <v>18</v>
      </c>
      <c r="E1" s="716" t="s">
        <v>19</v>
      </c>
      <c r="F1" s="716" t="s">
        <v>1378</v>
      </c>
      <c r="G1" s="716" t="s">
        <v>1379</v>
      </c>
      <c r="H1" s="791" t="s">
        <v>22</v>
      </c>
      <c r="I1" s="791" t="s">
        <v>22</v>
      </c>
      <c r="J1" s="1224" t="s">
        <v>23</v>
      </c>
      <c r="K1" s="1224" t="s">
        <v>24</v>
      </c>
      <c r="L1" s="1029" t="s">
        <v>3</v>
      </c>
      <c r="M1" s="1218" t="s">
        <v>25</v>
      </c>
      <c r="N1" s="1219" t="s">
        <v>26</v>
      </c>
      <c r="O1" s="1219" t="s">
        <v>27</v>
      </c>
      <c r="P1" s="1219" t="s">
        <v>28</v>
      </c>
      <c r="Q1" s="1220" t="s">
        <v>29</v>
      </c>
      <c r="R1" s="1216" t="s">
        <v>30</v>
      </c>
      <c r="S1" s="717" t="s">
        <v>31</v>
      </c>
      <c r="T1" s="718" t="s">
        <v>32</v>
      </c>
      <c r="U1" s="719" t="s">
        <v>33</v>
      </c>
      <c r="V1" s="718" t="s">
        <v>34</v>
      </c>
    </row>
    <row r="2" spans="1:22" s="16" customFormat="1" ht="23.4">
      <c r="A2" s="716"/>
      <c r="B2" s="720"/>
      <c r="C2" s="800"/>
      <c r="D2" s="721"/>
      <c r="E2" s="722"/>
      <c r="F2" s="722"/>
      <c r="G2" s="721"/>
      <c r="H2" s="916" t="s">
        <v>35</v>
      </c>
      <c r="I2" s="916" t="s">
        <v>36</v>
      </c>
      <c r="J2" s="1225"/>
      <c r="K2" s="1225"/>
      <c r="L2" s="1212"/>
      <c r="M2" s="1218"/>
      <c r="N2" s="1219"/>
      <c r="O2" s="1219"/>
      <c r="P2" s="1219"/>
      <c r="Q2" s="1221"/>
      <c r="R2" s="1217"/>
      <c r="S2" s="723"/>
      <c r="T2" s="724"/>
      <c r="U2" s="724"/>
      <c r="V2" s="724"/>
    </row>
    <row r="3" spans="1:22" s="743" customFormat="1">
      <c r="A3" s="765" t="s">
        <v>1380</v>
      </c>
      <c r="B3" s="764" t="s">
        <v>1381</v>
      </c>
      <c r="C3" s="799"/>
      <c r="D3" s="733" t="s">
        <v>43</v>
      </c>
      <c r="E3" s="734" t="s">
        <v>1382</v>
      </c>
      <c r="F3" s="735">
        <v>1</v>
      </c>
      <c r="G3" s="735">
        <v>1</v>
      </c>
      <c r="H3" s="736">
        <v>244499</v>
      </c>
      <c r="I3" s="736">
        <v>244499</v>
      </c>
      <c r="J3" s="736">
        <v>46148</v>
      </c>
      <c r="K3" s="736">
        <v>46148</v>
      </c>
      <c r="L3" s="737"/>
      <c r="M3" s="917" t="s">
        <v>1383</v>
      </c>
      <c r="N3" s="739">
        <v>1</v>
      </c>
      <c r="O3" s="739">
        <v>1</v>
      </c>
      <c r="P3" s="740">
        <v>1</v>
      </c>
      <c r="Q3" s="741">
        <f t="shared" ref="Q3:Q68" si="0">IF($G3=0,1,(N3+O3+P3)/($G3*3))</f>
        <v>1</v>
      </c>
      <c r="R3" s="742"/>
      <c r="S3" s="195" t="str">
        <f t="shared" ref="S3:S68" si="1">IF(ISNUMBER(SEARCH("Access Point",D3)),"AP",IF(OR(ISNUMBER(SEARCH("Switch",D3)),ISNUMBER(SEARCH("Control Type",D3))),"Switch","Infra"))</f>
        <v>Switch</v>
      </c>
      <c r="T3" s="495">
        <f>$H3</f>
        <v>244499</v>
      </c>
      <c r="U3" s="495">
        <f>$J3</f>
        <v>46148</v>
      </c>
      <c r="V3" s="495">
        <f>$I3</f>
        <v>244499</v>
      </c>
    </row>
    <row r="4" spans="1:22" s="743" customFormat="1">
      <c r="A4" s="744" t="s">
        <v>1384</v>
      </c>
      <c r="B4" s="767" t="s">
        <v>1385</v>
      </c>
      <c r="C4" s="732"/>
      <c r="D4" s="733" t="s">
        <v>39</v>
      </c>
      <c r="E4" s="734" t="s">
        <v>1386</v>
      </c>
      <c r="F4" s="735">
        <v>5</v>
      </c>
      <c r="G4" s="735">
        <v>5</v>
      </c>
      <c r="H4" s="736">
        <v>244433</v>
      </c>
      <c r="I4" s="736">
        <v>244519</v>
      </c>
      <c r="J4" s="737"/>
      <c r="K4" s="738"/>
      <c r="L4" s="737"/>
      <c r="M4" s="917" t="s">
        <v>1383</v>
      </c>
      <c r="N4" s="739">
        <v>0</v>
      </c>
      <c r="O4" s="739">
        <v>0</v>
      </c>
      <c r="P4" s="740">
        <v>0</v>
      </c>
      <c r="Q4" s="741">
        <f t="shared" si="0"/>
        <v>0</v>
      </c>
      <c r="R4" s="742"/>
      <c r="S4" s="195" t="str">
        <f t="shared" si="1"/>
        <v>Switch</v>
      </c>
      <c r="T4" s="495">
        <f t="shared" ref="T4:T70" si="2">$H4</f>
        <v>244433</v>
      </c>
      <c r="U4" s="495">
        <f t="shared" ref="U4:U70" si="3">$J4</f>
        <v>0</v>
      </c>
      <c r="V4" s="495">
        <f t="shared" ref="V4:V70" si="4">$I4</f>
        <v>244519</v>
      </c>
    </row>
    <row r="5" spans="1:22" s="743" customFormat="1">
      <c r="A5" s="744" t="s">
        <v>1384</v>
      </c>
      <c r="B5" s="767" t="s">
        <v>1385</v>
      </c>
      <c r="C5" s="732"/>
      <c r="D5" s="733" t="s">
        <v>1387</v>
      </c>
      <c r="E5" s="734" t="s">
        <v>1388</v>
      </c>
      <c r="F5" s="735">
        <v>2</v>
      </c>
      <c r="G5" s="735">
        <v>2</v>
      </c>
      <c r="H5" s="736">
        <v>244433</v>
      </c>
      <c r="I5" s="736">
        <v>244519</v>
      </c>
      <c r="J5" s="737"/>
      <c r="K5" s="738"/>
      <c r="L5" s="737"/>
      <c r="M5" s="917"/>
      <c r="N5" s="739">
        <v>0</v>
      </c>
      <c r="O5" s="739">
        <v>0</v>
      </c>
      <c r="P5" s="740">
        <v>0</v>
      </c>
      <c r="Q5" s="741">
        <f t="shared" si="0"/>
        <v>0</v>
      </c>
      <c r="R5" s="742"/>
      <c r="S5" s="195" t="str">
        <f t="shared" si="1"/>
        <v>Switch</v>
      </c>
      <c r="T5" s="495">
        <f t="shared" si="2"/>
        <v>244433</v>
      </c>
      <c r="U5" s="495">
        <f t="shared" si="3"/>
        <v>0</v>
      </c>
      <c r="V5" s="495">
        <f t="shared" si="4"/>
        <v>244519</v>
      </c>
    </row>
    <row r="6" spans="1:22" s="743" customFormat="1">
      <c r="A6" s="744" t="s">
        <v>1384</v>
      </c>
      <c r="B6" s="767" t="s">
        <v>1385</v>
      </c>
      <c r="C6" s="732"/>
      <c r="D6" s="733" t="s">
        <v>53</v>
      </c>
      <c r="E6" s="734" t="s">
        <v>1389</v>
      </c>
      <c r="F6" s="735">
        <v>2</v>
      </c>
      <c r="G6" s="735">
        <v>2</v>
      </c>
      <c r="H6" s="736">
        <v>244433</v>
      </c>
      <c r="I6" s="736">
        <v>244519</v>
      </c>
      <c r="J6" s="736">
        <v>244433</v>
      </c>
      <c r="K6" s="736">
        <v>244433</v>
      </c>
      <c r="L6" s="737"/>
      <c r="M6" s="917"/>
      <c r="N6" s="739">
        <v>2</v>
      </c>
      <c r="O6" s="739">
        <v>2</v>
      </c>
      <c r="P6" s="740">
        <v>2</v>
      </c>
      <c r="Q6" s="741">
        <f t="shared" si="0"/>
        <v>1</v>
      </c>
      <c r="R6" s="742"/>
      <c r="S6" s="195" t="str">
        <f t="shared" si="1"/>
        <v>Infra</v>
      </c>
      <c r="T6" s="495">
        <f t="shared" si="2"/>
        <v>244433</v>
      </c>
      <c r="U6" s="495">
        <f t="shared" si="3"/>
        <v>244433</v>
      </c>
      <c r="V6" s="495">
        <f t="shared" si="4"/>
        <v>244519</v>
      </c>
    </row>
    <row r="7" spans="1:22" s="743" customFormat="1">
      <c r="A7" s="744" t="s">
        <v>1384</v>
      </c>
      <c r="B7" s="767" t="s">
        <v>1385</v>
      </c>
      <c r="C7" s="732"/>
      <c r="D7" s="733" t="s">
        <v>59</v>
      </c>
      <c r="E7" s="734" t="s">
        <v>60</v>
      </c>
      <c r="F7" s="735">
        <v>2</v>
      </c>
      <c r="G7" s="735">
        <v>2</v>
      </c>
      <c r="H7" s="736">
        <v>244433</v>
      </c>
      <c r="I7" s="736">
        <v>244519</v>
      </c>
      <c r="J7" s="737"/>
      <c r="K7" s="738"/>
      <c r="L7" s="737"/>
      <c r="M7" s="917"/>
      <c r="N7" s="739">
        <v>0</v>
      </c>
      <c r="O7" s="739">
        <v>0</v>
      </c>
      <c r="P7" s="740">
        <v>0</v>
      </c>
      <c r="Q7" s="741">
        <f t="shared" si="0"/>
        <v>0</v>
      </c>
      <c r="R7" s="742"/>
      <c r="S7" s="195" t="str">
        <f t="shared" si="1"/>
        <v>Infra</v>
      </c>
      <c r="T7" s="495">
        <f t="shared" si="2"/>
        <v>244433</v>
      </c>
      <c r="U7" s="495">
        <f t="shared" si="3"/>
        <v>0</v>
      </c>
      <c r="V7" s="495">
        <f t="shared" si="4"/>
        <v>244519</v>
      </c>
    </row>
    <row r="8" spans="1:22" s="743" customFormat="1">
      <c r="A8" s="744" t="s">
        <v>1384</v>
      </c>
      <c r="B8" s="767" t="s">
        <v>1385</v>
      </c>
      <c r="C8" s="732"/>
      <c r="D8" s="733" t="s">
        <v>1390</v>
      </c>
      <c r="E8" s="734" t="s">
        <v>1391</v>
      </c>
      <c r="F8" s="735">
        <v>2</v>
      </c>
      <c r="G8" s="735">
        <v>2</v>
      </c>
      <c r="H8" s="736">
        <v>244433</v>
      </c>
      <c r="I8" s="736">
        <v>244519</v>
      </c>
      <c r="J8" s="736">
        <v>244433</v>
      </c>
      <c r="K8" s="736">
        <v>244433</v>
      </c>
      <c r="L8" s="737"/>
      <c r="M8" s="917"/>
      <c r="N8" s="735">
        <v>2</v>
      </c>
      <c r="O8" s="735">
        <v>2</v>
      </c>
      <c r="P8" s="735">
        <v>2</v>
      </c>
      <c r="Q8" s="741">
        <f t="shared" si="0"/>
        <v>1</v>
      </c>
      <c r="R8" s="742"/>
      <c r="S8" s="195" t="str">
        <f t="shared" si="1"/>
        <v>Switch</v>
      </c>
      <c r="T8" s="495">
        <f t="shared" si="2"/>
        <v>244433</v>
      </c>
      <c r="U8" s="495">
        <f t="shared" si="3"/>
        <v>244433</v>
      </c>
      <c r="V8" s="495">
        <f t="shared" si="4"/>
        <v>244519</v>
      </c>
    </row>
    <row r="9" spans="1:22" s="743" customFormat="1">
      <c r="A9" s="744" t="s">
        <v>1384</v>
      </c>
      <c r="B9" s="767" t="s">
        <v>1385</v>
      </c>
      <c r="C9" s="732"/>
      <c r="D9" s="733" t="s">
        <v>1392</v>
      </c>
      <c r="E9" s="734" t="s">
        <v>1393</v>
      </c>
      <c r="F9" s="735">
        <v>2</v>
      </c>
      <c r="G9" s="735">
        <v>2</v>
      </c>
      <c r="H9" s="736">
        <v>244433</v>
      </c>
      <c r="I9" s="736">
        <v>244519</v>
      </c>
      <c r="J9" s="736">
        <v>244433</v>
      </c>
      <c r="K9" s="736">
        <v>244433</v>
      </c>
      <c r="L9" s="737"/>
      <c r="M9" s="917"/>
      <c r="N9" s="735">
        <v>2</v>
      </c>
      <c r="O9" s="735">
        <v>2</v>
      </c>
      <c r="P9" s="735">
        <v>2</v>
      </c>
      <c r="Q9" s="741">
        <f t="shared" si="0"/>
        <v>1</v>
      </c>
      <c r="R9" s="742"/>
      <c r="S9" s="195" t="str">
        <f t="shared" si="1"/>
        <v>Switch</v>
      </c>
      <c r="T9" s="495">
        <f t="shared" si="2"/>
        <v>244433</v>
      </c>
      <c r="U9" s="495">
        <f t="shared" si="3"/>
        <v>244433</v>
      </c>
      <c r="V9" s="495">
        <f t="shared" si="4"/>
        <v>244519</v>
      </c>
    </row>
    <row r="10" spans="1:22" s="743" customFormat="1">
      <c r="A10" s="744" t="s">
        <v>1384</v>
      </c>
      <c r="B10" s="767" t="s">
        <v>1385</v>
      </c>
      <c r="C10" s="732"/>
      <c r="D10" s="733" t="s">
        <v>1394</v>
      </c>
      <c r="E10" s="734" t="s">
        <v>1393</v>
      </c>
      <c r="F10" s="735">
        <v>2</v>
      </c>
      <c r="G10" s="735">
        <v>2</v>
      </c>
      <c r="H10" s="736">
        <v>244433</v>
      </c>
      <c r="I10" s="736">
        <v>244519</v>
      </c>
      <c r="J10" s="736">
        <v>244433</v>
      </c>
      <c r="K10" s="736">
        <v>244433</v>
      </c>
      <c r="L10" s="737"/>
      <c r="M10" s="917"/>
      <c r="N10" s="735">
        <v>2</v>
      </c>
      <c r="O10" s="735">
        <v>2</v>
      </c>
      <c r="P10" s="735">
        <v>2</v>
      </c>
      <c r="Q10" s="741">
        <f t="shared" si="0"/>
        <v>1</v>
      </c>
      <c r="R10" s="742"/>
      <c r="S10" s="195" t="str">
        <f t="shared" si="1"/>
        <v>Switch</v>
      </c>
      <c r="T10" s="495">
        <f t="shared" si="2"/>
        <v>244433</v>
      </c>
      <c r="U10" s="495">
        <f t="shared" si="3"/>
        <v>244433</v>
      </c>
      <c r="V10" s="495">
        <f t="shared" si="4"/>
        <v>244519</v>
      </c>
    </row>
    <row r="11" spans="1:22" s="743" customFormat="1">
      <c r="A11" s="744" t="s">
        <v>1384</v>
      </c>
      <c r="B11" s="767" t="s">
        <v>1385</v>
      </c>
      <c r="C11" s="732"/>
      <c r="D11" s="733" t="s">
        <v>1395</v>
      </c>
      <c r="E11" s="734" t="s">
        <v>1396</v>
      </c>
      <c r="F11" s="735">
        <v>2</v>
      </c>
      <c r="G11" s="735">
        <v>2</v>
      </c>
      <c r="H11" s="736">
        <v>244433</v>
      </c>
      <c r="I11" s="736">
        <v>244519</v>
      </c>
      <c r="J11" s="736">
        <v>244433</v>
      </c>
      <c r="K11" s="736">
        <v>244433</v>
      </c>
      <c r="L11" s="737"/>
      <c r="M11" s="917"/>
      <c r="N11" s="735">
        <v>2</v>
      </c>
      <c r="O11" s="735">
        <v>2</v>
      </c>
      <c r="P11" s="735">
        <v>2</v>
      </c>
      <c r="Q11" s="741">
        <f t="shared" si="0"/>
        <v>1</v>
      </c>
      <c r="R11" s="742"/>
      <c r="S11" s="195" t="str">
        <f t="shared" si="1"/>
        <v>Switch</v>
      </c>
      <c r="T11" s="495">
        <f t="shared" si="2"/>
        <v>244433</v>
      </c>
      <c r="U11" s="495">
        <f t="shared" si="3"/>
        <v>244433</v>
      </c>
      <c r="V11" s="495">
        <f t="shared" si="4"/>
        <v>244519</v>
      </c>
    </row>
    <row r="12" spans="1:22" s="743" customFormat="1" ht="42">
      <c r="A12" s="806" t="s">
        <v>1384</v>
      </c>
      <c r="B12" s="807" t="s">
        <v>1385</v>
      </c>
      <c r="C12" s="732"/>
      <c r="D12" s="733" t="s">
        <v>1397</v>
      </c>
      <c r="E12" s="734" t="s">
        <v>1388</v>
      </c>
      <c r="F12" s="735">
        <v>2</v>
      </c>
      <c r="G12" s="735">
        <v>2</v>
      </c>
      <c r="H12" s="736">
        <v>244433</v>
      </c>
      <c r="I12" s="736">
        <v>244519</v>
      </c>
      <c r="J12" s="736">
        <v>244433</v>
      </c>
      <c r="K12" s="736">
        <v>244433</v>
      </c>
      <c r="L12" s="737"/>
      <c r="M12" s="917" t="s">
        <v>1398</v>
      </c>
      <c r="N12" s="735">
        <v>2</v>
      </c>
      <c r="O12" s="735">
        <v>2</v>
      </c>
      <c r="P12" s="735">
        <v>2</v>
      </c>
      <c r="Q12" s="741">
        <f t="shared" si="0"/>
        <v>1</v>
      </c>
      <c r="R12" s="742"/>
      <c r="S12" s="195" t="str">
        <f t="shared" si="1"/>
        <v>Switch</v>
      </c>
      <c r="T12" s="495">
        <f t="shared" si="2"/>
        <v>244433</v>
      </c>
      <c r="U12" s="495">
        <f t="shared" si="3"/>
        <v>244433</v>
      </c>
      <c r="V12" s="495">
        <f t="shared" si="4"/>
        <v>244519</v>
      </c>
    </row>
    <row r="13" spans="1:22" s="749" customFormat="1">
      <c r="A13" s="744" t="s">
        <v>1384</v>
      </c>
      <c r="B13" s="767" t="s">
        <v>1385</v>
      </c>
      <c r="C13" s="732"/>
      <c r="D13" s="733" t="s">
        <v>1399</v>
      </c>
      <c r="E13" s="734" t="s">
        <v>1393</v>
      </c>
      <c r="F13" s="735">
        <v>1</v>
      </c>
      <c r="G13" s="735">
        <v>1</v>
      </c>
      <c r="H13" s="736">
        <v>244433</v>
      </c>
      <c r="I13" s="736">
        <v>244519</v>
      </c>
      <c r="J13" s="745"/>
      <c r="K13" s="746"/>
      <c r="L13" s="747"/>
      <c r="M13" s="917"/>
      <c r="N13" s="739">
        <v>0</v>
      </c>
      <c r="O13" s="739">
        <v>0</v>
      </c>
      <c r="P13" s="740">
        <v>0</v>
      </c>
      <c r="Q13" s="741">
        <f t="shared" si="0"/>
        <v>0</v>
      </c>
      <c r="R13" s="748"/>
      <c r="S13" s="195" t="str">
        <f t="shared" si="1"/>
        <v>Switch</v>
      </c>
      <c r="T13" s="495">
        <f t="shared" si="2"/>
        <v>244433</v>
      </c>
      <c r="U13" s="495">
        <f t="shared" si="3"/>
        <v>0</v>
      </c>
      <c r="V13" s="495">
        <f t="shared" si="4"/>
        <v>244519</v>
      </c>
    </row>
    <row r="14" spans="1:22" s="749" customFormat="1">
      <c r="A14" s="744" t="s">
        <v>1384</v>
      </c>
      <c r="B14" s="767" t="s">
        <v>1385</v>
      </c>
      <c r="C14" s="732"/>
      <c r="D14" s="733" t="s">
        <v>1400</v>
      </c>
      <c r="E14" s="734" t="s">
        <v>1401</v>
      </c>
      <c r="F14" s="735">
        <v>1</v>
      </c>
      <c r="G14" s="735">
        <v>1</v>
      </c>
      <c r="H14" s="736">
        <v>244433</v>
      </c>
      <c r="I14" s="736">
        <v>244519</v>
      </c>
      <c r="J14" s="745"/>
      <c r="K14" s="746"/>
      <c r="L14" s="747"/>
      <c r="M14" s="917"/>
      <c r="N14" s="739">
        <v>0</v>
      </c>
      <c r="O14" s="739">
        <v>0</v>
      </c>
      <c r="P14" s="740">
        <v>0</v>
      </c>
      <c r="Q14" s="741">
        <f t="shared" si="0"/>
        <v>0</v>
      </c>
      <c r="R14" s="748"/>
      <c r="S14" s="195" t="str">
        <f t="shared" si="1"/>
        <v>Switch</v>
      </c>
      <c r="T14" s="495">
        <f t="shared" si="2"/>
        <v>244433</v>
      </c>
      <c r="U14" s="495">
        <f t="shared" si="3"/>
        <v>0</v>
      </c>
      <c r="V14" s="495">
        <f t="shared" si="4"/>
        <v>244519</v>
      </c>
    </row>
    <row r="15" spans="1:22" s="749" customFormat="1">
      <c r="A15" s="744" t="s">
        <v>1384</v>
      </c>
      <c r="B15" s="939" t="s">
        <v>1402</v>
      </c>
      <c r="C15" s="732"/>
      <c r="D15" s="733" t="s">
        <v>39</v>
      </c>
      <c r="E15" s="734" t="s">
        <v>1386</v>
      </c>
      <c r="F15" s="735">
        <v>4</v>
      </c>
      <c r="G15" s="735">
        <v>4</v>
      </c>
      <c r="H15" s="736">
        <v>244503</v>
      </c>
      <c r="I15" s="736">
        <v>244504</v>
      </c>
      <c r="J15" s="736">
        <v>46178</v>
      </c>
      <c r="K15" s="736">
        <v>46178</v>
      </c>
      <c r="L15" s="747"/>
      <c r="M15" s="1213" t="s">
        <v>1383</v>
      </c>
      <c r="N15" s="735">
        <v>4</v>
      </c>
      <c r="O15" s="735">
        <v>4</v>
      </c>
      <c r="P15" s="735">
        <v>4</v>
      </c>
      <c r="Q15" s="741">
        <f t="shared" si="0"/>
        <v>1</v>
      </c>
      <c r="R15" s="748"/>
      <c r="S15" s="195" t="str">
        <f t="shared" si="1"/>
        <v>Switch</v>
      </c>
      <c r="T15" s="495">
        <f t="shared" si="2"/>
        <v>244503</v>
      </c>
      <c r="U15" s="495">
        <f t="shared" si="3"/>
        <v>46178</v>
      </c>
      <c r="V15" s="495">
        <f t="shared" si="4"/>
        <v>244504</v>
      </c>
    </row>
    <row r="16" spans="1:22" s="749" customFormat="1">
      <c r="A16" s="744" t="s">
        <v>1384</v>
      </c>
      <c r="B16" s="939" t="s">
        <v>1402</v>
      </c>
      <c r="C16" s="732"/>
      <c r="D16" s="733" t="s">
        <v>43</v>
      </c>
      <c r="E16" s="734" t="s">
        <v>1382</v>
      </c>
      <c r="F16" s="735">
        <v>1</v>
      </c>
      <c r="G16" s="735">
        <v>1</v>
      </c>
      <c r="H16" s="736">
        <v>244433</v>
      </c>
      <c r="I16" s="736">
        <v>244433</v>
      </c>
      <c r="J16" s="736">
        <v>46178</v>
      </c>
      <c r="K16" s="736">
        <v>46178</v>
      </c>
      <c r="L16" s="747"/>
      <c r="M16" s="1214"/>
      <c r="N16" s="735">
        <v>1</v>
      </c>
      <c r="O16" s="735">
        <v>1</v>
      </c>
      <c r="P16" s="735">
        <v>1</v>
      </c>
      <c r="Q16" s="741">
        <f>IF($G16=0,1,(N16+O16+P16)/($G16*3))</f>
        <v>1</v>
      </c>
      <c r="R16" s="748"/>
      <c r="S16" s="195" t="str">
        <f t="shared" si="1"/>
        <v>Switch</v>
      </c>
      <c r="T16" s="495">
        <f t="shared" si="2"/>
        <v>244433</v>
      </c>
      <c r="U16" s="495">
        <f t="shared" si="3"/>
        <v>46178</v>
      </c>
      <c r="V16" s="495">
        <f t="shared" si="4"/>
        <v>244433</v>
      </c>
    </row>
    <row r="17" spans="1:22" s="749" customFormat="1">
      <c r="A17" s="744" t="s">
        <v>1384</v>
      </c>
      <c r="B17" s="939" t="s">
        <v>1402</v>
      </c>
      <c r="C17" s="732"/>
      <c r="D17" s="733" t="s">
        <v>1400</v>
      </c>
      <c r="E17" s="734" t="s">
        <v>1401</v>
      </c>
      <c r="F17" s="735">
        <v>1</v>
      </c>
      <c r="G17" s="735">
        <v>1</v>
      </c>
      <c r="H17" s="736">
        <v>244433</v>
      </c>
      <c r="I17" s="736">
        <v>244433</v>
      </c>
      <c r="J17" s="736">
        <v>46178</v>
      </c>
      <c r="K17" s="736">
        <v>46178</v>
      </c>
      <c r="L17" s="747"/>
      <c r="M17" s="1214"/>
      <c r="N17" s="735">
        <v>1</v>
      </c>
      <c r="O17" s="735">
        <v>1</v>
      </c>
      <c r="P17" s="735">
        <v>1</v>
      </c>
      <c r="Q17" s="741">
        <f t="shared" si="0"/>
        <v>1</v>
      </c>
      <c r="R17" s="748"/>
      <c r="S17" s="195" t="str">
        <f t="shared" si="1"/>
        <v>Switch</v>
      </c>
      <c r="T17" s="495">
        <f t="shared" si="2"/>
        <v>244433</v>
      </c>
      <c r="U17" s="495">
        <f t="shared" si="3"/>
        <v>46178</v>
      </c>
      <c r="V17" s="495">
        <f t="shared" si="4"/>
        <v>244433</v>
      </c>
    </row>
    <row r="18" spans="1:22" s="749" customFormat="1">
      <c r="A18" s="744" t="s">
        <v>1384</v>
      </c>
      <c r="B18" s="769" t="s">
        <v>1403</v>
      </c>
      <c r="C18" s="732"/>
      <c r="D18" s="733" t="s">
        <v>39</v>
      </c>
      <c r="E18" s="734" t="s">
        <v>1386</v>
      </c>
      <c r="F18" s="735">
        <v>1</v>
      </c>
      <c r="G18" s="735">
        <v>1</v>
      </c>
      <c r="H18" s="736">
        <v>244433</v>
      </c>
      <c r="I18" s="736">
        <v>244433</v>
      </c>
      <c r="J18" s="736">
        <v>46177</v>
      </c>
      <c r="K18" s="736">
        <v>46177</v>
      </c>
      <c r="L18" s="747"/>
      <c r="M18" s="1214" t="s">
        <v>1383</v>
      </c>
      <c r="N18" s="739">
        <v>1</v>
      </c>
      <c r="O18" s="739">
        <v>1</v>
      </c>
      <c r="P18" s="740">
        <v>1</v>
      </c>
      <c r="Q18" s="741">
        <f t="shared" si="0"/>
        <v>1</v>
      </c>
      <c r="R18" s="748"/>
      <c r="S18" s="195" t="str">
        <f t="shared" si="1"/>
        <v>Switch</v>
      </c>
      <c r="T18" s="495">
        <f t="shared" si="2"/>
        <v>244433</v>
      </c>
      <c r="U18" s="495">
        <f t="shared" si="3"/>
        <v>46177</v>
      </c>
      <c r="V18" s="495">
        <f t="shared" si="4"/>
        <v>244433</v>
      </c>
    </row>
    <row r="19" spans="1:22" s="749" customFormat="1">
      <c r="A19" s="744" t="s">
        <v>1384</v>
      </c>
      <c r="B19" s="769" t="s">
        <v>1403</v>
      </c>
      <c r="C19" s="770"/>
      <c r="D19" s="837" t="s">
        <v>1400</v>
      </c>
      <c r="E19" s="734" t="s">
        <v>1401</v>
      </c>
      <c r="F19" s="735">
        <v>1</v>
      </c>
      <c r="G19" s="735">
        <v>1</v>
      </c>
      <c r="H19" s="736">
        <v>244433</v>
      </c>
      <c r="I19" s="736">
        <v>244433</v>
      </c>
      <c r="J19" s="736">
        <v>46177</v>
      </c>
      <c r="K19" s="736">
        <v>46177</v>
      </c>
      <c r="L19" s="747"/>
      <c r="M19" s="1214"/>
      <c r="N19" s="739">
        <v>1</v>
      </c>
      <c r="O19" s="739">
        <v>1</v>
      </c>
      <c r="P19" s="740">
        <v>1</v>
      </c>
      <c r="Q19" s="741">
        <f t="shared" si="0"/>
        <v>1</v>
      </c>
      <c r="R19" s="748"/>
      <c r="S19" s="195" t="str">
        <f t="shared" si="1"/>
        <v>Switch</v>
      </c>
      <c r="T19" s="495">
        <f t="shared" si="2"/>
        <v>244433</v>
      </c>
      <c r="U19" s="495">
        <f t="shared" si="3"/>
        <v>46177</v>
      </c>
      <c r="V19" s="495">
        <f t="shared" si="4"/>
        <v>244433</v>
      </c>
    </row>
    <row r="20" spans="1:22" s="749" customFormat="1">
      <c r="A20" s="768" t="s">
        <v>1384</v>
      </c>
      <c r="B20" s="938" t="s">
        <v>1404</v>
      </c>
      <c r="C20" s="832"/>
      <c r="D20" s="735" t="s">
        <v>39</v>
      </c>
      <c r="E20" s="836" t="s">
        <v>1386</v>
      </c>
      <c r="F20" s="735">
        <v>5</v>
      </c>
      <c r="G20" s="735">
        <v>5</v>
      </c>
      <c r="H20" s="736">
        <v>244505</v>
      </c>
      <c r="I20" s="736">
        <v>244506</v>
      </c>
      <c r="J20" s="736">
        <v>46178</v>
      </c>
      <c r="K20" s="736">
        <v>46178</v>
      </c>
      <c r="L20" s="747"/>
      <c r="M20" s="752" t="s">
        <v>1383</v>
      </c>
      <c r="N20" s="735">
        <v>5</v>
      </c>
      <c r="O20" s="735">
        <v>5</v>
      </c>
      <c r="P20" s="735">
        <v>5</v>
      </c>
      <c r="Q20" s="741">
        <f t="shared" si="0"/>
        <v>1</v>
      </c>
      <c r="R20" s="748"/>
      <c r="S20" s="195" t="str">
        <f t="shared" si="1"/>
        <v>Switch</v>
      </c>
      <c r="T20" s="495">
        <f t="shared" si="2"/>
        <v>244505</v>
      </c>
      <c r="U20" s="495">
        <f t="shared" si="3"/>
        <v>46178</v>
      </c>
      <c r="V20" s="495">
        <f t="shared" si="4"/>
        <v>244506</v>
      </c>
    </row>
    <row r="21" spans="1:22" s="749" customFormat="1">
      <c r="A21" s="768" t="s">
        <v>1384</v>
      </c>
      <c r="B21" s="831" t="s">
        <v>1405</v>
      </c>
      <c r="C21" s="832"/>
      <c r="D21" s="735" t="s">
        <v>39</v>
      </c>
      <c r="E21" s="836" t="s">
        <v>1386</v>
      </c>
      <c r="F21" s="735">
        <v>5</v>
      </c>
      <c r="G21" s="735">
        <v>5</v>
      </c>
      <c r="H21" s="736">
        <v>244508</v>
      </c>
      <c r="I21" s="736">
        <v>244509</v>
      </c>
      <c r="J21" s="736">
        <v>46170</v>
      </c>
      <c r="K21" s="736">
        <v>46170</v>
      </c>
      <c r="L21" s="747"/>
      <c r="M21" s="917" t="s">
        <v>1383</v>
      </c>
      <c r="N21" s="739">
        <v>5</v>
      </c>
      <c r="O21" s="739">
        <v>5</v>
      </c>
      <c r="P21" s="740">
        <v>5</v>
      </c>
      <c r="Q21" s="741">
        <f t="shared" si="0"/>
        <v>1</v>
      </c>
      <c r="R21" s="748"/>
      <c r="S21" s="195" t="str">
        <f t="shared" si="1"/>
        <v>Switch</v>
      </c>
      <c r="T21" s="495">
        <f t="shared" si="2"/>
        <v>244508</v>
      </c>
      <c r="U21" s="495">
        <f t="shared" si="3"/>
        <v>46170</v>
      </c>
      <c r="V21" s="495">
        <f t="shared" si="4"/>
        <v>244509</v>
      </c>
    </row>
    <row r="22" spans="1:22" s="749" customFormat="1">
      <c r="A22" s="768" t="s">
        <v>1384</v>
      </c>
      <c r="B22" s="831" t="s">
        <v>1406</v>
      </c>
      <c r="C22" s="832"/>
      <c r="D22" s="735" t="s">
        <v>39</v>
      </c>
      <c r="E22" s="836" t="s">
        <v>1386</v>
      </c>
      <c r="F22" s="735">
        <v>5</v>
      </c>
      <c r="G22" s="735">
        <v>5</v>
      </c>
      <c r="H22" s="736">
        <v>244510</v>
      </c>
      <c r="I22" s="736">
        <v>244512</v>
      </c>
      <c r="J22" s="736">
        <v>46170</v>
      </c>
      <c r="K22" s="736">
        <v>46170</v>
      </c>
      <c r="L22" s="747"/>
      <c r="M22" s="917" t="s">
        <v>1383</v>
      </c>
      <c r="N22" s="739">
        <v>5</v>
      </c>
      <c r="O22" s="739">
        <v>5</v>
      </c>
      <c r="P22" s="740">
        <v>5</v>
      </c>
      <c r="Q22" s="741">
        <f t="shared" si="0"/>
        <v>1</v>
      </c>
      <c r="R22" s="748"/>
      <c r="S22" s="195" t="str">
        <f t="shared" si="1"/>
        <v>Switch</v>
      </c>
      <c r="T22" s="495">
        <f t="shared" si="2"/>
        <v>244510</v>
      </c>
      <c r="U22" s="495">
        <f t="shared" si="3"/>
        <v>46170</v>
      </c>
      <c r="V22" s="495">
        <f t="shared" si="4"/>
        <v>244512</v>
      </c>
    </row>
    <row r="23" spans="1:22" s="749" customFormat="1">
      <c r="A23" s="768" t="s">
        <v>1384</v>
      </c>
      <c r="B23" s="831" t="s">
        <v>1407</v>
      </c>
      <c r="C23" s="833"/>
      <c r="D23" s="735" t="s">
        <v>39</v>
      </c>
      <c r="E23" s="836" t="s">
        <v>1386</v>
      </c>
      <c r="F23" s="735">
        <v>4</v>
      </c>
      <c r="G23" s="735">
        <v>4</v>
      </c>
      <c r="H23" s="736">
        <v>244510</v>
      </c>
      <c r="I23" s="736">
        <v>244512</v>
      </c>
      <c r="J23" s="745"/>
      <c r="K23" s="750"/>
      <c r="L23" s="747"/>
      <c r="M23" s="917" t="s">
        <v>1383</v>
      </c>
      <c r="N23" s="739">
        <v>0</v>
      </c>
      <c r="O23" s="739">
        <v>0</v>
      </c>
      <c r="P23" s="740">
        <v>0</v>
      </c>
      <c r="Q23" s="741">
        <f t="shared" si="0"/>
        <v>0</v>
      </c>
      <c r="R23" s="748"/>
      <c r="S23" s="195" t="str">
        <f t="shared" si="1"/>
        <v>Switch</v>
      </c>
      <c r="T23" s="495">
        <f t="shared" si="2"/>
        <v>244510</v>
      </c>
      <c r="U23" s="495">
        <f t="shared" si="3"/>
        <v>0</v>
      </c>
      <c r="V23" s="495">
        <f t="shared" si="4"/>
        <v>244512</v>
      </c>
    </row>
    <row r="24" spans="1:22" s="749" customFormat="1">
      <c r="A24" s="768" t="s">
        <v>1384</v>
      </c>
      <c r="B24" s="862" t="s">
        <v>1408</v>
      </c>
      <c r="C24" s="833"/>
      <c r="D24" s="735" t="s">
        <v>39</v>
      </c>
      <c r="E24" s="836" t="s">
        <v>1386</v>
      </c>
      <c r="F24" s="735">
        <v>3</v>
      </c>
      <c r="G24" s="735">
        <v>3</v>
      </c>
      <c r="H24" s="736">
        <v>244513</v>
      </c>
      <c r="I24" s="736">
        <v>244515</v>
      </c>
      <c r="J24" s="736">
        <v>46169</v>
      </c>
      <c r="K24" s="736">
        <v>46169</v>
      </c>
      <c r="L24" s="747"/>
      <c r="M24" s="917" t="s">
        <v>1383</v>
      </c>
      <c r="N24" s="735">
        <v>3</v>
      </c>
      <c r="O24" s="735">
        <v>3</v>
      </c>
      <c r="P24" s="735">
        <v>3</v>
      </c>
      <c r="Q24" s="741">
        <f t="shared" si="0"/>
        <v>1</v>
      </c>
      <c r="R24" s="748"/>
      <c r="S24" s="195" t="str">
        <f t="shared" si="1"/>
        <v>Switch</v>
      </c>
      <c r="T24" s="495">
        <f t="shared" si="2"/>
        <v>244513</v>
      </c>
      <c r="U24" s="495">
        <f t="shared" si="3"/>
        <v>46169</v>
      </c>
      <c r="V24" s="495">
        <f t="shared" si="4"/>
        <v>244515</v>
      </c>
    </row>
    <row r="25" spans="1:22" s="749" customFormat="1">
      <c r="A25" s="768" t="s">
        <v>1384</v>
      </c>
      <c r="B25" s="831" t="s">
        <v>1409</v>
      </c>
      <c r="C25" s="834"/>
      <c r="D25" s="735" t="s">
        <v>39</v>
      </c>
      <c r="E25" s="836" t="s">
        <v>1386</v>
      </c>
      <c r="F25" s="735">
        <v>4</v>
      </c>
      <c r="G25" s="735">
        <v>4</v>
      </c>
      <c r="H25" s="736">
        <v>244513</v>
      </c>
      <c r="I25" s="736">
        <v>244515</v>
      </c>
      <c r="J25" s="745"/>
      <c r="K25" s="750"/>
      <c r="L25" s="747"/>
      <c r="M25" s="917" t="s">
        <v>1383</v>
      </c>
      <c r="N25" s="739">
        <v>0</v>
      </c>
      <c r="O25" s="739">
        <v>0</v>
      </c>
      <c r="P25" s="740">
        <v>0</v>
      </c>
      <c r="Q25" s="741">
        <f t="shared" si="0"/>
        <v>0</v>
      </c>
      <c r="R25" s="748"/>
      <c r="S25" s="195" t="str">
        <f t="shared" si="1"/>
        <v>Switch</v>
      </c>
      <c r="T25" s="495">
        <f t="shared" si="2"/>
        <v>244513</v>
      </c>
      <c r="U25" s="495">
        <f t="shared" si="3"/>
        <v>0</v>
      </c>
      <c r="V25" s="495">
        <f t="shared" si="4"/>
        <v>244515</v>
      </c>
    </row>
    <row r="26" spans="1:22" s="749" customFormat="1">
      <c r="A26" s="768" t="s">
        <v>1384</v>
      </c>
      <c r="B26" s="938" t="s">
        <v>1410</v>
      </c>
      <c r="C26" s="832"/>
      <c r="D26" s="735" t="s">
        <v>39</v>
      </c>
      <c r="E26" s="836" t="s">
        <v>1386</v>
      </c>
      <c r="F26" s="735">
        <v>2</v>
      </c>
      <c r="G26" s="735">
        <v>2</v>
      </c>
      <c r="H26" s="736">
        <v>244505</v>
      </c>
      <c r="I26" s="736">
        <v>244506</v>
      </c>
      <c r="J26" s="736">
        <v>46178</v>
      </c>
      <c r="K26" s="736">
        <v>46178</v>
      </c>
      <c r="L26" s="747"/>
      <c r="M26" s="917" t="s">
        <v>1383</v>
      </c>
      <c r="N26" s="735">
        <v>2</v>
      </c>
      <c r="O26" s="735">
        <v>2</v>
      </c>
      <c r="P26" s="735">
        <v>2</v>
      </c>
      <c r="Q26" s="741">
        <f t="shared" si="0"/>
        <v>1</v>
      </c>
      <c r="R26" s="748"/>
      <c r="S26" s="195" t="str">
        <f t="shared" si="1"/>
        <v>Switch</v>
      </c>
      <c r="T26" s="495">
        <f t="shared" si="2"/>
        <v>244505</v>
      </c>
      <c r="U26" s="495">
        <f t="shared" si="3"/>
        <v>46178</v>
      </c>
      <c r="V26" s="495">
        <f t="shared" si="4"/>
        <v>244506</v>
      </c>
    </row>
    <row r="27" spans="1:22" s="749" customFormat="1">
      <c r="A27" s="768" t="s">
        <v>1384</v>
      </c>
      <c r="B27" s="831" t="s">
        <v>1411</v>
      </c>
      <c r="C27" s="832"/>
      <c r="D27" s="735" t="s">
        <v>39</v>
      </c>
      <c r="E27" s="836" t="s">
        <v>1386</v>
      </c>
      <c r="F27" s="735">
        <v>4</v>
      </c>
      <c r="G27" s="735">
        <v>4</v>
      </c>
      <c r="H27" s="736">
        <v>244508</v>
      </c>
      <c r="I27" s="736">
        <v>244509</v>
      </c>
      <c r="J27" s="745"/>
      <c r="K27" s="750"/>
      <c r="L27" s="747"/>
      <c r="M27" s="917" t="s">
        <v>1383</v>
      </c>
      <c r="N27" s="739">
        <v>0</v>
      </c>
      <c r="O27" s="739">
        <v>0</v>
      </c>
      <c r="P27" s="740">
        <v>0</v>
      </c>
      <c r="Q27" s="741">
        <f t="shared" si="0"/>
        <v>0</v>
      </c>
      <c r="R27" s="748"/>
      <c r="S27" s="195" t="str">
        <f t="shared" si="1"/>
        <v>Switch</v>
      </c>
      <c r="T27" s="495">
        <f t="shared" si="2"/>
        <v>244508</v>
      </c>
      <c r="U27" s="495">
        <f t="shared" si="3"/>
        <v>0</v>
      </c>
      <c r="V27" s="495">
        <f t="shared" si="4"/>
        <v>244509</v>
      </c>
    </row>
    <row r="28" spans="1:22" s="749" customFormat="1">
      <c r="A28" s="768" t="s">
        <v>1384</v>
      </c>
      <c r="B28" s="831" t="s">
        <v>1412</v>
      </c>
      <c r="C28" s="832"/>
      <c r="D28" s="735" t="s">
        <v>39</v>
      </c>
      <c r="E28" s="836" t="s">
        <v>1386</v>
      </c>
      <c r="F28" s="735">
        <v>3</v>
      </c>
      <c r="G28" s="735">
        <v>3</v>
      </c>
      <c r="H28" s="736">
        <v>244510</v>
      </c>
      <c r="I28" s="736">
        <v>244512</v>
      </c>
      <c r="J28" s="736">
        <v>46177</v>
      </c>
      <c r="K28" s="736">
        <v>46177</v>
      </c>
      <c r="L28" s="747"/>
      <c r="M28" s="917" t="s">
        <v>1383</v>
      </c>
      <c r="N28" s="739">
        <v>3</v>
      </c>
      <c r="O28" s="739">
        <v>3</v>
      </c>
      <c r="P28" s="740">
        <v>3</v>
      </c>
      <c r="Q28" s="741">
        <f t="shared" si="0"/>
        <v>1</v>
      </c>
      <c r="R28" s="748"/>
      <c r="S28" s="195" t="str">
        <f t="shared" si="1"/>
        <v>Switch</v>
      </c>
      <c r="T28" s="495">
        <f t="shared" si="2"/>
        <v>244510</v>
      </c>
      <c r="U28" s="495">
        <f t="shared" si="3"/>
        <v>46177</v>
      </c>
      <c r="V28" s="495">
        <f t="shared" si="4"/>
        <v>244512</v>
      </c>
    </row>
    <row r="29" spans="1:22" s="749" customFormat="1">
      <c r="A29" s="768" t="s">
        <v>1384</v>
      </c>
      <c r="B29" s="862" t="s">
        <v>1413</v>
      </c>
      <c r="C29" s="832"/>
      <c r="D29" s="735" t="s">
        <v>39</v>
      </c>
      <c r="E29" s="836" t="s">
        <v>1386</v>
      </c>
      <c r="F29" s="735">
        <v>4</v>
      </c>
      <c r="G29" s="735">
        <v>4</v>
      </c>
      <c r="H29" s="736">
        <v>244513</v>
      </c>
      <c r="I29" s="736">
        <v>244515</v>
      </c>
      <c r="J29" s="736">
        <v>46169</v>
      </c>
      <c r="K29" s="736">
        <v>46169</v>
      </c>
      <c r="L29" s="747"/>
      <c r="M29" s="917" t="s">
        <v>1383</v>
      </c>
      <c r="N29" s="739">
        <v>4</v>
      </c>
      <c r="O29" s="739">
        <v>4</v>
      </c>
      <c r="P29" s="740">
        <v>4</v>
      </c>
      <c r="Q29" s="741">
        <f t="shared" si="0"/>
        <v>1</v>
      </c>
      <c r="R29" s="748"/>
      <c r="S29" s="195" t="str">
        <f t="shared" si="1"/>
        <v>Switch</v>
      </c>
      <c r="T29" s="495">
        <f t="shared" si="2"/>
        <v>244513</v>
      </c>
      <c r="U29" s="495">
        <f t="shared" si="3"/>
        <v>46169</v>
      </c>
      <c r="V29" s="495">
        <f t="shared" si="4"/>
        <v>244515</v>
      </c>
    </row>
    <row r="30" spans="1:22" s="749" customFormat="1">
      <c r="A30" s="768" t="s">
        <v>1384</v>
      </c>
      <c r="B30" s="831" t="s">
        <v>1414</v>
      </c>
      <c r="C30" s="832"/>
      <c r="D30" s="735" t="s">
        <v>39</v>
      </c>
      <c r="E30" s="836" t="s">
        <v>1386</v>
      </c>
      <c r="F30" s="735">
        <v>1</v>
      </c>
      <c r="G30" s="735">
        <v>1</v>
      </c>
      <c r="H30" s="736">
        <v>244519</v>
      </c>
      <c r="I30" s="736">
        <v>244519</v>
      </c>
      <c r="J30" s="745"/>
      <c r="K30" s="750"/>
      <c r="L30" s="747"/>
      <c r="M30" s="917" t="s">
        <v>1383</v>
      </c>
      <c r="N30" s="739">
        <v>0</v>
      </c>
      <c r="O30" s="739">
        <v>0</v>
      </c>
      <c r="P30" s="740">
        <v>0</v>
      </c>
      <c r="Q30" s="741">
        <f t="shared" si="0"/>
        <v>0</v>
      </c>
      <c r="R30" s="748"/>
      <c r="S30" s="195" t="str">
        <f t="shared" si="1"/>
        <v>Switch</v>
      </c>
      <c r="T30" s="495">
        <f t="shared" si="2"/>
        <v>244519</v>
      </c>
      <c r="U30" s="495">
        <f t="shared" si="3"/>
        <v>0</v>
      </c>
      <c r="V30" s="495">
        <f t="shared" si="4"/>
        <v>244519</v>
      </c>
    </row>
    <row r="31" spans="1:22" s="749" customFormat="1">
      <c r="A31" s="768" t="s">
        <v>1384</v>
      </c>
      <c r="B31" s="744" t="s">
        <v>1415</v>
      </c>
      <c r="C31" s="832"/>
      <c r="D31" s="735" t="s">
        <v>39</v>
      </c>
      <c r="E31" s="836" t="s">
        <v>1386</v>
      </c>
      <c r="F31" s="735">
        <v>1</v>
      </c>
      <c r="G31" s="735">
        <v>1</v>
      </c>
      <c r="H31" s="736">
        <v>244519</v>
      </c>
      <c r="I31" s="736">
        <v>244519</v>
      </c>
      <c r="J31" s="736">
        <v>244433</v>
      </c>
      <c r="K31" s="736"/>
      <c r="L31" s="747"/>
      <c r="M31" s="1215" t="s">
        <v>1383</v>
      </c>
      <c r="N31" s="739">
        <v>1</v>
      </c>
      <c r="O31" s="739">
        <v>1</v>
      </c>
      <c r="P31" s="740">
        <v>0</v>
      </c>
      <c r="Q31" s="741">
        <f t="shared" si="0"/>
        <v>0.66666666666666663</v>
      </c>
      <c r="R31" s="748"/>
      <c r="S31" s="195" t="str">
        <f t="shared" si="1"/>
        <v>Switch</v>
      </c>
      <c r="T31" s="495">
        <f t="shared" si="2"/>
        <v>244519</v>
      </c>
      <c r="U31" s="495">
        <f t="shared" si="3"/>
        <v>244433</v>
      </c>
      <c r="V31" s="495">
        <f t="shared" si="4"/>
        <v>244519</v>
      </c>
    </row>
    <row r="32" spans="1:22" s="749" customFormat="1">
      <c r="A32" s="768" t="s">
        <v>1384</v>
      </c>
      <c r="B32" s="744" t="s">
        <v>1415</v>
      </c>
      <c r="C32" s="832"/>
      <c r="D32" s="735" t="s">
        <v>43</v>
      </c>
      <c r="E32" s="836" t="s">
        <v>1382</v>
      </c>
      <c r="F32" s="735">
        <v>1</v>
      </c>
      <c r="G32" s="735">
        <v>1</v>
      </c>
      <c r="H32" s="736">
        <v>244519</v>
      </c>
      <c r="I32" s="736">
        <v>244519</v>
      </c>
      <c r="J32" s="736">
        <v>244433</v>
      </c>
      <c r="K32" s="736">
        <v>244433</v>
      </c>
      <c r="L32" s="747"/>
      <c r="M32" s="1215"/>
      <c r="N32" s="739">
        <v>1</v>
      </c>
      <c r="O32" s="739">
        <v>1</v>
      </c>
      <c r="P32" s="740">
        <v>1</v>
      </c>
      <c r="Q32" s="741">
        <f t="shared" si="0"/>
        <v>1</v>
      </c>
      <c r="R32" s="748"/>
      <c r="S32" s="195" t="str">
        <f t="shared" si="1"/>
        <v>Switch</v>
      </c>
      <c r="T32" s="495">
        <f t="shared" si="2"/>
        <v>244519</v>
      </c>
      <c r="U32" s="495">
        <f t="shared" si="3"/>
        <v>244433</v>
      </c>
      <c r="V32" s="495">
        <f t="shared" si="4"/>
        <v>244519</v>
      </c>
    </row>
    <row r="33" spans="1:22" s="749" customFormat="1" ht="42">
      <c r="A33" s="768" t="s">
        <v>1384</v>
      </c>
      <c r="B33" s="765" t="s">
        <v>1416</v>
      </c>
      <c r="C33" s="832"/>
      <c r="D33" s="735" t="s">
        <v>39</v>
      </c>
      <c r="E33" s="836" t="s">
        <v>1386</v>
      </c>
      <c r="F33" s="735">
        <v>4</v>
      </c>
      <c r="G33" s="753" t="s">
        <v>41</v>
      </c>
      <c r="H33" s="754" t="s">
        <v>41</v>
      </c>
      <c r="I33" s="754" t="s">
        <v>41</v>
      </c>
      <c r="J33" s="736"/>
      <c r="K33" s="736"/>
      <c r="L33" s="747"/>
      <c r="M33" s="917" t="s">
        <v>1417</v>
      </c>
      <c r="N33" s="739"/>
      <c r="O33" s="739"/>
      <c r="P33" s="740"/>
      <c r="Q33" s="790" t="s">
        <v>41</v>
      </c>
      <c r="R33" s="748"/>
      <c r="S33" s="195" t="str">
        <f t="shared" si="1"/>
        <v>Switch</v>
      </c>
      <c r="T33" s="495" t="str">
        <f t="shared" si="2"/>
        <v>-</v>
      </c>
      <c r="U33" s="495">
        <f t="shared" si="3"/>
        <v>0</v>
      </c>
      <c r="V33" s="495" t="str">
        <f t="shared" si="4"/>
        <v>-</v>
      </c>
    </row>
    <row r="34" spans="1:22" s="749" customFormat="1">
      <c r="A34" s="768" t="s">
        <v>1384</v>
      </c>
      <c r="B34" s="831" t="s">
        <v>1418</v>
      </c>
      <c r="C34" s="832"/>
      <c r="D34" s="735" t="s">
        <v>39</v>
      </c>
      <c r="E34" s="836" t="s">
        <v>1386</v>
      </c>
      <c r="F34" s="735">
        <v>1</v>
      </c>
      <c r="G34" s="735">
        <v>2</v>
      </c>
      <c r="H34" s="736">
        <v>244517</v>
      </c>
      <c r="I34" s="736">
        <v>244518</v>
      </c>
      <c r="J34" s="736">
        <v>46167</v>
      </c>
      <c r="K34" s="736">
        <v>46167</v>
      </c>
      <c r="L34" s="747"/>
      <c r="M34" s="917" t="s">
        <v>1383</v>
      </c>
      <c r="N34" s="739">
        <v>2</v>
      </c>
      <c r="O34" s="739">
        <v>2</v>
      </c>
      <c r="P34" s="739">
        <v>2</v>
      </c>
      <c r="Q34" s="741">
        <f t="shared" si="0"/>
        <v>1</v>
      </c>
      <c r="R34" s="748"/>
      <c r="S34" s="195" t="str">
        <f t="shared" si="1"/>
        <v>Switch</v>
      </c>
      <c r="T34" s="495">
        <f t="shared" si="2"/>
        <v>244517</v>
      </c>
      <c r="U34" s="495">
        <f t="shared" si="3"/>
        <v>46167</v>
      </c>
      <c r="V34" s="495">
        <f t="shared" si="4"/>
        <v>244518</v>
      </c>
    </row>
    <row r="35" spans="1:22" s="749" customFormat="1">
      <c r="A35" s="768" t="s">
        <v>1384</v>
      </c>
      <c r="B35" s="831" t="s">
        <v>1419</v>
      </c>
      <c r="C35" s="832"/>
      <c r="D35" s="735" t="s">
        <v>39</v>
      </c>
      <c r="E35" s="836" t="s">
        <v>1386</v>
      </c>
      <c r="F35" s="735">
        <v>1</v>
      </c>
      <c r="G35" s="735">
        <v>2</v>
      </c>
      <c r="H35" s="736">
        <v>244517</v>
      </c>
      <c r="I35" s="736">
        <v>244518</v>
      </c>
      <c r="J35" s="736">
        <v>46167</v>
      </c>
      <c r="K35" s="736">
        <v>46167</v>
      </c>
      <c r="L35" s="747"/>
      <c r="M35" s="917" t="s">
        <v>1383</v>
      </c>
      <c r="N35" s="739">
        <v>2</v>
      </c>
      <c r="O35" s="739">
        <v>2</v>
      </c>
      <c r="P35" s="739">
        <v>2</v>
      </c>
      <c r="Q35" s="741">
        <f t="shared" si="0"/>
        <v>1</v>
      </c>
      <c r="R35" s="748"/>
      <c r="S35" s="195" t="str">
        <f t="shared" si="1"/>
        <v>Switch</v>
      </c>
      <c r="T35" s="495">
        <f t="shared" si="2"/>
        <v>244517</v>
      </c>
      <c r="U35" s="495">
        <f t="shared" si="3"/>
        <v>46167</v>
      </c>
      <c r="V35" s="495">
        <f t="shared" si="4"/>
        <v>244518</v>
      </c>
    </row>
    <row r="36" spans="1:22" s="749" customFormat="1">
      <c r="A36" s="768" t="s">
        <v>1384</v>
      </c>
      <c r="B36" s="831" t="s">
        <v>1420</v>
      </c>
      <c r="C36" s="835"/>
      <c r="D36" s="735" t="s">
        <v>39</v>
      </c>
      <c r="E36" s="836" t="s">
        <v>1386</v>
      </c>
      <c r="F36" s="735">
        <v>1</v>
      </c>
      <c r="G36" s="735">
        <v>2</v>
      </c>
      <c r="H36" s="736">
        <v>244516</v>
      </c>
      <c r="I36" s="736">
        <v>244517</v>
      </c>
      <c r="J36" s="736">
        <v>46168</v>
      </c>
      <c r="K36" s="736">
        <v>46168</v>
      </c>
      <c r="L36" s="747"/>
      <c r="M36" s="917" t="s">
        <v>1383</v>
      </c>
      <c r="N36" s="739">
        <v>2</v>
      </c>
      <c r="O36" s="739">
        <v>2</v>
      </c>
      <c r="P36" s="740">
        <v>2</v>
      </c>
      <c r="Q36" s="741">
        <f t="shared" si="0"/>
        <v>1</v>
      </c>
      <c r="R36" s="748"/>
      <c r="S36" s="195" t="str">
        <f t="shared" si="1"/>
        <v>Switch</v>
      </c>
      <c r="T36" s="495">
        <f t="shared" si="2"/>
        <v>244516</v>
      </c>
      <c r="U36" s="495">
        <f t="shared" si="3"/>
        <v>46168</v>
      </c>
      <c r="V36" s="495">
        <f t="shared" si="4"/>
        <v>244517</v>
      </c>
    </row>
    <row r="37" spans="1:22" s="749" customFormat="1">
      <c r="A37" s="768" t="s">
        <v>1384</v>
      </c>
      <c r="B37" s="831" t="s">
        <v>1421</v>
      </c>
      <c r="C37" s="832"/>
      <c r="D37" s="735" t="s">
        <v>39</v>
      </c>
      <c r="E37" s="836" t="s">
        <v>1386</v>
      </c>
      <c r="F37" s="735">
        <v>1</v>
      </c>
      <c r="G37" s="735">
        <v>2</v>
      </c>
      <c r="H37" s="736">
        <v>244516</v>
      </c>
      <c r="I37" s="736">
        <v>244517</v>
      </c>
      <c r="J37" s="736">
        <v>46167</v>
      </c>
      <c r="K37" s="736">
        <v>46167</v>
      </c>
      <c r="L37" s="747"/>
      <c r="M37" s="917" t="s">
        <v>1383</v>
      </c>
      <c r="N37" s="739">
        <v>2</v>
      </c>
      <c r="O37" s="739">
        <v>2</v>
      </c>
      <c r="P37" s="739">
        <v>2</v>
      </c>
      <c r="Q37" s="741">
        <f t="shared" si="0"/>
        <v>1</v>
      </c>
      <c r="R37" s="748"/>
      <c r="S37" s="195" t="str">
        <f t="shared" si="1"/>
        <v>Switch</v>
      </c>
      <c r="T37" s="495">
        <f t="shared" si="2"/>
        <v>244516</v>
      </c>
      <c r="U37" s="495">
        <f t="shared" si="3"/>
        <v>46167</v>
      </c>
      <c r="V37" s="495">
        <f t="shared" si="4"/>
        <v>244517</v>
      </c>
    </row>
    <row r="38" spans="1:22" s="749" customFormat="1">
      <c r="A38" s="839" t="s">
        <v>1422</v>
      </c>
      <c r="B38" s="838" t="s">
        <v>1423</v>
      </c>
      <c r="C38" s="840"/>
      <c r="D38" s="841" t="s">
        <v>1399</v>
      </c>
      <c r="E38" s="802" t="s">
        <v>1393</v>
      </c>
      <c r="F38" s="805">
        <v>1</v>
      </c>
      <c r="G38" s="805">
        <v>0</v>
      </c>
      <c r="H38" s="736">
        <v>244499</v>
      </c>
      <c r="I38" s="736">
        <v>244499</v>
      </c>
      <c r="J38" s="745"/>
      <c r="K38" s="750"/>
      <c r="L38" s="747"/>
      <c r="M38" s="917" t="s">
        <v>1424</v>
      </c>
      <c r="N38" s="739">
        <v>0</v>
      </c>
      <c r="O38" s="739">
        <v>0</v>
      </c>
      <c r="P38" s="740">
        <v>0</v>
      </c>
      <c r="Q38" s="741">
        <f t="shared" si="0"/>
        <v>1</v>
      </c>
      <c r="R38" s="748"/>
      <c r="S38" s="195" t="str">
        <f t="shared" si="1"/>
        <v>Switch</v>
      </c>
      <c r="T38" s="495">
        <f t="shared" si="2"/>
        <v>244499</v>
      </c>
      <c r="U38" s="495">
        <f t="shared" si="3"/>
        <v>0</v>
      </c>
      <c r="V38" s="495">
        <f t="shared" si="4"/>
        <v>244499</v>
      </c>
    </row>
    <row r="39" spans="1:22" s="749" customFormat="1">
      <c r="A39" s="755" t="s">
        <v>1422</v>
      </c>
      <c r="B39" s="744" t="s">
        <v>1423</v>
      </c>
      <c r="C39" s="835"/>
      <c r="D39" s="735" t="s">
        <v>43</v>
      </c>
      <c r="E39" s="836" t="s">
        <v>1382</v>
      </c>
      <c r="F39" s="753" t="s">
        <v>41</v>
      </c>
      <c r="G39" s="735">
        <v>1</v>
      </c>
      <c r="H39" s="736">
        <v>244499</v>
      </c>
      <c r="I39" s="736">
        <v>244499</v>
      </c>
      <c r="J39" s="736">
        <v>46148</v>
      </c>
      <c r="K39" s="736">
        <v>46148</v>
      </c>
      <c r="L39" s="747"/>
      <c r="M39" s="917"/>
      <c r="N39" s="739">
        <v>1</v>
      </c>
      <c r="O39" s="739">
        <v>1</v>
      </c>
      <c r="P39" s="740">
        <v>1</v>
      </c>
      <c r="Q39" s="741">
        <f t="shared" si="0"/>
        <v>1</v>
      </c>
      <c r="R39" s="748"/>
      <c r="S39" s="195" t="str">
        <f t="shared" si="1"/>
        <v>Switch</v>
      </c>
      <c r="T39" s="495">
        <f t="shared" si="2"/>
        <v>244499</v>
      </c>
      <c r="U39" s="495">
        <f t="shared" si="3"/>
        <v>46148</v>
      </c>
      <c r="V39" s="495">
        <f t="shared" si="4"/>
        <v>244499</v>
      </c>
    </row>
    <row r="40" spans="1:22" s="749" customFormat="1">
      <c r="A40" s="755" t="s">
        <v>1425</v>
      </c>
      <c r="B40" s="831" t="s">
        <v>1426</v>
      </c>
      <c r="C40" s="832"/>
      <c r="D40" s="735" t="s">
        <v>1399</v>
      </c>
      <c r="E40" s="836" t="s">
        <v>1393</v>
      </c>
      <c r="F40" s="735">
        <v>2</v>
      </c>
      <c r="G40" s="735">
        <v>2</v>
      </c>
      <c r="H40" s="736">
        <v>244433</v>
      </c>
      <c r="I40" s="736">
        <v>244433</v>
      </c>
      <c r="J40" s="736">
        <v>244433</v>
      </c>
      <c r="K40" s="736">
        <v>244433</v>
      </c>
      <c r="L40" s="747"/>
      <c r="M40" s="917" t="s">
        <v>1383</v>
      </c>
      <c r="N40" s="739">
        <v>2</v>
      </c>
      <c r="O40" s="739">
        <v>2</v>
      </c>
      <c r="P40" s="740">
        <v>2</v>
      </c>
      <c r="Q40" s="741">
        <f t="shared" si="0"/>
        <v>1</v>
      </c>
      <c r="R40" s="748"/>
      <c r="S40" s="195" t="str">
        <f t="shared" si="1"/>
        <v>Switch</v>
      </c>
      <c r="T40" s="495">
        <f t="shared" si="2"/>
        <v>244433</v>
      </c>
      <c r="U40" s="495">
        <f t="shared" si="3"/>
        <v>244433</v>
      </c>
      <c r="V40" s="495">
        <f t="shared" si="4"/>
        <v>244433</v>
      </c>
    </row>
    <row r="41" spans="1:22" s="749" customFormat="1">
      <c r="A41" s="755" t="s">
        <v>1425</v>
      </c>
      <c r="B41" s="831" t="s">
        <v>1427</v>
      </c>
      <c r="C41" s="832"/>
      <c r="D41" s="735" t="s">
        <v>43</v>
      </c>
      <c r="E41" s="836" t="s">
        <v>1382</v>
      </c>
      <c r="F41" s="735">
        <v>1</v>
      </c>
      <c r="G41" s="735">
        <v>1</v>
      </c>
      <c r="H41" s="736">
        <v>244433</v>
      </c>
      <c r="I41" s="736">
        <v>244433</v>
      </c>
      <c r="J41" s="736">
        <v>244433</v>
      </c>
      <c r="K41" s="736">
        <v>244433</v>
      </c>
      <c r="L41" s="747"/>
      <c r="M41" s="917" t="s">
        <v>1428</v>
      </c>
      <c r="N41" s="739">
        <v>1</v>
      </c>
      <c r="O41" s="739">
        <v>1</v>
      </c>
      <c r="P41" s="740">
        <v>1</v>
      </c>
      <c r="Q41" s="741">
        <f t="shared" si="0"/>
        <v>1</v>
      </c>
      <c r="R41" s="748"/>
      <c r="S41" s="195" t="str">
        <f t="shared" si="1"/>
        <v>Switch</v>
      </c>
      <c r="T41" s="495">
        <f t="shared" si="2"/>
        <v>244433</v>
      </c>
      <c r="U41" s="495">
        <f t="shared" si="3"/>
        <v>244433</v>
      </c>
      <c r="V41" s="495">
        <f t="shared" si="4"/>
        <v>244433</v>
      </c>
    </row>
    <row r="42" spans="1:22" s="749" customFormat="1">
      <c r="A42" s="755" t="s">
        <v>1429</v>
      </c>
      <c r="B42" s="831" t="s">
        <v>1430</v>
      </c>
      <c r="C42" s="834"/>
      <c r="D42" s="735" t="s">
        <v>43</v>
      </c>
      <c r="E42" s="836" t="s">
        <v>1382</v>
      </c>
      <c r="F42" s="735">
        <v>1</v>
      </c>
      <c r="G42" s="735">
        <v>6</v>
      </c>
      <c r="H42" s="736">
        <v>244466</v>
      </c>
      <c r="I42" s="736">
        <v>244467</v>
      </c>
      <c r="J42" s="736">
        <v>46160</v>
      </c>
      <c r="K42" s="736">
        <v>46160</v>
      </c>
      <c r="L42" s="747"/>
      <c r="M42" s="917" t="s">
        <v>1431</v>
      </c>
      <c r="N42" s="735">
        <v>6</v>
      </c>
      <c r="O42" s="735">
        <v>6</v>
      </c>
      <c r="P42" s="735">
        <v>6</v>
      </c>
      <c r="Q42" s="741">
        <f t="shared" si="0"/>
        <v>1</v>
      </c>
      <c r="R42" s="748"/>
      <c r="S42" s="195" t="str">
        <f t="shared" si="1"/>
        <v>Switch</v>
      </c>
      <c r="T42" s="495">
        <f t="shared" si="2"/>
        <v>244466</v>
      </c>
      <c r="U42" s="495">
        <f t="shared" si="3"/>
        <v>46160</v>
      </c>
      <c r="V42" s="495">
        <f t="shared" si="4"/>
        <v>244467</v>
      </c>
    </row>
    <row r="43" spans="1:22" s="749" customFormat="1">
      <c r="A43" s="755" t="s">
        <v>1429</v>
      </c>
      <c r="B43" s="744" t="s">
        <v>1432</v>
      </c>
      <c r="C43" s="835"/>
      <c r="D43" s="735" t="s">
        <v>1399</v>
      </c>
      <c r="E43" s="836" t="s">
        <v>1393</v>
      </c>
      <c r="F43" s="735">
        <v>2</v>
      </c>
      <c r="G43" s="735">
        <v>2</v>
      </c>
      <c r="H43" s="736">
        <v>244462</v>
      </c>
      <c r="I43" s="736">
        <v>244463</v>
      </c>
      <c r="J43" s="745"/>
      <c r="K43" s="750"/>
      <c r="L43" s="747"/>
      <c r="M43" s="1215" t="s">
        <v>1433</v>
      </c>
      <c r="N43" s="739">
        <v>0</v>
      </c>
      <c r="O43" s="739">
        <v>0</v>
      </c>
      <c r="P43" s="740">
        <v>0</v>
      </c>
      <c r="Q43" s="741">
        <f t="shared" si="0"/>
        <v>0</v>
      </c>
      <c r="R43" s="748"/>
      <c r="S43" s="195" t="str">
        <f t="shared" si="1"/>
        <v>Switch</v>
      </c>
      <c r="T43" s="495">
        <f t="shared" si="2"/>
        <v>244462</v>
      </c>
      <c r="U43" s="495">
        <f t="shared" si="3"/>
        <v>0</v>
      </c>
      <c r="V43" s="495">
        <f t="shared" si="4"/>
        <v>244463</v>
      </c>
    </row>
    <row r="44" spans="1:22" s="749" customFormat="1">
      <c r="A44" s="755" t="s">
        <v>1429</v>
      </c>
      <c r="B44" s="744" t="s">
        <v>1432</v>
      </c>
      <c r="C44" s="832"/>
      <c r="D44" s="735" t="s">
        <v>43</v>
      </c>
      <c r="E44" s="836" t="s">
        <v>1382</v>
      </c>
      <c r="F44" s="753">
        <v>0</v>
      </c>
      <c r="G44" s="735">
        <v>6</v>
      </c>
      <c r="H44" s="736">
        <v>244462</v>
      </c>
      <c r="I44" s="736">
        <v>244463</v>
      </c>
      <c r="J44" s="736">
        <v>244433</v>
      </c>
      <c r="K44" s="736">
        <v>46157</v>
      </c>
      <c r="L44" s="747"/>
      <c r="M44" s="1215"/>
      <c r="N44" s="739">
        <v>6</v>
      </c>
      <c r="O44" s="739">
        <v>6</v>
      </c>
      <c r="P44" s="740">
        <v>6</v>
      </c>
      <c r="Q44" s="741">
        <f t="shared" si="0"/>
        <v>1</v>
      </c>
      <c r="R44" s="748"/>
      <c r="S44" s="195" t="str">
        <f t="shared" si="1"/>
        <v>Switch</v>
      </c>
      <c r="T44" s="495">
        <f t="shared" si="2"/>
        <v>244462</v>
      </c>
      <c r="U44" s="495">
        <f t="shared" si="3"/>
        <v>244433</v>
      </c>
      <c r="V44" s="495">
        <f t="shared" si="4"/>
        <v>244463</v>
      </c>
    </row>
    <row r="45" spans="1:22" s="749" customFormat="1">
      <c r="A45" s="755" t="s">
        <v>1429</v>
      </c>
      <c r="B45" s="744" t="s">
        <v>1434</v>
      </c>
      <c r="C45" s="832"/>
      <c r="D45" s="735" t="s">
        <v>39</v>
      </c>
      <c r="E45" s="836" t="s">
        <v>1386</v>
      </c>
      <c r="F45" s="735">
        <v>2</v>
      </c>
      <c r="G45" s="735">
        <v>2</v>
      </c>
      <c r="H45" s="736">
        <v>244480</v>
      </c>
      <c r="I45" s="736">
        <v>244483</v>
      </c>
      <c r="J45" s="736">
        <v>244490</v>
      </c>
      <c r="K45" s="736">
        <v>244490</v>
      </c>
      <c r="L45" s="747"/>
      <c r="M45" s="1215" t="s">
        <v>1435</v>
      </c>
      <c r="N45" s="739">
        <v>2</v>
      </c>
      <c r="O45" s="739">
        <v>2</v>
      </c>
      <c r="P45" s="740">
        <v>2</v>
      </c>
      <c r="Q45" s="741">
        <f t="shared" si="0"/>
        <v>1</v>
      </c>
      <c r="R45" s="748"/>
      <c r="S45" s="195" t="str">
        <f t="shared" si="1"/>
        <v>Switch</v>
      </c>
      <c r="T45" s="495">
        <f t="shared" si="2"/>
        <v>244480</v>
      </c>
      <c r="U45" s="495">
        <f t="shared" si="3"/>
        <v>244490</v>
      </c>
      <c r="V45" s="495">
        <f t="shared" si="4"/>
        <v>244483</v>
      </c>
    </row>
    <row r="46" spans="1:22" s="749" customFormat="1">
      <c r="A46" s="858" t="s">
        <v>1429</v>
      </c>
      <c r="B46" s="859" t="s">
        <v>1434</v>
      </c>
      <c r="C46" s="832"/>
      <c r="D46" s="808" t="s">
        <v>43</v>
      </c>
      <c r="E46" s="854" t="s">
        <v>1382</v>
      </c>
      <c r="F46" s="808">
        <v>7</v>
      </c>
      <c r="G46" s="808">
        <v>6</v>
      </c>
      <c r="H46" s="736">
        <v>244480</v>
      </c>
      <c r="I46" s="736">
        <v>244483</v>
      </c>
      <c r="J46" s="736">
        <v>46163</v>
      </c>
      <c r="K46" s="736"/>
      <c r="L46" s="747"/>
      <c r="M46" s="1215"/>
      <c r="N46" s="860">
        <v>6</v>
      </c>
      <c r="O46" s="860">
        <v>6</v>
      </c>
      <c r="P46" s="861">
        <v>6</v>
      </c>
      <c r="Q46" s="741">
        <f t="shared" si="0"/>
        <v>1</v>
      </c>
      <c r="R46" s="748" t="s">
        <v>1436</v>
      </c>
      <c r="S46" s="195" t="str">
        <f t="shared" si="1"/>
        <v>Switch</v>
      </c>
      <c r="T46" s="495">
        <f t="shared" si="2"/>
        <v>244480</v>
      </c>
      <c r="U46" s="495">
        <f t="shared" si="3"/>
        <v>46163</v>
      </c>
      <c r="V46" s="495">
        <f t="shared" si="4"/>
        <v>244483</v>
      </c>
    </row>
    <row r="47" spans="1:22" s="749" customFormat="1">
      <c r="A47" s="755" t="s">
        <v>1429</v>
      </c>
      <c r="B47" s="831" t="s">
        <v>1437</v>
      </c>
      <c r="C47" s="832"/>
      <c r="D47" s="735" t="s">
        <v>39</v>
      </c>
      <c r="E47" s="836" t="s">
        <v>1386</v>
      </c>
      <c r="F47" s="735">
        <v>1</v>
      </c>
      <c r="G47" s="735">
        <v>1</v>
      </c>
      <c r="H47" s="736">
        <v>244480</v>
      </c>
      <c r="I47" s="736">
        <v>244483</v>
      </c>
      <c r="J47" s="736">
        <v>244490</v>
      </c>
      <c r="K47" s="736">
        <v>244490</v>
      </c>
      <c r="L47" s="747"/>
      <c r="M47" s="917" t="s">
        <v>1438</v>
      </c>
      <c r="N47" s="739">
        <v>1</v>
      </c>
      <c r="O47" s="739">
        <v>1</v>
      </c>
      <c r="P47" s="740">
        <v>1</v>
      </c>
      <c r="Q47" s="741">
        <f t="shared" si="0"/>
        <v>1</v>
      </c>
      <c r="R47" s="748"/>
      <c r="S47" s="195" t="str">
        <f t="shared" si="1"/>
        <v>Switch</v>
      </c>
      <c r="T47" s="495">
        <f t="shared" si="2"/>
        <v>244480</v>
      </c>
      <c r="U47" s="495">
        <f t="shared" si="3"/>
        <v>244490</v>
      </c>
      <c r="V47" s="495">
        <f t="shared" si="4"/>
        <v>244483</v>
      </c>
    </row>
    <row r="48" spans="1:22" s="749" customFormat="1">
      <c r="A48" s="755" t="s">
        <v>1429</v>
      </c>
      <c r="B48" s="831" t="s">
        <v>1439</v>
      </c>
      <c r="C48" s="832"/>
      <c r="D48" s="735" t="s">
        <v>43</v>
      </c>
      <c r="E48" s="836" t="s">
        <v>1382</v>
      </c>
      <c r="F48" s="735">
        <v>13</v>
      </c>
      <c r="G48" s="735">
        <v>11</v>
      </c>
      <c r="H48" s="736">
        <v>244474</v>
      </c>
      <c r="I48" s="736">
        <v>244477</v>
      </c>
      <c r="J48" s="736">
        <v>46162</v>
      </c>
      <c r="K48" s="736"/>
      <c r="L48" s="747"/>
      <c r="M48" s="917" t="s">
        <v>1440</v>
      </c>
      <c r="N48" s="739">
        <v>9</v>
      </c>
      <c r="O48" s="739">
        <v>9</v>
      </c>
      <c r="P48" s="740">
        <v>9</v>
      </c>
      <c r="Q48" s="741">
        <f t="shared" si="0"/>
        <v>0.81818181818181823</v>
      </c>
      <c r="R48" s="748"/>
      <c r="S48" s="195" t="str">
        <f t="shared" si="1"/>
        <v>Switch</v>
      </c>
      <c r="T48" s="495">
        <f t="shared" si="2"/>
        <v>244474</v>
      </c>
      <c r="U48" s="495">
        <f t="shared" si="3"/>
        <v>46162</v>
      </c>
      <c r="V48" s="495">
        <f t="shared" si="4"/>
        <v>244477</v>
      </c>
    </row>
    <row r="49" spans="1:22" s="749" customFormat="1">
      <c r="A49" s="755" t="s">
        <v>1429</v>
      </c>
      <c r="B49" s="1001" t="s">
        <v>1441</v>
      </c>
      <c r="C49" s="1002"/>
      <c r="D49" s="1003" t="s">
        <v>43</v>
      </c>
      <c r="E49" s="836" t="s">
        <v>1382</v>
      </c>
      <c r="F49" s="735">
        <v>1</v>
      </c>
      <c r="G49" s="735">
        <v>6</v>
      </c>
      <c r="H49" s="736">
        <v>244468</v>
      </c>
      <c r="I49" s="736">
        <v>244469</v>
      </c>
      <c r="J49" s="736">
        <v>46160</v>
      </c>
      <c r="K49" s="736">
        <v>46160</v>
      </c>
      <c r="L49" s="747"/>
      <c r="M49" s="917" t="s">
        <v>1442</v>
      </c>
      <c r="N49" s="735">
        <v>6</v>
      </c>
      <c r="O49" s="735">
        <v>6</v>
      </c>
      <c r="P49" s="735">
        <v>6</v>
      </c>
      <c r="Q49" s="741">
        <f t="shared" si="0"/>
        <v>1</v>
      </c>
      <c r="R49" s="748"/>
      <c r="S49" s="195" t="str">
        <f t="shared" si="1"/>
        <v>Switch</v>
      </c>
      <c r="T49" s="495">
        <f t="shared" si="2"/>
        <v>244468</v>
      </c>
      <c r="U49" s="495">
        <f t="shared" si="3"/>
        <v>46160</v>
      </c>
      <c r="V49" s="495">
        <f t="shared" si="4"/>
        <v>244469</v>
      </c>
    </row>
    <row r="50" spans="1:22" s="749" customFormat="1">
      <c r="A50" s="998" t="s">
        <v>131</v>
      </c>
      <c r="B50" s="862" t="s">
        <v>1443</v>
      </c>
      <c r="C50" s="995"/>
      <c r="D50" s="805" t="s">
        <v>1399</v>
      </c>
      <c r="E50" s="1000" t="s">
        <v>1393</v>
      </c>
      <c r="F50" s="735">
        <v>1</v>
      </c>
      <c r="G50" s="735">
        <v>0</v>
      </c>
      <c r="H50" s="736">
        <v>244485</v>
      </c>
      <c r="I50" s="736">
        <v>244485</v>
      </c>
      <c r="J50" s="736"/>
      <c r="K50" s="736"/>
      <c r="L50" s="747"/>
      <c r="M50" s="917" t="s">
        <v>1444</v>
      </c>
      <c r="N50" s="739">
        <v>1</v>
      </c>
      <c r="O50" s="739">
        <v>1</v>
      </c>
      <c r="P50" s="740">
        <v>1</v>
      </c>
      <c r="Q50" s="741">
        <f t="shared" si="0"/>
        <v>1</v>
      </c>
      <c r="R50" s="748"/>
      <c r="S50" s="195" t="str">
        <f t="shared" si="1"/>
        <v>Switch</v>
      </c>
      <c r="T50" s="495">
        <f t="shared" si="2"/>
        <v>244485</v>
      </c>
      <c r="U50" s="495">
        <f t="shared" si="3"/>
        <v>0</v>
      </c>
      <c r="V50" s="495">
        <f t="shared" si="4"/>
        <v>244485</v>
      </c>
    </row>
    <row r="51" spans="1:22" s="749" customFormat="1">
      <c r="A51" s="999" t="s">
        <v>131</v>
      </c>
      <c r="B51" s="996" t="s">
        <v>1443</v>
      </c>
      <c r="C51" s="997"/>
      <c r="D51" s="844" t="s">
        <v>39</v>
      </c>
      <c r="E51" s="855" t="s">
        <v>1386</v>
      </c>
      <c r="F51" s="808">
        <v>0</v>
      </c>
      <c r="G51" s="808">
        <v>1</v>
      </c>
      <c r="H51" s="736">
        <v>244485</v>
      </c>
      <c r="I51" s="736">
        <v>244485</v>
      </c>
      <c r="J51" s="736">
        <v>46148</v>
      </c>
      <c r="K51" s="751">
        <v>46148</v>
      </c>
      <c r="L51" s="747"/>
      <c r="M51" s="917" t="s">
        <v>1445</v>
      </c>
      <c r="N51" s="739">
        <v>1</v>
      </c>
      <c r="O51" s="739">
        <v>1</v>
      </c>
      <c r="P51" s="740">
        <v>1</v>
      </c>
      <c r="Q51" s="741">
        <f>IF($G51=0,1,(N51+O51+P51)/($G51*3))</f>
        <v>1</v>
      </c>
      <c r="R51" s="748"/>
      <c r="S51" s="195"/>
      <c r="T51" s="495">
        <f t="shared" si="2"/>
        <v>244485</v>
      </c>
      <c r="U51" s="495">
        <f t="shared" si="3"/>
        <v>46148</v>
      </c>
      <c r="V51" s="495">
        <f t="shared" si="4"/>
        <v>244485</v>
      </c>
    </row>
    <row r="52" spans="1:22" s="749" customFormat="1">
      <c r="A52" s="849" t="s">
        <v>1446</v>
      </c>
      <c r="B52" s="1004" t="s">
        <v>1447</v>
      </c>
      <c r="C52" s="1005"/>
      <c r="D52" s="1006" t="s">
        <v>1397</v>
      </c>
      <c r="E52" s="836" t="s">
        <v>1388</v>
      </c>
      <c r="F52" s="735">
        <v>2</v>
      </c>
      <c r="G52" s="735">
        <v>2</v>
      </c>
      <c r="H52" s="736">
        <v>244496</v>
      </c>
      <c r="I52" s="736">
        <v>244497</v>
      </c>
      <c r="J52" s="745"/>
      <c r="K52" s="750"/>
      <c r="L52" s="747"/>
      <c r="M52" s="917" t="s">
        <v>1448</v>
      </c>
      <c r="N52" s="739">
        <v>0</v>
      </c>
      <c r="O52" s="739">
        <v>0</v>
      </c>
      <c r="P52" s="740">
        <v>0</v>
      </c>
      <c r="Q52" s="741">
        <f>IF($G52=0,1,(N52+O52+P52)/($G52*3))</f>
        <v>0</v>
      </c>
      <c r="R52" s="748"/>
      <c r="S52" s="195" t="str">
        <f t="shared" si="1"/>
        <v>Switch</v>
      </c>
      <c r="T52" s="495">
        <f t="shared" si="2"/>
        <v>244496</v>
      </c>
      <c r="U52" s="495">
        <f t="shared" si="3"/>
        <v>0</v>
      </c>
      <c r="V52" s="495">
        <f t="shared" si="4"/>
        <v>244497</v>
      </c>
    </row>
    <row r="53" spans="1:22" s="749" customFormat="1">
      <c r="A53" s="849" t="s">
        <v>1446</v>
      </c>
      <c r="B53" s="831" t="s">
        <v>1449</v>
      </c>
      <c r="C53" s="834"/>
      <c r="D53" s="735" t="s">
        <v>39</v>
      </c>
      <c r="E53" s="836" t="s">
        <v>1386</v>
      </c>
      <c r="F53" s="735">
        <v>1</v>
      </c>
      <c r="G53" s="735">
        <v>1</v>
      </c>
      <c r="H53" s="736">
        <v>244498</v>
      </c>
      <c r="I53" s="736">
        <v>244498</v>
      </c>
      <c r="J53" s="745"/>
      <c r="K53" s="750"/>
      <c r="L53" s="747"/>
      <c r="M53" s="917" t="s">
        <v>1383</v>
      </c>
      <c r="N53" s="739">
        <v>0</v>
      </c>
      <c r="O53" s="739">
        <v>0</v>
      </c>
      <c r="P53" s="740">
        <v>0</v>
      </c>
      <c r="Q53" s="741">
        <f t="shared" si="0"/>
        <v>0</v>
      </c>
      <c r="R53" s="748"/>
      <c r="S53" s="195" t="str">
        <f t="shared" si="1"/>
        <v>Switch</v>
      </c>
      <c r="T53" s="495">
        <f t="shared" si="2"/>
        <v>244498</v>
      </c>
      <c r="U53" s="495">
        <f t="shared" si="3"/>
        <v>0</v>
      </c>
      <c r="V53" s="495">
        <f t="shared" si="4"/>
        <v>244498</v>
      </c>
    </row>
    <row r="54" spans="1:22" s="749" customFormat="1">
      <c r="A54" s="849" t="s">
        <v>1446</v>
      </c>
      <c r="B54" s="831" t="s">
        <v>1450</v>
      </c>
      <c r="C54" s="834"/>
      <c r="D54" s="735" t="s">
        <v>39</v>
      </c>
      <c r="E54" s="836" t="s">
        <v>1386</v>
      </c>
      <c r="F54" s="735">
        <v>3</v>
      </c>
      <c r="G54" s="735">
        <v>3</v>
      </c>
      <c r="H54" s="736">
        <v>244496</v>
      </c>
      <c r="I54" s="736">
        <v>244497</v>
      </c>
      <c r="J54" s="745"/>
      <c r="K54" s="750"/>
      <c r="L54" s="747"/>
      <c r="M54" s="917" t="s">
        <v>1383</v>
      </c>
      <c r="N54" s="739">
        <v>0</v>
      </c>
      <c r="O54" s="739">
        <v>0</v>
      </c>
      <c r="P54" s="740">
        <v>0</v>
      </c>
      <c r="Q54" s="741">
        <f t="shared" si="0"/>
        <v>0</v>
      </c>
      <c r="R54" s="748"/>
      <c r="S54" s="195" t="str">
        <f t="shared" si="1"/>
        <v>Switch</v>
      </c>
      <c r="T54" s="495">
        <f t="shared" si="2"/>
        <v>244496</v>
      </c>
      <c r="U54" s="495">
        <f t="shared" si="3"/>
        <v>0</v>
      </c>
      <c r="V54" s="495">
        <f t="shared" si="4"/>
        <v>244497</v>
      </c>
    </row>
    <row r="55" spans="1:22" s="749" customFormat="1">
      <c r="A55" s="849" t="s">
        <v>1446</v>
      </c>
      <c r="B55" s="744" t="s">
        <v>1451</v>
      </c>
      <c r="C55" s="834"/>
      <c r="D55" s="735" t="s">
        <v>39</v>
      </c>
      <c r="E55" s="836" t="s">
        <v>1386</v>
      </c>
      <c r="F55" s="735">
        <v>1</v>
      </c>
      <c r="G55" s="735">
        <v>1</v>
      </c>
      <c r="H55" s="736">
        <v>244496</v>
      </c>
      <c r="I55" s="736">
        <v>244497</v>
      </c>
      <c r="J55" s="745"/>
      <c r="K55" s="750"/>
      <c r="L55" s="747"/>
      <c r="M55" s="1215" t="s">
        <v>1383</v>
      </c>
      <c r="N55" s="739">
        <v>0</v>
      </c>
      <c r="O55" s="739">
        <v>0</v>
      </c>
      <c r="P55" s="740">
        <v>0</v>
      </c>
      <c r="Q55" s="741">
        <f t="shared" si="0"/>
        <v>0</v>
      </c>
      <c r="R55" s="748"/>
      <c r="S55" s="195" t="str">
        <f t="shared" si="1"/>
        <v>Switch</v>
      </c>
      <c r="T55" s="495">
        <f t="shared" si="2"/>
        <v>244496</v>
      </c>
      <c r="U55" s="495">
        <f t="shared" si="3"/>
        <v>0</v>
      </c>
      <c r="V55" s="495">
        <f t="shared" si="4"/>
        <v>244497</v>
      </c>
    </row>
    <row r="56" spans="1:22" s="749" customFormat="1">
      <c r="A56" s="849" t="s">
        <v>1446</v>
      </c>
      <c r="B56" s="744" t="s">
        <v>1451</v>
      </c>
      <c r="C56" s="834"/>
      <c r="D56" s="735" t="s">
        <v>43</v>
      </c>
      <c r="E56" s="836" t="s">
        <v>1382</v>
      </c>
      <c r="F56" s="735">
        <v>1</v>
      </c>
      <c r="G56" s="735">
        <v>1</v>
      </c>
      <c r="H56" s="736">
        <v>244496</v>
      </c>
      <c r="I56" s="736">
        <v>244497</v>
      </c>
      <c r="J56" s="745"/>
      <c r="K56" s="750"/>
      <c r="L56" s="747"/>
      <c r="M56" s="1215"/>
      <c r="N56" s="739">
        <v>0</v>
      </c>
      <c r="O56" s="739">
        <v>0</v>
      </c>
      <c r="P56" s="740">
        <v>0</v>
      </c>
      <c r="Q56" s="741">
        <f t="shared" si="0"/>
        <v>0</v>
      </c>
      <c r="R56" s="748"/>
      <c r="S56" s="195" t="str">
        <f t="shared" si="1"/>
        <v>Switch</v>
      </c>
      <c r="T56" s="495">
        <f t="shared" si="2"/>
        <v>244496</v>
      </c>
      <c r="U56" s="495">
        <f t="shared" si="3"/>
        <v>0</v>
      </c>
      <c r="V56" s="495">
        <f t="shared" si="4"/>
        <v>244497</v>
      </c>
    </row>
    <row r="57" spans="1:22" s="749" customFormat="1">
      <c r="A57" s="849" t="s">
        <v>1446</v>
      </c>
      <c r="B57" s="831" t="s">
        <v>1452</v>
      </c>
      <c r="C57" s="835"/>
      <c r="D57" s="735" t="s">
        <v>39</v>
      </c>
      <c r="E57" s="836" t="s">
        <v>1386</v>
      </c>
      <c r="F57" s="735">
        <v>1</v>
      </c>
      <c r="G57" s="735">
        <v>1</v>
      </c>
      <c r="H57" s="736">
        <v>244496</v>
      </c>
      <c r="I57" s="736">
        <v>244497</v>
      </c>
      <c r="J57" s="745"/>
      <c r="K57" s="750"/>
      <c r="L57" s="747"/>
      <c r="M57" s="917" t="s">
        <v>1383</v>
      </c>
      <c r="N57" s="739">
        <v>0</v>
      </c>
      <c r="O57" s="739">
        <v>0</v>
      </c>
      <c r="P57" s="740">
        <v>0</v>
      </c>
      <c r="Q57" s="741">
        <f t="shared" si="0"/>
        <v>0</v>
      </c>
      <c r="R57" s="748"/>
      <c r="S57" s="195" t="str">
        <f t="shared" si="1"/>
        <v>Switch</v>
      </c>
      <c r="T57" s="495">
        <f t="shared" si="2"/>
        <v>244496</v>
      </c>
      <c r="U57" s="495">
        <f t="shared" si="3"/>
        <v>0</v>
      </c>
      <c r="V57" s="495">
        <f t="shared" si="4"/>
        <v>244497</v>
      </c>
    </row>
    <row r="58" spans="1:22" s="749" customFormat="1">
      <c r="A58" s="849" t="s">
        <v>1446</v>
      </c>
      <c r="B58" s="744" t="s">
        <v>1453</v>
      </c>
      <c r="C58" s="834"/>
      <c r="D58" s="735" t="s">
        <v>39</v>
      </c>
      <c r="E58" s="836" t="s">
        <v>1386</v>
      </c>
      <c r="F58" s="735">
        <v>1</v>
      </c>
      <c r="G58" s="735">
        <v>1</v>
      </c>
      <c r="H58" s="736">
        <v>244501</v>
      </c>
      <c r="I58" s="736">
        <v>244502</v>
      </c>
      <c r="J58" s="745"/>
      <c r="K58" s="750"/>
      <c r="L58" s="747"/>
      <c r="M58" s="1215" t="s">
        <v>1383</v>
      </c>
      <c r="N58" s="739">
        <v>0</v>
      </c>
      <c r="O58" s="739">
        <v>0</v>
      </c>
      <c r="P58" s="740">
        <v>0</v>
      </c>
      <c r="Q58" s="741">
        <f t="shared" si="0"/>
        <v>0</v>
      </c>
      <c r="R58" s="756"/>
      <c r="S58" s="195" t="str">
        <f t="shared" si="1"/>
        <v>Switch</v>
      </c>
      <c r="T58" s="495">
        <f t="shared" si="2"/>
        <v>244501</v>
      </c>
      <c r="U58" s="495">
        <f t="shared" si="3"/>
        <v>0</v>
      </c>
      <c r="V58" s="495">
        <f t="shared" si="4"/>
        <v>244502</v>
      </c>
    </row>
    <row r="59" spans="1:22" s="749" customFormat="1">
      <c r="A59" s="849" t="s">
        <v>1446</v>
      </c>
      <c r="B59" s="744" t="s">
        <v>1453</v>
      </c>
      <c r="C59" s="832"/>
      <c r="D59" s="735" t="s">
        <v>43</v>
      </c>
      <c r="E59" s="836" t="s">
        <v>1382</v>
      </c>
      <c r="F59" s="735">
        <v>1</v>
      </c>
      <c r="G59" s="735">
        <v>1</v>
      </c>
      <c r="H59" s="736">
        <v>244501</v>
      </c>
      <c r="I59" s="736">
        <v>244502</v>
      </c>
      <c r="J59" s="745"/>
      <c r="K59" s="750"/>
      <c r="L59" s="747"/>
      <c r="M59" s="1215"/>
      <c r="N59" s="739">
        <v>0</v>
      </c>
      <c r="O59" s="739">
        <v>0</v>
      </c>
      <c r="P59" s="740">
        <v>0</v>
      </c>
      <c r="Q59" s="741">
        <f t="shared" si="0"/>
        <v>0</v>
      </c>
      <c r="R59" s="748"/>
      <c r="S59" s="195" t="str">
        <f t="shared" si="1"/>
        <v>Switch</v>
      </c>
      <c r="T59" s="495">
        <f t="shared" si="2"/>
        <v>244501</v>
      </c>
      <c r="U59" s="495">
        <f t="shared" si="3"/>
        <v>0</v>
      </c>
      <c r="V59" s="495">
        <f t="shared" si="4"/>
        <v>244502</v>
      </c>
    </row>
    <row r="60" spans="1:22" s="749" customFormat="1">
      <c r="A60" s="849" t="s">
        <v>1446</v>
      </c>
      <c r="B60" s="831" t="s">
        <v>1454</v>
      </c>
      <c r="C60" s="832"/>
      <c r="D60" s="735" t="s">
        <v>39</v>
      </c>
      <c r="E60" s="836" t="s">
        <v>1386</v>
      </c>
      <c r="F60" s="735">
        <v>1</v>
      </c>
      <c r="G60" s="735">
        <v>1</v>
      </c>
      <c r="H60" s="736">
        <v>244501</v>
      </c>
      <c r="I60" s="736">
        <v>244502</v>
      </c>
      <c r="J60" s="745"/>
      <c r="K60" s="750"/>
      <c r="L60" s="747"/>
      <c r="M60" s="917" t="s">
        <v>1383</v>
      </c>
      <c r="N60" s="739">
        <v>0</v>
      </c>
      <c r="O60" s="739">
        <v>0</v>
      </c>
      <c r="P60" s="740">
        <v>0</v>
      </c>
      <c r="Q60" s="741">
        <f t="shared" si="0"/>
        <v>0</v>
      </c>
      <c r="R60" s="748"/>
      <c r="S60" s="195" t="str">
        <f t="shared" si="1"/>
        <v>Switch</v>
      </c>
      <c r="T60" s="495">
        <f t="shared" si="2"/>
        <v>244501</v>
      </c>
      <c r="U60" s="495">
        <f t="shared" si="3"/>
        <v>0</v>
      </c>
      <c r="V60" s="495">
        <f t="shared" si="4"/>
        <v>244502</v>
      </c>
    </row>
    <row r="61" spans="1:22" s="749" customFormat="1">
      <c r="A61" s="849" t="s">
        <v>1446</v>
      </c>
      <c r="B61" s="831" t="s">
        <v>1455</v>
      </c>
      <c r="C61" s="832"/>
      <c r="D61" s="735" t="s">
        <v>39</v>
      </c>
      <c r="E61" s="836" t="s">
        <v>1386</v>
      </c>
      <c r="F61" s="735">
        <v>2</v>
      </c>
      <c r="G61" s="735">
        <v>2</v>
      </c>
      <c r="H61" s="736">
        <v>244501</v>
      </c>
      <c r="I61" s="736">
        <v>244502</v>
      </c>
      <c r="J61" s="745"/>
      <c r="K61" s="750"/>
      <c r="L61" s="747"/>
      <c r="M61" s="917" t="s">
        <v>1383</v>
      </c>
      <c r="N61" s="739">
        <v>0</v>
      </c>
      <c r="O61" s="739">
        <v>0</v>
      </c>
      <c r="P61" s="740">
        <v>0</v>
      </c>
      <c r="Q61" s="741">
        <f t="shared" si="0"/>
        <v>0</v>
      </c>
      <c r="R61" s="748"/>
      <c r="S61" s="195" t="str">
        <f t="shared" si="1"/>
        <v>Switch</v>
      </c>
      <c r="T61" s="495">
        <f t="shared" si="2"/>
        <v>244501</v>
      </c>
      <c r="U61" s="495">
        <f t="shared" si="3"/>
        <v>0</v>
      </c>
      <c r="V61" s="495">
        <f t="shared" si="4"/>
        <v>244502</v>
      </c>
    </row>
    <row r="62" spans="1:22" s="749" customFormat="1">
      <c r="A62" s="849" t="s">
        <v>1446</v>
      </c>
      <c r="B62" s="831" t="s">
        <v>1456</v>
      </c>
      <c r="C62" s="832"/>
      <c r="D62" s="735" t="s">
        <v>39</v>
      </c>
      <c r="E62" s="836" t="s">
        <v>1386</v>
      </c>
      <c r="F62" s="735">
        <v>1</v>
      </c>
      <c r="G62" s="735">
        <v>1</v>
      </c>
      <c r="H62" s="736">
        <v>244498</v>
      </c>
      <c r="I62" s="736">
        <v>244498</v>
      </c>
      <c r="J62" s="745"/>
      <c r="K62" s="750"/>
      <c r="L62" s="747"/>
      <c r="M62" s="917" t="s">
        <v>1383</v>
      </c>
      <c r="N62" s="739">
        <v>0</v>
      </c>
      <c r="O62" s="739">
        <v>0</v>
      </c>
      <c r="P62" s="740">
        <v>0</v>
      </c>
      <c r="Q62" s="741">
        <f t="shared" si="0"/>
        <v>0</v>
      </c>
      <c r="R62" s="748"/>
      <c r="S62" s="195" t="str">
        <f t="shared" si="1"/>
        <v>Switch</v>
      </c>
      <c r="T62" s="495">
        <f t="shared" si="2"/>
        <v>244498</v>
      </c>
      <c r="U62" s="495">
        <f t="shared" si="3"/>
        <v>0</v>
      </c>
      <c r="V62" s="495">
        <f t="shared" si="4"/>
        <v>244498</v>
      </c>
    </row>
    <row r="63" spans="1:22" s="749" customFormat="1">
      <c r="A63" s="849" t="s">
        <v>1446</v>
      </c>
      <c r="B63" s="831" t="s">
        <v>1457</v>
      </c>
      <c r="C63" s="832"/>
      <c r="D63" s="735" t="s">
        <v>39</v>
      </c>
      <c r="E63" s="836" t="s">
        <v>1386</v>
      </c>
      <c r="F63" s="735">
        <v>1</v>
      </c>
      <c r="G63" s="735">
        <v>1</v>
      </c>
      <c r="H63" s="736">
        <v>244498</v>
      </c>
      <c r="I63" s="736">
        <v>244498</v>
      </c>
      <c r="J63" s="745"/>
      <c r="K63" s="750"/>
      <c r="L63" s="747"/>
      <c r="M63" s="917" t="s">
        <v>1383</v>
      </c>
      <c r="N63" s="739">
        <v>0</v>
      </c>
      <c r="O63" s="739">
        <v>0</v>
      </c>
      <c r="P63" s="740">
        <v>0</v>
      </c>
      <c r="Q63" s="741">
        <f t="shared" si="0"/>
        <v>0</v>
      </c>
      <c r="R63" s="748"/>
      <c r="S63" s="195" t="str">
        <f t="shared" si="1"/>
        <v>Switch</v>
      </c>
      <c r="T63" s="495">
        <f t="shared" si="2"/>
        <v>244498</v>
      </c>
      <c r="U63" s="495">
        <f t="shared" si="3"/>
        <v>0</v>
      </c>
      <c r="V63" s="495">
        <f t="shared" si="4"/>
        <v>244498</v>
      </c>
    </row>
    <row r="64" spans="1:22" s="749" customFormat="1">
      <c r="A64" s="849" t="s">
        <v>1458</v>
      </c>
      <c r="B64" s="744" t="s">
        <v>1459</v>
      </c>
      <c r="C64" s="832"/>
      <c r="D64" s="808" t="s">
        <v>39</v>
      </c>
      <c r="E64" s="854" t="s">
        <v>1386</v>
      </c>
      <c r="F64" s="808">
        <v>3</v>
      </c>
      <c r="G64" s="808">
        <v>3</v>
      </c>
      <c r="H64" s="736">
        <v>244487</v>
      </c>
      <c r="I64" s="736">
        <v>244489</v>
      </c>
      <c r="J64" s="736">
        <v>244463</v>
      </c>
      <c r="K64" s="736"/>
      <c r="L64" s="747"/>
      <c r="M64" s="1215" t="s">
        <v>1383</v>
      </c>
      <c r="N64" s="739">
        <v>1</v>
      </c>
      <c r="O64" s="739">
        <v>1</v>
      </c>
      <c r="P64" s="740">
        <v>1</v>
      </c>
      <c r="Q64" s="741">
        <f t="shared" si="0"/>
        <v>0.33333333333333331</v>
      </c>
      <c r="R64" s="748"/>
      <c r="S64" s="195" t="str">
        <f t="shared" si="1"/>
        <v>Switch</v>
      </c>
      <c r="T64" s="495">
        <f t="shared" si="2"/>
        <v>244487</v>
      </c>
      <c r="U64" s="495">
        <f t="shared" si="3"/>
        <v>244463</v>
      </c>
      <c r="V64" s="495">
        <f t="shared" si="4"/>
        <v>244489</v>
      </c>
    </row>
    <row r="65" spans="1:22" s="749" customFormat="1">
      <c r="A65" s="849" t="s">
        <v>1458</v>
      </c>
      <c r="B65" s="744" t="s">
        <v>1459</v>
      </c>
      <c r="C65" s="832"/>
      <c r="D65" s="735" t="s">
        <v>43</v>
      </c>
      <c r="E65" s="836" t="s">
        <v>1382</v>
      </c>
      <c r="F65" s="735">
        <v>3</v>
      </c>
      <c r="G65" s="735">
        <v>3</v>
      </c>
      <c r="H65" s="736">
        <v>244487</v>
      </c>
      <c r="I65" s="736">
        <v>244489</v>
      </c>
      <c r="J65" s="736">
        <v>244463</v>
      </c>
      <c r="K65" s="736">
        <v>244463</v>
      </c>
      <c r="L65" s="827"/>
      <c r="M65" s="1215"/>
      <c r="N65" s="739">
        <v>3</v>
      </c>
      <c r="O65" s="739">
        <v>3</v>
      </c>
      <c r="P65" s="740">
        <v>3</v>
      </c>
      <c r="Q65" s="741">
        <f t="shared" si="0"/>
        <v>1</v>
      </c>
      <c r="R65" s="748"/>
      <c r="S65" s="195" t="str">
        <f t="shared" si="1"/>
        <v>Switch</v>
      </c>
      <c r="T65" s="495">
        <f t="shared" si="2"/>
        <v>244487</v>
      </c>
      <c r="U65" s="495">
        <f t="shared" si="3"/>
        <v>244463</v>
      </c>
      <c r="V65" s="495">
        <f t="shared" si="4"/>
        <v>244489</v>
      </c>
    </row>
    <row r="66" spans="1:22" s="749" customFormat="1">
      <c r="A66" s="849" t="s">
        <v>1458</v>
      </c>
      <c r="B66" s="744" t="s">
        <v>1460</v>
      </c>
      <c r="C66" s="832"/>
      <c r="D66" s="808" t="s">
        <v>39</v>
      </c>
      <c r="E66" s="854" t="s">
        <v>1386</v>
      </c>
      <c r="F66" s="808">
        <v>5</v>
      </c>
      <c r="G66" s="808">
        <v>5</v>
      </c>
      <c r="H66" s="736">
        <v>244487</v>
      </c>
      <c r="I66" s="736">
        <v>244489</v>
      </c>
      <c r="J66" s="736">
        <v>244463</v>
      </c>
      <c r="K66" s="751">
        <v>244463</v>
      </c>
      <c r="L66" s="828"/>
      <c r="M66" s="1215" t="s">
        <v>1383</v>
      </c>
      <c r="N66" s="739">
        <v>5</v>
      </c>
      <c r="O66" s="739">
        <v>5</v>
      </c>
      <c r="P66" s="740">
        <v>5</v>
      </c>
      <c r="Q66" s="741">
        <f t="shared" si="0"/>
        <v>1</v>
      </c>
      <c r="R66" s="748"/>
      <c r="S66" s="195" t="str">
        <f t="shared" si="1"/>
        <v>Switch</v>
      </c>
      <c r="T66" s="495">
        <f t="shared" si="2"/>
        <v>244487</v>
      </c>
      <c r="U66" s="495">
        <f t="shared" si="3"/>
        <v>244463</v>
      </c>
      <c r="V66" s="495">
        <f t="shared" si="4"/>
        <v>244489</v>
      </c>
    </row>
    <row r="67" spans="1:22" s="749" customFormat="1">
      <c r="A67" s="849" t="s">
        <v>1458</v>
      </c>
      <c r="B67" s="744" t="s">
        <v>1460</v>
      </c>
      <c r="C67" s="832"/>
      <c r="D67" s="735" t="s">
        <v>43</v>
      </c>
      <c r="E67" s="836" t="s">
        <v>1382</v>
      </c>
      <c r="F67" s="735">
        <v>2</v>
      </c>
      <c r="G67" s="735">
        <v>2</v>
      </c>
      <c r="H67" s="736">
        <v>244487</v>
      </c>
      <c r="I67" s="736">
        <v>244489</v>
      </c>
      <c r="J67" s="736">
        <v>244463</v>
      </c>
      <c r="K67" s="751">
        <v>244463</v>
      </c>
      <c r="L67" s="828"/>
      <c r="M67" s="1215"/>
      <c r="N67" s="739">
        <v>2</v>
      </c>
      <c r="O67" s="739">
        <v>2</v>
      </c>
      <c r="P67" s="740">
        <v>2</v>
      </c>
      <c r="Q67" s="741">
        <f t="shared" si="0"/>
        <v>1</v>
      </c>
      <c r="R67" s="748"/>
      <c r="S67" s="195" t="str">
        <f t="shared" si="1"/>
        <v>Switch</v>
      </c>
      <c r="T67" s="495">
        <f t="shared" si="2"/>
        <v>244487</v>
      </c>
      <c r="U67" s="495">
        <f t="shared" si="3"/>
        <v>244463</v>
      </c>
      <c r="V67" s="495">
        <f t="shared" si="4"/>
        <v>244489</v>
      </c>
    </row>
    <row r="68" spans="1:22" s="749" customFormat="1">
      <c r="A68" s="850" t="s">
        <v>1458</v>
      </c>
      <c r="B68" s="842" t="s">
        <v>1459</v>
      </c>
      <c r="C68" s="843"/>
      <c r="D68" s="844" t="s">
        <v>1399</v>
      </c>
      <c r="E68" s="855" t="s">
        <v>1393</v>
      </c>
      <c r="F68" s="735">
        <v>0</v>
      </c>
      <c r="G68" s="735">
        <v>1</v>
      </c>
      <c r="H68" s="736">
        <v>244487</v>
      </c>
      <c r="I68" s="736">
        <v>244487</v>
      </c>
      <c r="J68" s="736">
        <v>244463</v>
      </c>
      <c r="K68" s="751">
        <v>244463</v>
      </c>
      <c r="L68" s="829"/>
      <c r="M68" s="826" t="s">
        <v>1461</v>
      </c>
      <c r="N68" s="739">
        <v>1</v>
      </c>
      <c r="O68" s="739">
        <v>1</v>
      </c>
      <c r="P68" s="740">
        <v>1</v>
      </c>
      <c r="Q68" s="741">
        <f t="shared" si="0"/>
        <v>1</v>
      </c>
      <c r="R68" s="748"/>
      <c r="S68" s="195" t="str">
        <f t="shared" si="1"/>
        <v>Switch</v>
      </c>
      <c r="T68" s="495">
        <f t="shared" si="2"/>
        <v>244487</v>
      </c>
      <c r="U68" s="495">
        <f t="shared" si="3"/>
        <v>244463</v>
      </c>
      <c r="V68" s="495">
        <f t="shared" si="4"/>
        <v>244487</v>
      </c>
    </row>
    <row r="69" spans="1:22" s="749" customFormat="1">
      <c r="A69" s="850" t="s">
        <v>1458</v>
      </c>
      <c r="B69" s="842" t="s">
        <v>1459</v>
      </c>
      <c r="C69" s="843"/>
      <c r="D69" s="844" t="s">
        <v>1399</v>
      </c>
      <c r="E69" s="855" t="s">
        <v>1393</v>
      </c>
      <c r="F69" s="735">
        <v>0</v>
      </c>
      <c r="G69" s="735">
        <v>1</v>
      </c>
      <c r="H69" s="736">
        <v>244487</v>
      </c>
      <c r="I69" s="736">
        <v>244487</v>
      </c>
      <c r="J69" s="736">
        <v>244463</v>
      </c>
      <c r="K69" s="751">
        <v>244463</v>
      </c>
      <c r="L69" s="829"/>
      <c r="M69" s="826" t="s">
        <v>1462</v>
      </c>
      <c r="N69" s="739">
        <v>1</v>
      </c>
      <c r="O69" s="739">
        <v>1</v>
      </c>
      <c r="P69" s="740">
        <v>1</v>
      </c>
      <c r="Q69" s="741">
        <f t="shared" ref="Q69" si="5">IF($G69=0,1,(N69+O69+P69)/($G69*3))</f>
        <v>1</v>
      </c>
      <c r="R69" s="748"/>
      <c r="S69" s="195" t="str">
        <f t="shared" ref="S69" si="6">IF(ISNUMBER(SEARCH("Access Point",D69)),"AP",IF(OR(ISNUMBER(SEARCH("Switch",D69)),ISNUMBER(SEARCH("Control Type",D69))),"Switch","Infra"))</f>
        <v>Switch</v>
      </c>
      <c r="T69" s="495">
        <f t="shared" si="2"/>
        <v>244487</v>
      </c>
      <c r="U69" s="495">
        <f t="shared" si="3"/>
        <v>244463</v>
      </c>
      <c r="V69" s="495">
        <f t="shared" si="4"/>
        <v>244487</v>
      </c>
    </row>
    <row r="70" spans="1:22" s="749" customFormat="1">
      <c r="A70" s="764" t="s">
        <v>1463</v>
      </c>
      <c r="B70" s="831" t="s">
        <v>1464</v>
      </c>
      <c r="C70" s="832"/>
      <c r="D70" s="735" t="s">
        <v>39</v>
      </c>
      <c r="E70" s="836" t="s">
        <v>1386</v>
      </c>
      <c r="F70" s="735">
        <v>1</v>
      </c>
      <c r="G70" s="735">
        <v>1</v>
      </c>
      <c r="H70" s="736">
        <v>244489</v>
      </c>
      <c r="I70" s="736">
        <v>244489</v>
      </c>
      <c r="J70" s="736">
        <v>46164</v>
      </c>
      <c r="K70" s="736">
        <v>46164</v>
      </c>
      <c r="L70" s="757"/>
      <c r="M70" s="917" t="s">
        <v>1383</v>
      </c>
      <c r="N70" s="739">
        <v>1</v>
      </c>
      <c r="O70" s="739">
        <v>1</v>
      </c>
      <c r="P70" s="740">
        <v>1</v>
      </c>
      <c r="Q70" s="741">
        <f t="shared" ref="Q70:Q102" si="7">IF($G70=0,1,(N70+O70+P70)/($G70*3))</f>
        <v>1</v>
      </c>
      <c r="R70" s="748"/>
      <c r="S70" s="195" t="str">
        <f t="shared" ref="S70:S102" si="8">IF(ISNUMBER(SEARCH("Access Point",D70)),"AP",IF(OR(ISNUMBER(SEARCH("Switch",D70)),ISNUMBER(SEARCH("Control Type",D70))),"Switch","Infra"))</f>
        <v>Switch</v>
      </c>
      <c r="T70" s="495">
        <f t="shared" si="2"/>
        <v>244489</v>
      </c>
      <c r="U70" s="495">
        <f t="shared" si="3"/>
        <v>46164</v>
      </c>
      <c r="V70" s="495">
        <f t="shared" si="4"/>
        <v>244489</v>
      </c>
    </row>
    <row r="71" spans="1:22" s="749" customFormat="1">
      <c r="A71" s="849" t="s">
        <v>1465</v>
      </c>
      <c r="B71" s="744" t="s">
        <v>1423</v>
      </c>
      <c r="C71" s="845"/>
      <c r="D71" s="735" t="s">
        <v>39</v>
      </c>
      <c r="E71" s="836" t="s">
        <v>1386</v>
      </c>
      <c r="F71" s="735">
        <v>2</v>
      </c>
      <c r="G71" s="735">
        <v>2</v>
      </c>
      <c r="H71" s="736">
        <v>244490</v>
      </c>
      <c r="I71" s="736">
        <v>244491</v>
      </c>
      <c r="J71" s="745"/>
      <c r="K71" s="750"/>
      <c r="L71" s="747"/>
      <c r="M71" s="1215" t="s">
        <v>1383</v>
      </c>
      <c r="N71" s="739">
        <v>0</v>
      </c>
      <c r="O71" s="739">
        <v>0</v>
      </c>
      <c r="P71" s="740">
        <v>0</v>
      </c>
      <c r="Q71" s="741">
        <f t="shared" si="7"/>
        <v>0</v>
      </c>
      <c r="R71" s="748"/>
      <c r="S71" s="195" t="str">
        <f t="shared" si="8"/>
        <v>Switch</v>
      </c>
      <c r="T71" s="495">
        <f t="shared" ref="T71:T102" si="9">$H71</f>
        <v>244490</v>
      </c>
      <c r="U71" s="495">
        <f t="shared" ref="U71:U102" si="10">$J71</f>
        <v>0</v>
      </c>
      <c r="V71" s="495">
        <f t="shared" ref="V71:V102" si="11">$I71</f>
        <v>244491</v>
      </c>
    </row>
    <row r="72" spans="1:22" s="749" customFormat="1">
      <c r="A72" s="849" t="s">
        <v>1465</v>
      </c>
      <c r="B72" s="744" t="s">
        <v>1423</v>
      </c>
      <c r="C72" s="845"/>
      <c r="D72" s="735" t="s">
        <v>43</v>
      </c>
      <c r="E72" s="836" t="s">
        <v>1382</v>
      </c>
      <c r="F72" s="735">
        <v>5</v>
      </c>
      <c r="G72" s="735">
        <v>5</v>
      </c>
      <c r="H72" s="736">
        <v>244490</v>
      </c>
      <c r="I72" s="736">
        <v>244491</v>
      </c>
      <c r="J72" s="736">
        <v>244469</v>
      </c>
      <c r="K72" s="736">
        <v>244469</v>
      </c>
      <c r="L72" s="747"/>
      <c r="M72" s="1215"/>
      <c r="N72" s="739">
        <v>5</v>
      </c>
      <c r="O72" s="739">
        <v>5</v>
      </c>
      <c r="P72" s="740">
        <v>5</v>
      </c>
      <c r="Q72" s="741">
        <f t="shared" si="7"/>
        <v>1</v>
      </c>
      <c r="R72" s="748"/>
      <c r="S72" s="195" t="str">
        <f t="shared" si="8"/>
        <v>Switch</v>
      </c>
      <c r="T72" s="495">
        <f t="shared" si="9"/>
        <v>244490</v>
      </c>
      <c r="U72" s="495">
        <f t="shared" si="10"/>
        <v>244469</v>
      </c>
      <c r="V72" s="495">
        <f t="shared" si="11"/>
        <v>244491</v>
      </c>
    </row>
    <row r="73" spans="1:22" s="749" customFormat="1">
      <c r="A73" s="849" t="s">
        <v>1466</v>
      </c>
      <c r="B73" s="744" t="s">
        <v>1426</v>
      </c>
      <c r="C73" s="832"/>
      <c r="D73" s="735" t="s">
        <v>39</v>
      </c>
      <c r="E73" s="836" t="s">
        <v>1386</v>
      </c>
      <c r="F73" s="735">
        <v>2</v>
      </c>
      <c r="G73" s="735">
        <v>2</v>
      </c>
      <c r="H73" s="736">
        <v>244492</v>
      </c>
      <c r="I73" s="736">
        <v>244493</v>
      </c>
      <c r="J73" s="745"/>
      <c r="K73" s="750"/>
      <c r="L73" s="747"/>
      <c r="M73" s="1215" t="s">
        <v>1467</v>
      </c>
      <c r="N73" s="739">
        <v>0</v>
      </c>
      <c r="O73" s="739">
        <v>0</v>
      </c>
      <c r="P73" s="740">
        <v>0</v>
      </c>
      <c r="Q73" s="741">
        <f t="shared" si="7"/>
        <v>0</v>
      </c>
      <c r="R73" s="748"/>
      <c r="S73" s="195" t="str">
        <f t="shared" si="8"/>
        <v>Switch</v>
      </c>
      <c r="T73" s="495">
        <f t="shared" si="9"/>
        <v>244492</v>
      </c>
      <c r="U73" s="495">
        <f t="shared" si="10"/>
        <v>0</v>
      </c>
      <c r="V73" s="495">
        <f t="shared" si="11"/>
        <v>244493</v>
      </c>
    </row>
    <row r="74" spans="1:22" s="749" customFormat="1">
      <c r="A74" s="849" t="s">
        <v>1466</v>
      </c>
      <c r="B74" s="744" t="s">
        <v>1426</v>
      </c>
      <c r="C74" s="832"/>
      <c r="D74" s="735" t="s">
        <v>43</v>
      </c>
      <c r="E74" s="836" t="s">
        <v>1382</v>
      </c>
      <c r="F74" s="735">
        <v>4</v>
      </c>
      <c r="G74" s="735">
        <v>4</v>
      </c>
      <c r="H74" s="736">
        <v>244492</v>
      </c>
      <c r="I74" s="736">
        <v>244493</v>
      </c>
      <c r="J74" s="736">
        <v>244466</v>
      </c>
      <c r="K74" s="736">
        <v>244466</v>
      </c>
      <c r="L74" s="747"/>
      <c r="M74" s="1215"/>
      <c r="N74" s="739">
        <v>4</v>
      </c>
      <c r="O74" s="739">
        <v>4</v>
      </c>
      <c r="P74" s="740">
        <v>4</v>
      </c>
      <c r="Q74" s="741">
        <f t="shared" si="7"/>
        <v>1</v>
      </c>
      <c r="R74" s="748"/>
      <c r="S74" s="195" t="str">
        <f t="shared" si="8"/>
        <v>Switch</v>
      </c>
      <c r="T74" s="495">
        <f t="shared" si="9"/>
        <v>244492</v>
      </c>
      <c r="U74" s="495">
        <f t="shared" si="10"/>
        <v>244466</v>
      </c>
      <c r="V74" s="495">
        <f t="shared" si="11"/>
        <v>244493</v>
      </c>
    </row>
    <row r="75" spans="1:22" s="749" customFormat="1">
      <c r="A75" s="764" t="s">
        <v>1468</v>
      </c>
      <c r="B75" s="831" t="s">
        <v>1426</v>
      </c>
      <c r="C75" s="832"/>
      <c r="D75" s="735" t="s">
        <v>43</v>
      </c>
      <c r="E75" s="836" t="s">
        <v>1382</v>
      </c>
      <c r="F75" s="735">
        <v>4</v>
      </c>
      <c r="G75" s="735">
        <v>4</v>
      </c>
      <c r="H75" s="736">
        <v>244494</v>
      </c>
      <c r="I75" s="736">
        <v>244495</v>
      </c>
      <c r="J75" s="736">
        <v>244466</v>
      </c>
      <c r="K75" s="736">
        <v>46140</v>
      </c>
      <c r="L75" s="747"/>
      <c r="M75" s="917" t="s">
        <v>1469</v>
      </c>
      <c r="N75" s="739">
        <v>4</v>
      </c>
      <c r="O75" s="739">
        <v>4</v>
      </c>
      <c r="P75" s="740">
        <v>4</v>
      </c>
      <c r="Q75" s="741">
        <f t="shared" si="7"/>
        <v>1</v>
      </c>
      <c r="R75" s="748"/>
      <c r="S75" s="195" t="str">
        <f t="shared" si="8"/>
        <v>Switch</v>
      </c>
      <c r="T75" s="495">
        <f t="shared" si="9"/>
        <v>244494</v>
      </c>
      <c r="U75" s="495">
        <f t="shared" si="10"/>
        <v>244466</v>
      </c>
      <c r="V75" s="495">
        <f t="shared" si="11"/>
        <v>244495</v>
      </c>
    </row>
    <row r="76" spans="1:22" s="749" customFormat="1">
      <c r="A76" s="764" t="s">
        <v>1468</v>
      </c>
      <c r="B76" s="831" t="s">
        <v>1426</v>
      </c>
      <c r="C76" s="832"/>
      <c r="D76" s="735" t="s">
        <v>1470</v>
      </c>
      <c r="E76" s="836" t="s">
        <v>1471</v>
      </c>
      <c r="F76" s="735">
        <v>1</v>
      </c>
      <c r="G76" s="735">
        <v>1</v>
      </c>
      <c r="H76" s="736">
        <v>244494</v>
      </c>
      <c r="I76" s="736">
        <v>244495</v>
      </c>
      <c r="J76" s="736">
        <v>244466</v>
      </c>
      <c r="K76" s="736">
        <v>244466</v>
      </c>
      <c r="L76" s="747"/>
      <c r="M76" s="917" t="s">
        <v>1383</v>
      </c>
      <c r="N76" s="739">
        <v>1</v>
      </c>
      <c r="O76" s="739">
        <v>1</v>
      </c>
      <c r="P76" s="740">
        <v>1</v>
      </c>
      <c r="Q76" s="741">
        <f t="shared" si="7"/>
        <v>1</v>
      </c>
      <c r="R76" s="748"/>
      <c r="S76" s="195" t="str">
        <f t="shared" si="8"/>
        <v>Switch</v>
      </c>
      <c r="T76" s="495">
        <f t="shared" si="9"/>
        <v>244494</v>
      </c>
      <c r="U76" s="495">
        <f t="shared" si="10"/>
        <v>244466</v>
      </c>
      <c r="V76" s="495">
        <f t="shared" si="11"/>
        <v>244495</v>
      </c>
    </row>
    <row r="77" spans="1:22" s="749" customFormat="1">
      <c r="A77" s="764" t="s">
        <v>1472</v>
      </c>
      <c r="B77" s="831" t="s">
        <v>1423</v>
      </c>
      <c r="C77" s="832"/>
      <c r="D77" s="735" t="s">
        <v>43</v>
      </c>
      <c r="E77" s="836" t="s">
        <v>1382</v>
      </c>
      <c r="F77" s="735">
        <v>1</v>
      </c>
      <c r="G77" s="753">
        <v>0</v>
      </c>
      <c r="H77" s="736" t="s">
        <v>1473</v>
      </c>
      <c r="I77" s="754" t="s">
        <v>41</v>
      </c>
      <c r="J77" s="745"/>
      <c r="K77" s="750"/>
      <c r="L77" s="757"/>
      <c r="M77" s="917" t="s">
        <v>1383</v>
      </c>
      <c r="N77" s="739">
        <v>0</v>
      </c>
      <c r="O77" s="739">
        <v>0</v>
      </c>
      <c r="P77" s="740">
        <v>0</v>
      </c>
      <c r="Q77" s="741">
        <f t="shared" si="7"/>
        <v>1</v>
      </c>
      <c r="R77" s="748"/>
      <c r="S77" s="195" t="str">
        <f t="shared" si="8"/>
        <v>Switch</v>
      </c>
      <c r="T77" s="495" t="str">
        <f t="shared" si="9"/>
        <v> '-</v>
      </c>
      <c r="U77" s="495">
        <f t="shared" si="10"/>
        <v>0</v>
      </c>
      <c r="V77" s="495" t="str">
        <f t="shared" si="11"/>
        <v>-</v>
      </c>
    </row>
    <row r="78" spans="1:22" s="749" customFormat="1">
      <c r="A78" s="764" t="s">
        <v>1474</v>
      </c>
      <c r="B78" s="831" t="s">
        <v>115</v>
      </c>
      <c r="C78" s="832"/>
      <c r="D78" s="735" t="s">
        <v>43</v>
      </c>
      <c r="E78" s="836" t="s">
        <v>1382</v>
      </c>
      <c r="F78" s="735">
        <v>1</v>
      </c>
      <c r="G78" s="735">
        <v>1</v>
      </c>
      <c r="H78" s="736">
        <v>244485</v>
      </c>
      <c r="I78" s="736">
        <v>244485</v>
      </c>
      <c r="J78" s="736">
        <v>46148</v>
      </c>
      <c r="K78" s="736">
        <v>46148</v>
      </c>
      <c r="L78" s="747"/>
      <c r="M78" s="917" t="s">
        <v>1475</v>
      </c>
      <c r="N78" s="739">
        <v>1</v>
      </c>
      <c r="O78" s="739">
        <v>1</v>
      </c>
      <c r="P78" s="740">
        <v>1</v>
      </c>
      <c r="Q78" s="741">
        <f t="shared" si="7"/>
        <v>1</v>
      </c>
      <c r="R78" s="748"/>
      <c r="S78" s="195" t="str">
        <f t="shared" si="8"/>
        <v>Switch</v>
      </c>
      <c r="T78" s="495">
        <f t="shared" si="9"/>
        <v>244485</v>
      </c>
      <c r="U78" s="495">
        <f t="shared" si="10"/>
        <v>46148</v>
      </c>
      <c r="V78" s="495">
        <f t="shared" si="11"/>
        <v>244485</v>
      </c>
    </row>
    <row r="79" spans="1:22" s="749" customFormat="1" ht="42">
      <c r="A79" s="764" t="s">
        <v>1476</v>
      </c>
      <c r="B79" s="831" t="s">
        <v>1477</v>
      </c>
      <c r="C79" s="832"/>
      <c r="D79" s="735" t="s">
        <v>43</v>
      </c>
      <c r="E79" s="836" t="s">
        <v>1382</v>
      </c>
      <c r="F79" s="735">
        <v>1</v>
      </c>
      <c r="G79" s="735">
        <v>1</v>
      </c>
      <c r="H79" s="736">
        <v>244499</v>
      </c>
      <c r="I79" s="736">
        <v>244499</v>
      </c>
      <c r="J79" s="736"/>
      <c r="K79" s="736"/>
      <c r="L79" s="747"/>
      <c r="M79" s="917" t="s">
        <v>1383</v>
      </c>
      <c r="N79" s="739">
        <v>0</v>
      </c>
      <c r="O79" s="739">
        <v>0</v>
      </c>
      <c r="P79" s="740">
        <v>0</v>
      </c>
      <c r="Q79" s="741">
        <f t="shared" si="7"/>
        <v>0</v>
      </c>
      <c r="R79" s="748"/>
      <c r="S79" s="195" t="str">
        <f t="shared" si="8"/>
        <v>Switch</v>
      </c>
      <c r="T79" s="495">
        <f t="shared" si="9"/>
        <v>244499</v>
      </c>
      <c r="U79" s="495">
        <f t="shared" si="10"/>
        <v>0</v>
      </c>
      <c r="V79" s="495">
        <f t="shared" si="11"/>
        <v>244499</v>
      </c>
    </row>
    <row r="80" spans="1:22" s="749" customFormat="1">
      <c r="A80" s="764" t="s">
        <v>1478</v>
      </c>
      <c r="B80" s="831" t="s">
        <v>70</v>
      </c>
      <c r="C80" s="832"/>
      <c r="D80" s="735" t="s">
        <v>43</v>
      </c>
      <c r="E80" s="836" t="s">
        <v>1382</v>
      </c>
      <c r="F80" s="735">
        <v>1</v>
      </c>
      <c r="G80" s="735">
        <v>1</v>
      </c>
      <c r="H80" s="736">
        <v>244499</v>
      </c>
      <c r="I80" s="736">
        <v>244499</v>
      </c>
      <c r="J80" s="736">
        <v>244467</v>
      </c>
      <c r="K80" s="736">
        <v>244467</v>
      </c>
      <c r="L80" s="747"/>
      <c r="M80" s="917" t="s">
        <v>1383</v>
      </c>
      <c r="N80" s="739">
        <v>1</v>
      </c>
      <c r="O80" s="739">
        <v>1</v>
      </c>
      <c r="P80" s="740">
        <v>1</v>
      </c>
      <c r="Q80" s="741">
        <f t="shared" si="7"/>
        <v>1</v>
      </c>
      <c r="R80" s="748"/>
      <c r="S80" s="195" t="str">
        <f t="shared" si="8"/>
        <v>Switch</v>
      </c>
      <c r="T80" s="495">
        <f t="shared" si="9"/>
        <v>244499</v>
      </c>
      <c r="U80" s="495">
        <f t="shared" si="10"/>
        <v>244467</v>
      </c>
      <c r="V80" s="495">
        <f t="shared" si="11"/>
        <v>244499</v>
      </c>
    </row>
    <row r="81" spans="1:22" s="749" customFormat="1">
      <c r="A81" s="764" t="s">
        <v>1479</v>
      </c>
      <c r="B81" s="744" t="s">
        <v>1480</v>
      </c>
      <c r="C81" s="845"/>
      <c r="D81" s="735" t="s">
        <v>39</v>
      </c>
      <c r="E81" s="836" t="s">
        <v>1386</v>
      </c>
      <c r="F81" s="735">
        <v>1</v>
      </c>
      <c r="G81" s="735">
        <v>1</v>
      </c>
      <c r="H81" s="736">
        <v>244478</v>
      </c>
      <c r="I81" s="736">
        <v>244478</v>
      </c>
      <c r="J81" s="736">
        <v>244461</v>
      </c>
      <c r="K81" s="736">
        <v>244461</v>
      </c>
      <c r="L81" s="747"/>
      <c r="M81" s="1215" t="s">
        <v>1481</v>
      </c>
      <c r="N81" s="735">
        <v>1</v>
      </c>
      <c r="O81" s="735">
        <v>1</v>
      </c>
      <c r="P81" s="735">
        <v>1</v>
      </c>
      <c r="Q81" s="741">
        <f t="shared" si="7"/>
        <v>1</v>
      </c>
      <c r="R81" s="748"/>
      <c r="S81" s="195" t="str">
        <f t="shared" si="8"/>
        <v>Switch</v>
      </c>
      <c r="T81" s="495">
        <f t="shared" si="9"/>
        <v>244478</v>
      </c>
      <c r="U81" s="495">
        <f t="shared" si="10"/>
        <v>244461</v>
      </c>
      <c r="V81" s="495">
        <f t="shared" si="11"/>
        <v>244478</v>
      </c>
    </row>
    <row r="82" spans="1:22" s="749" customFormat="1">
      <c r="A82" s="764" t="s">
        <v>1482</v>
      </c>
      <c r="B82" s="744" t="s">
        <v>1480</v>
      </c>
      <c r="C82" s="832"/>
      <c r="D82" s="735" t="s">
        <v>43</v>
      </c>
      <c r="E82" s="836" t="s">
        <v>1382</v>
      </c>
      <c r="F82" s="735">
        <v>1</v>
      </c>
      <c r="G82" s="735">
        <v>1</v>
      </c>
      <c r="H82" s="736">
        <v>244478</v>
      </c>
      <c r="I82" s="736">
        <v>244478</v>
      </c>
      <c r="J82" s="736">
        <v>244461</v>
      </c>
      <c r="K82" s="736">
        <v>244461</v>
      </c>
      <c r="L82" s="747"/>
      <c r="M82" s="1215"/>
      <c r="N82" s="735">
        <v>1</v>
      </c>
      <c r="O82" s="735">
        <v>1</v>
      </c>
      <c r="P82" s="735">
        <v>1</v>
      </c>
      <c r="Q82" s="741">
        <f t="shared" si="7"/>
        <v>1</v>
      </c>
      <c r="R82" s="748"/>
      <c r="S82" s="195" t="str">
        <f t="shared" si="8"/>
        <v>Switch</v>
      </c>
      <c r="T82" s="495">
        <f t="shared" si="9"/>
        <v>244478</v>
      </c>
      <c r="U82" s="495">
        <f t="shared" si="10"/>
        <v>244461</v>
      </c>
      <c r="V82" s="495">
        <f t="shared" si="11"/>
        <v>244478</v>
      </c>
    </row>
    <row r="83" spans="1:22" s="749" customFormat="1">
      <c r="A83" s="764" t="s">
        <v>1483</v>
      </c>
      <c r="B83" s="831" t="s">
        <v>1484</v>
      </c>
      <c r="C83" s="832"/>
      <c r="D83" s="735" t="s">
        <v>43</v>
      </c>
      <c r="E83" s="836" t="s">
        <v>1382</v>
      </c>
      <c r="F83" s="735">
        <v>1</v>
      </c>
      <c r="G83" s="735">
        <v>1</v>
      </c>
      <c r="H83" s="736">
        <v>244478</v>
      </c>
      <c r="I83" s="736">
        <v>244478</v>
      </c>
      <c r="J83" s="736">
        <v>244466</v>
      </c>
      <c r="K83" s="736">
        <v>46139</v>
      </c>
      <c r="L83" s="747"/>
      <c r="M83" s="917" t="s">
        <v>1481</v>
      </c>
      <c r="N83" s="739">
        <v>1</v>
      </c>
      <c r="O83" s="739">
        <v>1</v>
      </c>
      <c r="P83" s="740">
        <v>1</v>
      </c>
      <c r="Q83" s="741">
        <f t="shared" si="7"/>
        <v>1</v>
      </c>
      <c r="R83" s="748"/>
      <c r="S83" s="195" t="str">
        <f t="shared" si="8"/>
        <v>Switch</v>
      </c>
      <c r="T83" s="495">
        <f t="shared" si="9"/>
        <v>244478</v>
      </c>
      <c r="U83" s="495">
        <f t="shared" si="10"/>
        <v>244466</v>
      </c>
      <c r="V83" s="495">
        <f t="shared" si="11"/>
        <v>244478</v>
      </c>
    </row>
    <row r="84" spans="1:22" s="749" customFormat="1" ht="42">
      <c r="A84" s="849" t="s">
        <v>1485</v>
      </c>
      <c r="B84" s="831" t="s">
        <v>1426</v>
      </c>
      <c r="C84" s="454"/>
      <c r="D84" s="735" t="s">
        <v>43</v>
      </c>
      <c r="E84" s="836" t="s">
        <v>1382</v>
      </c>
      <c r="F84" s="735">
        <v>7</v>
      </c>
      <c r="G84" s="735">
        <v>7</v>
      </c>
      <c r="H84" s="736">
        <v>244484</v>
      </c>
      <c r="I84" s="736">
        <v>244484</v>
      </c>
      <c r="J84" s="736">
        <v>46156</v>
      </c>
      <c r="K84" s="736">
        <v>46156</v>
      </c>
      <c r="L84" s="747"/>
      <c r="M84" s="1215" t="s">
        <v>1486</v>
      </c>
      <c r="N84" s="735">
        <v>7</v>
      </c>
      <c r="O84" s="735">
        <v>7</v>
      </c>
      <c r="P84" s="735">
        <v>7</v>
      </c>
      <c r="Q84" s="741">
        <f t="shared" si="7"/>
        <v>1</v>
      </c>
      <c r="R84" s="748"/>
      <c r="S84" s="195" t="str">
        <f t="shared" si="8"/>
        <v>Switch</v>
      </c>
      <c r="T84" s="495">
        <f t="shared" si="9"/>
        <v>244484</v>
      </c>
      <c r="U84" s="495">
        <f t="shared" si="10"/>
        <v>46156</v>
      </c>
      <c r="V84" s="495">
        <f t="shared" si="11"/>
        <v>244484</v>
      </c>
    </row>
    <row r="85" spans="1:22" s="749" customFormat="1" ht="42">
      <c r="A85" s="849" t="s">
        <v>1485</v>
      </c>
      <c r="B85" s="831" t="s">
        <v>1426</v>
      </c>
      <c r="C85" s="845"/>
      <c r="D85" s="735" t="s">
        <v>1470</v>
      </c>
      <c r="E85" s="836" t="s">
        <v>1471</v>
      </c>
      <c r="F85" s="735">
        <v>1</v>
      </c>
      <c r="G85" s="735">
        <v>1</v>
      </c>
      <c r="H85" s="736">
        <v>244484</v>
      </c>
      <c r="I85" s="736">
        <v>244484</v>
      </c>
      <c r="J85" s="736">
        <v>46156</v>
      </c>
      <c r="K85" s="736">
        <v>46156</v>
      </c>
      <c r="L85" s="747"/>
      <c r="M85" s="1215"/>
      <c r="N85" s="735">
        <v>1</v>
      </c>
      <c r="O85" s="735">
        <v>1</v>
      </c>
      <c r="P85" s="735">
        <v>1</v>
      </c>
      <c r="Q85" s="741">
        <f t="shared" si="7"/>
        <v>1</v>
      </c>
      <c r="R85" s="748"/>
      <c r="S85" s="195" t="str">
        <f t="shared" si="8"/>
        <v>Switch</v>
      </c>
      <c r="T85" s="495">
        <f t="shared" si="9"/>
        <v>244484</v>
      </c>
      <c r="U85" s="495">
        <f t="shared" si="10"/>
        <v>46156</v>
      </c>
      <c r="V85" s="495">
        <f t="shared" si="11"/>
        <v>244484</v>
      </c>
    </row>
    <row r="86" spans="1:22" s="749" customFormat="1">
      <c r="A86" s="851" t="s">
        <v>1487</v>
      </c>
      <c r="B86" s="846" t="s">
        <v>1488</v>
      </c>
      <c r="C86" s="845"/>
      <c r="D86" s="760" t="s">
        <v>43</v>
      </c>
      <c r="E86" s="856" t="s">
        <v>1382</v>
      </c>
      <c r="F86" s="760">
        <v>1</v>
      </c>
      <c r="G86" s="760">
        <v>1</v>
      </c>
      <c r="H86" s="736">
        <v>244459</v>
      </c>
      <c r="I86" s="736">
        <v>244460</v>
      </c>
      <c r="J86" s="736">
        <v>46157</v>
      </c>
      <c r="K86" s="736">
        <v>46157</v>
      </c>
      <c r="L86" s="747"/>
      <c r="M86" s="761" t="s">
        <v>1383</v>
      </c>
      <c r="N86" s="760">
        <v>1</v>
      </c>
      <c r="O86" s="760">
        <v>1</v>
      </c>
      <c r="P86" s="760">
        <v>1</v>
      </c>
      <c r="Q86" s="741">
        <f t="shared" si="7"/>
        <v>1</v>
      </c>
      <c r="R86" s="748"/>
      <c r="S86" s="195" t="str">
        <f t="shared" si="8"/>
        <v>Switch</v>
      </c>
      <c r="T86" s="495">
        <f t="shared" si="9"/>
        <v>244459</v>
      </c>
      <c r="U86" s="495">
        <f t="shared" si="10"/>
        <v>46157</v>
      </c>
      <c r="V86" s="495">
        <f t="shared" si="11"/>
        <v>244460</v>
      </c>
    </row>
    <row r="87" spans="1:22" s="749" customFormat="1">
      <c r="A87" s="851" t="s">
        <v>1487</v>
      </c>
      <c r="B87" s="846" t="s">
        <v>1489</v>
      </c>
      <c r="C87" s="845"/>
      <c r="D87" s="760" t="s">
        <v>43</v>
      </c>
      <c r="E87" s="856" t="s">
        <v>1382</v>
      </c>
      <c r="F87" s="760">
        <v>1</v>
      </c>
      <c r="G87" s="760">
        <v>1</v>
      </c>
      <c r="H87" s="736">
        <v>244459</v>
      </c>
      <c r="I87" s="736">
        <v>244460</v>
      </c>
      <c r="J87" s="736">
        <v>244461</v>
      </c>
      <c r="K87" s="736">
        <v>244461</v>
      </c>
      <c r="L87" s="747"/>
      <c r="M87" s="761" t="s">
        <v>1383</v>
      </c>
      <c r="N87" s="739">
        <v>1</v>
      </c>
      <c r="O87" s="739">
        <v>1</v>
      </c>
      <c r="P87" s="740">
        <v>1</v>
      </c>
      <c r="Q87" s="741">
        <f t="shared" si="7"/>
        <v>1</v>
      </c>
      <c r="R87" s="748"/>
      <c r="S87" s="195" t="str">
        <f t="shared" si="8"/>
        <v>Switch</v>
      </c>
      <c r="T87" s="495">
        <f t="shared" si="9"/>
        <v>244459</v>
      </c>
      <c r="U87" s="495">
        <f t="shared" si="10"/>
        <v>244461</v>
      </c>
      <c r="V87" s="495">
        <f t="shared" si="11"/>
        <v>244460</v>
      </c>
    </row>
    <row r="88" spans="1:22" s="749" customFormat="1">
      <c r="A88" s="851" t="s">
        <v>1487</v>
      </c>
      <c r="B88" s="846" t="s">
        <v>1490</v>
      </c>
      <c r="C88" s="454"/>
      <c r="D88" s="760" t="s">
        <v>43</v>
      </c>
      <c r="E88" s="856" t="s">
        <v>1382</v>
      </c>
      <c r="F88" s="760">
        <v>1</v>
      </c>
      <c r="G88" s="760">
        <v>1</v>
      </c>
      <c r="H88" s="736">
        <v>244459</v>
      </c>
      <c r="I88" s="736">
        <v>244460</v>
      </c>
      <c r="J88" s="736">
        <v>244461</v>
      </c>
      <c r="K88" s="736">
        <v>244461</v>
      </c>
      <c r="L88" s="747"/>
      <c r="M88" s="761" t="s">
        <v>1383</v>
      </c>
      <c r="N88" s="739">
        <v>1</v>
      </c>
      <c r="O88" s="739">
        <v>1</v>
      </c>
      <c r="P88" s="740">
        <v>1</v>
      </c>
      <c r="Q88" s="741">
        <f t="shared" si="7"/>
        <v>1</v>
      </c>
      <c r="R88" s="748"/>
      <c r="S88" s="195" t="str">
        <f t="shared" si="8"/>
        <v>Switch</v>
      </c>
      <c r="T88" s="495">
        <f t="shared" si="9"/>
        <v>244459</v>
      </c>
      <c r="U88" s="495">
        <f t="shared" si="10"/>
        <v>244461</v>
      </c>
      <c r="V88" s="495">
        <f t="shared" si="11"/>
        <v>244460</v>
      </c>
    </row>
    <row r="89" spans="1:22" s="749" customFormat="1">
      <c r="A89" s="851" t="s">
        <v>1487</v>
      </c>
      <c r="B89" s="846" t="s">
        <v>1491</v>
      </c>
      <c r="C89" s="847"/>
      <c r="D89" s="760" t="s">
        <v>43</v>
      </c>
      <c r="E89" s="856" t="s">
        <v>1382</v>
      </c>
      <c r="F89" s="760">
        <v>1</v>
      </c>
      <c r="G89" s="760">
        <v>1</v>
      </c>
      <c r="H89" s="736">
        <v>244459</v>
      </c>
      <c r="I89" s="736">
        <v>244460</v>
      </c>
      <c r="J89" s="736">
        <v>244461</v>
      </c>
      <c r="K89" s="736">
        <v>244461</v>
      </c>
      <c r="L89" s="747"/>
      <c r="M89" s="761" t="s">
        <v>1383</v>
      </c>
      <c r="N89" s="739">
        <v>1</v>
      </c>
      <c r="O89" s="739">
        <v>1</v>
      </c>
      <c r="P89" s="740">
        <v>1</v>
      </c>
      <c r="Q89" s="741">
        <f t="shared" si="7"/>
        <v>1</v>
      </c>
      <c r="R89" s="748"/>
      <c r="S89" s="195" t="str">
        <f t="shared" si="8"/>
        <v>Switch</v>
      </c>
      <c r="T89" s="495">
        <f t="shared" si="9"/>
        <v>244459</v>
      </c>
      <c r="U89" s="495">
        <f t="shared" si="10"/>
        <v>244461</v>
      </c>
      <c r="V89" s="495">
        <f t="shared" si="11"/>
        <v>244460</v>
      </c>
    </row>
    <row r="90" spans="1:22" s="749" customFormat="1">
      <c r="A90" s="851" t="s">
        <v>1487</v>
      </c>
      <c r="B90" s="846" t="s">
        <v>1492</v>
      </c>
      <c r="C90" s="832"/>
      <c r="D90" s="760" t="s">
        <v>43</v>
      </c>
      <c r="E90" s="856" t="s">
        <v>1382</v>
      </c>
      <c r="F90" s="760">
        <v>1</v>
      </c>
      <c r="G90" s="760">
        <v>1</v>
      </c>
      <c r="H90" s="736">
        <v>244459</v>
      </c>
      <c r="I90" s="736">
        <v>244460</v>
      </c>
      <c r="J90" s="736">
        <v>244461</v>
      </c>
      <c r="K90" s="736">
        <v>244461</v>
      </c>
      <c r="L90" s="747"/>
      <c r="M90" s="761" t="s">
        <v>1383</v>
      </c>
      <c r="N90" s="739">
        <v>1</v>
      </c>
      <c r="O90" s="739">
        <v>1</v>
      </c>
      <c r="P90" s="740">
        <v>1</v>
      </c>
      <c r="Q90" s="741">
        <f t="shared" si="7"/>
        <v>1</v>
      </c>
      <c r="R90" s="748"/>
      <c r="S90" s="195" t="str">
        <f t="shared" si="8"/>
        <v>Switch</v>
      </c>
      <c r="T90" s="495">
        <f t="shared" si="9"/>
        <v>244459</v>
      </c>
      <c r="U90" s="495">
        <f t="shared" si="10"/>
        <v>244461</v>
      </c>
      <c r="V90" s="495">
        <f t="shared" si="11"/>
        <v>244460</v>
      </c>
    </row>
    <row r="91" spans="1:22" s="749" customFormat="1">
      <c r="A91" s="851" t="s">
        <v>1487</v>
      </c>
      <c r="B91" s="846" t="s">
        <v>1493</v>
      </c>
      <c r="C91" s="832"/>
      <c r="D91" s="760" t="s">
        <v>43</v>
      </c>
      <c r="E91" s="856" t="s">
        <v>1382</v>
      </c>
      <c r="F91" s="760">
        <v>1</v>
      </c>
      <c r="G91" s="760">
        <v>1</v>
      </c>
      <c r="H91" s="736">
        <v>244459</v>
      </c>
      <c r="I91" s="736">
        <v>244460</v>
      </c>
      <c r="J91" s="736">
        <v>244461</v>
      </c>
      <c r="K91" s="736">
        <v>244461</v>
      </c>
      <c r="L91" s="747"/>
      <c r="M91" s="761" t="s">
        <v>1383</v>
      </c>
      <c r="N91" s="739">
        <v>1</v>
      </c>
      <c r="O91" s="739">
        <v>1</v>
      </c>
      <c r="P91" s="740">
        <v>1</v>
      </c>
      <c r="Q91" s="741">
        <f t="shared" si="7"/>
        <v>1</v>
      </c>
      <c r="R91" s="748"/>
      <c r="S91" s="195" t="str">
        <f t="shared" si="8"/>
        <v>Switch</v>
      </c>
      <c r="T91" s="495">
        <f t="shared" si="9"/>
        <v>244459</v>
      </c>
      <c r="U91" s="495">
        <f t="shared" si="10"/>
        <v>244461</v>
      </c>
      <c r="V91" s="495">
        <f t="shared" si="11"/>
        <v>244460</v>
      </c>
    </row>
    <row r="92" spans="1:22" s="749" customFormat="1">
      <c r="A92" s="851" t="s">
        <v>1487</v>
      </c>
      <c r="B92" s="846" t="s">
        <v>1494</v>
      </c>
      <c r="C92" s="845"/>
      <c r="D92" s="760" t="s">
        <v>43</v>
      </c>
      <c r="E92" s="856" t="s">
        <v>1382</v>
      </c>
      <c r="F92" s="760">
        <v>1</v>
      </c>
      <c r="G92" s="760">
        <v>1</v>
      </c>
      <c r="H92" s="736">
        <v>244459</v>
      </c>
      <c r="I92" s="736">
        <v>244460</v>
      </c>
      <c r="J92" s="736">
        <v>244461</v>
      </c>
      <c r="K92" s="736">
        <v>244461</v>
      </c>
      <c r="L92" s="747"/>
      <c r="M92" s="761" t="s">
        <v>1383</v>
      </c>
      <c r="N92" s="739">
        <v>1</v>
      </c>
      <c r="O92" s="739">
        <v>1</v>
      </c>
      <c r="P92" s="740">
        <v>1</v>
      </c>
      <c r="Q92" s="741">
        <f t="shared" ref="Q92:Q93" si="12">IF($G92=0,1,(N92+O92+P92)/($G92*3))</f>
        <v>1</v>
      </c>
      <c r="R92" s="748"/>
      <c r="S92" s="195" t="str">
        <f t="shared" si="8"/>
        <v>Switch</v>
      </c>
      <c r="T92" s="495">
        <f t="shared" si="9"/>
        <v>244459</v>
      </c>
      <c r="U92" s="495">
        <f t="shared" si="10"/>
        <v>244461</v>
      </c>
      <c r="V92" s="495">
        <f t="shared" si="11"/>
        <v>244460</v>
      </c>
    </row>
    <row r="93" spans="1:22" s="749" customFormat="1">
      <c r="A93" s="851" t="s">
        <v>1487</v>
      </c>
      <c r="B93" s="846" t="s">
        <v>1495</v>
      </c>
      <c r="C93" s="454"/>
      <c r="D93" s="760" t="s">
        <v>43</v>
      </c>
      <c r="E93" s="856" t="s">
        <v>1382</v>
      </c>
      <c r="F93" s="760">
        <v>1</v>
      </c>
      <c r="G93" s="760">
        <v>1</v>
      </c>
      <c r="H93" s="736">
        <v>244459</v>
      </c>
      <c r="I93" s="736">
        <v>244460</v>
      </c>
      <c r="J93" s="736">
        <v>46157</v>
      </c>
      <c r="K93" s="736">
        <v>46157</v>
      </c>
      <c r="L93" s="747"/>
      <c r="M93" s="761"/>
      <c r="N93" s="760">
        <v>1</v>
      </c>
      <c r="O93" s="760">
        <v>1</v>
      </c>
      <c r="P93" s="760">
        <v>1</v>
      </c>
      <c r="Q93" s="741">
        <f t="shared" si="12"/>
        <v>1</v>
      </c>
      <c r="R93" s="748"/>
      <c r="S93" s="195" t="str">
        <f t="shared" si="8"/>
        <v>Switch</v>
      </c>
      <c r="T93" s="495">
        <f t="shared" si="9"/>
        <v>244459</v>
      </c>
      <c r="U93" s="495">
        <f t="shared" si="10"/>
        <v>46157</v>
      </c>
      <c r="V93" s="495">
        <f t="shared" si="11"/>
        <v>244460</v>
      </c>
    </row>
    <row r="94" spans="1:22" s="749" customFormat="1">
      <c r="A94" s="851" t="s">
        <v>1487</v>
      </c>
      <c r="B94" s="846" t="s">
        <v>1496</v>
      </c>
      <c r="C94" s="454"/>
      <c r="D94" s="760" t="s">
        <v>43</v>
      </c>
      <c r="E94" s="856" t="s">
        <v>1382</v>
      </c>
      <c r="F94" s="760">
        <v>1</v>
      </c>
      <c r="G94" s="760">
        <v>1</v>
      </c>
      <c r="H94" s="736">
        <v>244459</v>
      </c>
      <c r="I94" s="736">
        <v>244460</v>
      </c>
      <c r="J94" s="736">
        <v>46157</v>
      </c>
      <c r="K94" s="736">
        <v>46157</v>
      </c>
      <c r="L94" s="747"/>
      <c r="M94" s="761" t="s">
        <v>1383</v>
      </c>
      <c r="N94" s="760">
        <v>1</v>
      </c>
      <c r="O94" s="760">
        <v>1</v>
      </c>
      <c r="P94" s="760">
        <v>1</v>
      </c>
      <c r="Q94" s="741">
        <f t="shared" si="7"/>
        <v>1</v>
      </c>
      <c r="R94" s="748"/>
      <c r="S94" s="195" t="str">
        <f t="shared" si="8"/>
        <v>Switch</v>
      </c>
      <c r="T94" s="495">
        <f t="shared" si="9"/>
        <v>244459</v>
      </c>
      <c r="U94" s="495">
        <f t="shared" si="10"/>
        <v>46157</v>
      </c>
      <c r="V94" s="495">
        <f t="shared" si="11"/>
        <v>244460</v>
      </c>
    </row>
    <row r="95" spans="1:22" s="749" customFormat="1">
      <c r="A95" s="849" t="s">
        <v>1497</v>
      </c>
      <c r="B95" s="831" t="s">
        <v>1498</v>
      </c>
      <c r="C95" s="454"/>
      <c r="D95" s="760" t="s">
        <v>43</v>
      </c>
      <c r="E95" s="856" t="s">
        <v>1382</v>
      </c>
      <c r="F95" s="760">
        <v>5</v>
      </c>
      <c r="G95" s="762">
        <v>0</v>
      </c>
      <c r="H95" s="736" t="s">
        <v>41</v>
      </c>
      <c r="I95" s="754" t="s">
        <v>41</v>
      </c>
      <c r="J95" s="745"/>
      <c r="K95" s="750"/>
      <c r="L95" s="747"/>
      <c r="M95" s="917" t="s">
        <v>1499</v>
      </c>
      <c r="N95" s="739">
        <v>0</v>
      </c>
      <c r="O95" s="739">
        <v>0</v>
      </c>
      <c r="P95" s="740">
        <v>0</v>
      </c>
      <c r="Q95" s="741">
        <f t="shared" si="7"/>
        <v>1</v>
      </c>
      <c r="R95" s="748"/>
      <c r="S95" s="195" t="str">
        <f t="shared" si="8"/>
        <v>Switch</v>
      </c>
      <c r="T95" s="495" t="str">
        <f t="shared" si="9"/>
        <v>-</v>
      </c>
      <c r="U95" s="495">
        <f t="shared" si="10"/>
        <v>0</v>
      </c>
      <c r="V95" s="495" t="str">
        <f t="shared" si="11"/>
        <v>-</v>
      </c>
    </row>
    <row r="96" spans="1:22" s="749" customFormat="1">
      <c r="A96" s="849" t="s">
        <v>1497</v>
      </c>
      <c r="B96" s="831" t="s">
        <v>1500</v>
      </c>
      <c r="C96" s="454"/>
      <c r="D96" s="760" t="s">
        <v>43</v>
      </c>
      <c r="E96" s="856" t="s">
        <v>1382</v>
      </c>
      <c r="F96" s="760">
        <v>6</v>
      </c>
      <c r="G96" s="762">
        <v>0</v>
      </c>
      <c r="H96" s="736" t="s">
        <v>41</v>
      </c>
      <c r="I96" s="754" t="s">
        <v>41</v>
      </c>
      <c r="J96" s="745"/>
      <c r="K96" s="750"/>
      <c r="L96" s="747"/>
      <c r="M96" s="917" t="s">
        <v>1501</v>
      </c>
      <c r="N96" s="739">
        <v>0</v>
      </c>
      <c r="O96" s="739">
        <v>0</v>
      </c>
      <c r="P96" s="740">
        <v>0</v>
      </c>
      <c r="Q96" s="741">
        <f t="shared" si="7"/>
        <v>1</v>
      </c>
      <c r="R96" s="748"/>
      <c r="S96" s="195" t="str">
        <f t="shared" si="8"/>
        <v>Switch</v>
      </c>
      <c r="T96" s="495" t="str">
        <f t="shared" si="9"/>
        <v>-</v>
      </c>
      <c r="U96" s="495">
        <f t="shared" si="10"/>
        <v>0</v>
      </c>
      <c r="V96" s="495" t="str">
        <f t="shared" si="11"/>
        <v>-</v>
      </c>
    </row>
    <row r="97" spans="1:22" s="749" customFormat="1">
      <c r="A97" s="849" t="s">
        <v>1497</v>
      </c>
      <c r="B97" s="831" t="s">
        <v>1502</v>
      </c>
      <c r="C97" s="454"/>
      <c r="D97" s="760" t="s">
        <v>43</v>
      </c>
      <c r="E97" s="856" t="s">
        <v>1382</v>
      </c>
      <c r="F97" s="760">
        <v>5</v>
      </c>
      <c r="G97" s="762">
        <v>0</v>
      </c>
      <c r="H97" s="736" t="s">
        <v>41</v>
      </c>
      <c r="I97" s="754" t="s">
        <v>41</v>
      </c>
      <c r="J97" s="745"/>
      <c r="K97" s="750"/>
      <c r="L97" s="747"/>
      <c r="M97" s="917" t="s">
        <v>1503</v>
      </c>
      <c r="N97" s="739">
        <v>0</v>
      </c>
      <c r="O97" s="739">
        <v>0</v>
      </c>
      <c r="P97" s="740">
        <v>0</v>
      </c>
      <c r="Q97" s="741">
        <f t="shared" si="7"/>
        <v>1</v>
      </c>
      <c r="R97" s="748"/>
      <c r="S97" s="195" t="str">
        <f t="shared" si="8"/>
        <v>Switch</v>
      </c>
      <c r="T97" s="495" t="str">
        <f t="shared" si="9"/>
        <v>-</v>
      </c>
      <c r="U97" s="495">
        <f t="shared" si="10"/>
        <v>0</v>
      </c>
      <c r="V97" s="495" t="str">
        <f t="shared" si="11"/>
        <v>-</v>
      </c>
    </row>
    <row r="98" spans="1:22" s="749" customFormat="1">
      <c r="A98" s="852"/>
      <c r="B98" s="848"/>
      <c r="C98" s="454"/>
      <c r="D98" s="760"/>
      <c r="E98" s="758"/>
      <c r="F98" s="759"/>
      <c r="G98" s="759"/>
      <c r="H98" s="736"/>
      <c r="I98" s="736"/>
      <c r="J98" s="745"/>
      <c r="K98" s="750"/>
      <c r="L98" s="747"/>
      <c r="M98" s="917"/>
      <c r="N98" s="739"/>
      <c r="O98" s="739"/>
      <c r="P98" s="740"/>
      <c r="Q98" s="741"/>
      <c r="R98" s="748"/>
      <c r="S98" s="195"/>
      <c r="T98" s="495"/>
      <c r="U98" s="495"/>
      <c r="V98" s="495"/>
    </row>
    <row r="99" spans="1:22" s="749" customFormat="1">
      <c r="A99" s="853" t="s">
        <v>146</v>
      </c>
      <c r="B99" s="792"/>
      <c r="C99" s="792"/>
      <c r="D99" s="792"/>
      <c r="E99" s="857"/>
      <c r="F99" s="792"/>
      <c r="G99" s="792"/>
      <c r="H99" s="792"/>
      <c r="I99" s="792"/>
      <c r="J99" s="793"/>
      <c r="K99" s="775"/>
      <c r="L99" s="776"/>
      <c r="M99" s="803"/>
      <c r="N99" s="777"/>
      <c r="O99" s="777"/>
      <c r="P99" s="778"/>
      <c r="Q99" s="779"/>
      <c r="R99" s="780"/>
      <c r="S99" s="473"/>
      <c r="T99" s="781"/>
      <c r="U99" s="781"/>
      <c r="V99" s="781"/>
    </row>
    <row r="100" spans="1:22" s="749" customFormat="1" ht="42">
      <c r="A100" s="764" t="s">
        <v>1384</v>
      </c>
      <c r="B100" s="765" t="s">
        <v>1504</v>
      </c>
      <c r="C100" s="454"/>
      <c r="D100" s="735" t="s">
        <v>43</v>
      </c>
      <c r="E100" s="836" t="s">
        <v>1382</v>
      </c>
      <c r="F100" s="753" t="s">
        <v>41</v>
      </c>
      <c r="G100" s="735">
        <v>1</v>
      </c>
      <c r="H100" s="736">
        <v>244516</v>
      </c>
      <c r="I100" s="751">
        <v>244516</v>
      </c>
      <c r="J100" s="736">
        <v>46168</v>
      </c>
      <c r="K100" s="736">
        <v>46168</v>
      </c>
      <c r="L100" s="747"/>
      <c r="M100" s="733" t="s">
        <v>1505</v>
      </c>
      <c r="N100" s="739">
        <v>1</v>
      </c>
      <c r="O100" s="739">
        <v>1</v>
      </c>
      <c r="P100" s="740">
        <v>1</v>
      </c>
      <c r="Q100" s="741">
        <f t="shared" si="7"/>
        <v>1</v>
      </c>
      <c r="R100" s="748"/>
      <c r="S100" s="195" t="str">
        <f t="shared" si="8"/>
        <v>Switch</v>
      </c>
      <c r="T100" s="495">
        <f t="shared" si="9"/>
        <v>244516</v>
      </c>
      <c r="U100" s="495">
        <f t="shared" si="10"/>
        <v>46168</v>
      </c>
      <c r="V100" s="495">
        <f t="shared" si="11"/>
        <v>244516</v>
      </c>
    </row>
    <row r="101" spans="1:22" s="994" customFormat="1" ht="42">
      <c r="A101" s="764" t="s">
        <v>1446</v>
      </c>
      <c r="B101" s="765" t="s">
        <v>1506</v>
      </c>
      <c r="C101" s="454"/>
      <c r="D101" s="987" t="s">
        <v>43</v>
      </c>
      <c r="E101" s="988" t="s">
        <v>1382</v>
      </c>
      <c r="F101" s="989" t="s">
        <v>41</v>
      </c>
      <c r="G101" s="987">
        <v>1</v>
      </c>
      <c r="H101" s="990">
        <v>244517</v>
      </c>
      <c r="I101" s="991">
        <v>244517</v>
      </c>
      <c r="J101" s="990"/>
      <c r="K101" s="990"/>
      <c r="L101" s="992"/>
      <c r="M101" s="983" t="s">
        <v>1507</v>
      </c>
      <c r="N101" s="984">
        <v>0</v>
      </c>
      <c r="O101" s="984">
        <v>0</v>
      </c>
      <c r="P101" s="985">
        <v>0</v>
      </c>
      <c r="Q101" s="986">
        <f t="shared" ref="Q101" si="13">IF($G101=0,1,(N101+O101+P101)/($G101*3))</f>
        <v>0</v>
      </c>
      <c r="R101" s="993"/>
      <c r="S101" s="8" t="str">
        <f t="shared" si="8"/>
        <v>Switch</v>
      </c>
      <c r="T101" s="522">
        <f t="shared" si="9"/>
        <v>244517</v>
      </c>
      <c r="U101" s="522">
        <f t="shared" si="10"/>
        <v>0</v>
      </c>
      <c r="V101" s="522">
        <f t="shared" si="11"/>
        <v>244517</v>
      </c>
    </row>
    <row r="102" spans="1:22" s="749" customFormat="1" ht="42">
      <c r="A102" s="764" t="s">
        <v>1508</v>
      </c>
      <c r="B102" s="831" t="s">
        <v>1509</v>
      </c>
      <c r="C102" s="454"/>
      <c r="D102" s="735" t="s">
        <v>43</v>
      </c>
      <c r="E102" s="836" t="s">
        <v>1382</v>
      </c>
      <c r="F102" s="753" t="s">
        <v>41</v>
      </c>
      <c r="G102" s="735">
        <v>1</v>
      </c>
      <c r="H102" s="736">
        <v>244489</v>
      </c>
      <c r="I102" s="751">
        <v>244489</v>
      </c>
      <c r="J102" s="736">
        <v>46149</v>
      </c>
      <c r="K102" s="736">
        <v>46149</v>
      </c>
      <c r="L102" s="747"/>
      <c r="M102" s="733" t="s">
        <v>1510</v>
      </c>
      <c r="N102" s="797">
        <v>1</v>
      </c>
      <c r="O102" s="797">
        <v>1</v>
      </c>
      <c r="P102" s="798">
        <v>1</v>
      </c>
      <c r="Q102" s="741">
        <f t="shared" si="7"/>
        <v>1</v>
      </c>
      <c r="R102" s="748"/>
      <c r="S102" s="195" t="str">
        <f t="shared" si="8"/>
        <v>Switch</v>
      </c>
      <c r="T102" s="495">
        <f t="shared" si="9"/>
        <v>244489</v>
      </c>
      <c r="U102" s="495">
        <f t="shared" si="10"/>
        <v>46149</v>
      </c>
      <c r="V102" s="495">
        <f t="shared" si="11"/>
        <v>244489</v>
      </c>
    </row>
    <row r="103" spans="1:22">
      <c r="F103" s="801">
        <f>SUM(F3:F102)</f>
        <v>202</v>
      </c>
      <c r="G103" s="801">
        <f>SUM(G3:G102)</f>
        <v>203</v>
      </c>
      <c r="N103" s="795">
        <f t="shared" ref="N103:O103" si="14">SUM(N3:N102)/202</f>
        <v>0.75247524752475248</v>
      </c>
      <c r="O103" s="795">
        <f t="shared" si="14"/>
        <v>0.75247524752475248</v>
      </c>
      <c r="P103" s="795">
        <f>SUM(P3:P102)/202</f>
        <v>0.74752475247524752</v>
      </c>
      <c r="Q103" s="794"/>
    </row>
    <row r="104" spans="1:22">
      <c r="N104" s="796">
        <f t="shared" ref="N104" si="15">SUM(N4:N102)</f>
        <v>151</v>
      </c>
      <c r="O104" s="796">
        <f>SUM(O4:O102)</f>
        <v>151</v>
      </c>
      <c r="P104" s="796">
        <f>SUM(P4:P102)</f>
        <v>150</v>
      </c>
    </row>
    <row r="106" spans="1:22" ht="23.4">
      <c r="L106" s="1222" t="s">
        <v>1511</v>
      </c>
      <c r="M106" s="1222"/>
    </row>
    <row r="107" spans="1:22">
      <c r="L107" s="1223" t="s">
        <v>1512</v>
      </c>
      <c r="M107" s="481">
        <f>SUM(P15:P102)+P3+P4+P5+P14+P13+P12</f>
        <v>141</v>
      </c>
    </row>
    <row r="108" spans="1:22">
      <c r="L108" s="1223"/>
      <c r="M108" s="482">
        <f>M107/190</f>
        <v>0.74210526315789471</v>
      </c>
    </row>
    <row r="109" spans="1:22">
      <c r="M109" s="1"/>
    </row>
    <row r="110" spans="1:22" ht="23.4">
      <c r="L110" s="1222" t="s">
        <v>1513</v>
      </c>
      <c r="M110" s="1222"/>
    </row>
    <row r="111" spans="1:22">
      <c r="L111" s="1223" t="s">
        <v>1512</v>
      </c>
      <c r="M111" s="481">
        <f>'HKT-WL'!J46</f>
        <v>43</v>
      </c>
    </row>
    <row r="112" spans="1:22">
      <c r="L112" s="1223"/>
      <c r="M112" s="482">
        <f>M111/50</f>
        <v>0.86</v>
      </c>
    </row>
    <row r="114" spans="12:13">
      <c r="L114" s="70" t="s">
        <v>1514</v>
      </c>
      <c r="M114" s="482">
        <f>(M107+M111)/240</f>
        <v>0.76666666666666672</v>
      </c>
    </row>
  </sheetData>
  <autoFilter ref="A1:V103" xr:uid="{7FCACB15-F5D0-44CF-88C8-DA100F101FB3}">
    <filterColumn colId="7" showButton="0"/>
  </autoFilter>
  <mergeCells count="26">
    <mergeCell ref="L106:M106"/>
    <mergeCell ref="L107:L108"/>
    <mergeCell ref="L111:L112"/>
    <mergeCell ref="L110:M110"/>
    <mergeCell ref="J1:J2"/>
    <mergeCell ref="M73:M74"/>
    <mergeCell ref="M81:M82"/>
    <mergeCell ref="M84:M85"/>
    <mergeCell ref="M64:M65"/>
    <mergeCell ref="M66:M67"/>
    <mergeCell ref="M71:M72"/>
    <mergeCell ref="M58:M59"/>
    <mergeCell ref="M43:M44"/>
    <mergeCell ref="M45:M46"/>
    <mergeCell ref="M55:M56"/>
    <mergeCell ref="K1:K2"/>
    <mergeCell ref="L1:L2"/>
    <mergeCell ref="M15:M17"/>
    <mergeCell ref="M18:M19"/>
    <mergeCell ref="M31:M32"/>
    <mergeCell ref="R1:R2"/>
    <mergeCell ref="M1:M2"/>
    <mergeCell ref="N1:N2"/>
    <mergeCell ref="O1:O2"/>
    <mergeCell ref="P1:P2"/>
    <mergeCell ref="Q1:Q2"/>
  </mergeCells>
  <phoneticPr fontId="72" type="noConversion"/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C2FF-4F17-495F-87F8-01C744507288}">
  <sheetPr filterMode="1"/>
  <dimension ref="A1:L47"/>
  <sheetViews>
    <sheetView zoomScale="60" zoomScaleNormal="60" workbookViewId="0">
      <pane ySplit="1" topLeftCell="A2" activePane="bottomLeft" state="frozen"/>
      <selection pane="bottomLeft" activeCell="F54" sqref="F54"/>
    </sheetView>
  </sheetViews>
  <sheetFormatPr defaultColWidth="71.44140625" defaultRowHeight="21"/>
  <cols>
    <col min="1" max="1" width="33.88671875" style="66" customWidth="1"/>
    <col min="2" max="2" width="9" style="65" bestFit="1" customWidth="1"/>
    <col min="3" max="3" width="77.6640625" style="63" bestFit="1" customWidth="1"/>
    <col min="4" max="4" width="12.33203125" style="64" bestFit="1" customWidth="1"/>
    <col min="5" max="7" width="12.33203125" style="64" customWidth="1"/>
    <col min="8" max="8" width="14.109375" style="64" bestFit="1" customWidth="1"/>
    <col min="9" max="9" width="11.6640625" style="64" bestFit="1" customWidth="1"/>
    <col min="10" max="10" width="9.88671875" style="64" bestFit="1" customWidth="1"/>
    <col min="11" max="11" width="6.109375" style="64" bestFit="1" customWidth="1"/>
    <col min="12" max="12" width="22.33203125" style="64" customWidth="1"/>
    <col min="13" max="16384" width="71.44140625" style="62"/>
  </cols>
  <sheetData>
    <row r="1" spans="1:12">
      <c r="A1" s="384" t="s">
        <v>15</v>
      </c>
      <c r="B1" s="884" t="s">
        <v>17</v>
      </c>
      <c r="C1" s="912" t="s">
        <v>16</v>
      </c>
      <c r="D1" s="895" t="s">
        <v>152</v>
      </c>
      <c r="E1" s="895" t="s">
        <v>153</v>
      </c>
      <c r="F1" s="895" t="s">
        <v>154</v>
      </c>
      <c r="G1" s="895" t="s">
        <v>155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 hidden="1">
      <c r="A2" s="902" t="s">
        <v>1429</v>
      </c>
      <c r="B2" s="1226">
        <v>1</v>
      </c>
      <c r="C2" s="73" t="s">
        <v>190</v>
      </c>
      <c r="D2" s="8">
        <v>1</v>
      </c>
      <c r="E2" s="8">
        <v>1</v>
      </c>
      <c r="F2" s="880">
        <v>0</v>
      </c>
      <c r="G2" s="880" t="s">
        <v>158</v>
      </c>
      <c r="H2" s="8">
        <v>1</v>
      </c>
      <c r="I2" s="8">
        <v>1</v>
      </c>
      <c r="J2" s="8">
        <v>1</v>
      </c>
      <c r="K2" s="7">
        <f t="shared" ref="K2:K45" si="0">ROUNDUP(((H2+I2+J2)/3)/D2*100%,2)</f>
        <v>1</v>
      </c>
      <c r="L2" s="378"/>
    </row>
    <row r="3" spans="1:12" hidden="1">
      <c r="A3" s="902" t="s">
        <v>1429</v>
      </c>
      <c r="B3" s="1226"/>
      <c r="C3" s="73" t="s">
        <v>245</v>
      </c>
      <c r="D3" s="8">
        <v>1</v>
      </c>
      <c r="E3" s="8">
        <v>1</v>
      </c>
      <c r="F3" s="880">
        <v>0</v>
      </c>
      <c r="G3" s="880" t="s">
        <v>158</v>
      </c>
      <c r="H3" s="8">
        <v>1</v>
      </c>
      <c r="I3" s="8">
        <v>1</v>
      </c>
      <c r="J3" s="8">
        <v>1</v>
      </c>
      <c r="K3" s="7">
        <f t="shared" si="0"/>
        <v>1</v>
      </c>
      <c r="L3" s="378"/>
    </row>
    <row r="4" spans="1:12" hidden="1">
      <c r="A4" s="902" t="s">
        <v>1429</v>
      </c>
      <c r="B4" s="1226"/>
      <c r="C4" s="73" t="s">
        <v>243</v>
      </c>
      <c r="D4" s="8">
        <v>1</v>
      </c>
      <c r="E4" s="8">
        <v>1</v>
      </c>
      <c r="F4" s="880">
        <v>0</v>
      </c>
      <c r="G4" s="880" t="s">
        <v>158</v>
      </c>
      <c r="H4" s="8">
        <v>1</v>
      </c>
      <c r="I4" s="8">
        <v>1</v>
      </c>
      <c r="J4" s="8">
        <v>1</v>
      </c>
      <c r="K4" s="7">
        <f t="shared" si="0"/>
        <v>1</v>
      </c>
      <c r="L4" s="378"/>
    </row>
    <row r="5" spans="1:12" hidden="1">
      <c r="A5" s="902" t="s">
        <v>1429</v>
      </c>
      <c r="B5" s="1226"/>
      <c r="C5" s="73" t="s">
        <v>1515</v>
      </c>
      <c r="D5" s="8">
        <v>1</v>
      </c>
      <c r="E5" s="8">
        <v>1</v>
      </c>
      <c r="F5" s="880">
        <v>0</v>
      </c>
      <c r="G5" s="880" t="s">
        <v>158</v>
      </c>
      <c r="H5" s="8">
        <v>1</v>
      </c>
      <c r="I5" s="8">
        <v>1</v>
      </c>
      <c r="J5" s="8">
        <v>1</v>
      </c>
      <c r="K5" s="7">
        <f t="shared" si="0"/>
        <v>1</v>
      </c>
      <c r="L5" s="378"/>
    </row>
    <row r="6" spans="1:12" hidden="1">
      <c r="A6" s="902" t="s">
        <v>1429</v>
      </c>
      <c r="B6" s="1226"/>
      <c r="C6" s="73" t="s">
        <v>1516</v>
      </c>
      <c r="D6" s="8">
        <v>1</v>
      </c>
      <c r="E6" s="8">
        <v>1</v>
      </c>
      <c r="F6" s="880">
        <v>0</v>
      </c>
      <c r="G6" s="880" t="s">
        <v>158</v>
      </c>
      <c r="H6" s="8">
        <v>1</v>
      </c>
      <c r="I6" s="8">
        <v>1</v>
      </c>
      <c r="J6" s="8">
        <v>1</v>
      </c>
      <c r="K6" s="7">
        <f t="shared" si="0"/>
        <v>1</v>
      </c>
      <c r="L6" s="378"/>
    </row>
    <row r="7" spans="1:12" hidden="1">
      <c r="A7" s="902" t="s">
        <v>1429</v>
      </c>
      <c r="B7" s="1226"/>
      <c r="C7" s="67" t="s">
        <v>130</v>
      </c>
      <c r="D7" s="8">
        <v>1</v>
      </c>
      <c r="E7" s="8">
        <v>0</v>
      </c>
      <c r="F7" s="880">
        <v>1</v>
      </c>
      <c r="G7" s="880" t="s">
        <v>158</v>
      </c>
      <c r="H7" s="8">
        <v>1</v>
      </c>
      <c r="I7" s="8">
        <v>1</v>
      </c>
      <c r="J7" s="8">
        <v>1</v>
      </c>
      <c r="K7" s="7">
        <f t="shared" si="0"/>
        <v>1</v>
      </c>
      <c r="L7" s="378"/>
    </row>
    <row r="8" spans="1:12" hidden="1">
      <c r="A8" s="902" t="s">
        <v>1429</v>
      </c>
      <c r="B8" s="1226"/>
      <c r="C8" s="67" t="s">
        <v>1517</v>
      </c>
      <c r="D8" s="8">
        <v>1</v>
      </c>
      <c r="E8" s="8">
        <v>0</v>
      </c>
      <c r="F8" s="880">
        <v>1</v>
      </c>
      <c r="G8" s="880" t="s">
        <v>158</v>
      </c>
      <c r="H8" s="8">
        <v>1</v>
      </c>
      <c r="I8" s="8">
        <v>1</v>
      </c>
      <c r="J8" s="8">
        <v>1</v>
      </c>
      <c r="K8" s="7">
        <f t="shared" si="0"/>
        <v>1</v>
      </c>
      <c r="L8" s="378"/>
    </row>
    <row r="9" spans="1:12" hidden="1">
      <c r="A9" s="902" t="s">
        <v>1429</v>
      </c>
      <c r="B9" s="1226">
        <v>2</v>
      </c>
      <c r="C9" s="67" t="s">
        <v>1518</v>
      </c>
      <c r="D9" s="8">
        <v>1</v>
      </c>
      <c r="E9" s="8">
        <v>0</v>
      </c>
      <c r="F9" s="880">
        <v>1</v>
      </c>
      <c r="G9" s="880" t="s">
        <v>158</v>
      </c>
      <c r="H9" s="8">
        <v>1</v>
      </c>
      <c r="I9" s="8">
        <v>1</v>
      </c>
      <c r="J9" s="8">
        <v>1</v>
      </c>
      <c r="K9" s="7">
        <f t="shared" si="0"/>
        <v>1</v>
      </c>
      <c r="L9" s="378"/>
    </row>
    <row r="10" spans="1:12" hidden="1">
      <c r="A10" s="902" t="s">
        <v>1429</v>
      </c>
      <c r="B10" s="1226"/>
      <c r="C10" s="73" t="s">
        <v>245</v>
      </c>
      <c r="D10" s="8">
        <v>1</v>
      </c>
      <c r="E10" s="8">
        <v>1</v>
      </c>
      <c r="F10" s="880">
        <v>0</v>
      </c>
      <c r="G10" s="880" t="s">
        <v>158</v>
      </c>
      <c r="H10" s="8">
        <v>1</v>
      </c>
      <c r="I10" s="8">
        <v>1</v>
      </c>
      <c r="J10" s="8">
        <v>1</v>
      </c>
      <c r="K10" s="7">
        <f t="shared" si="0"/>
        <v>1</v>
      </c>
      <c r="L10" s="378"/>
    </row>
    <row r="11" spans="1:12" hidden="1">
      <c r="A11" s="902" t="s">
        <v>1429</v>
      </c>
      <c r="B11" s="1226"/>
      <c r="C11" s="73" t="s">
        <v>1519</v>
      </c>
      <c r="D11" s="8">
        <v>2</v>
      </c>
      <c r="E11" s="8">
        <v>2</v>
      </c>
      <c r="F11" s="880">
        <v>0</v>
      </c>
      <c r="G11" s="880" t="s">
        <v>158</v>
      </c>
      <c r="H11" s="8">
        <v>2</v>
      </c>
      <c r="I11" s="8">
        <v>2</v>
      </c>
      <c r="J11" s="8">
        <v>2</v>
      </c>
      <c r="K11" s="7">
        <f t="shared" si="0"/>
        <v>1</v>
      </c>
      <c r="L11" s="378"/>
    </row>
    <row r="12" spans="1:12" hidden="1">
      <c r="A12" s="902" t="s">
        <v>1429</v>
      </c>
      <c r="B12" s="1226"/>
      <c r="C12" s="73" t="s">
        <v>1520</v>
      </c>
      <c r="D12" s="8">
        <v>1</v>
      </c>
      <c r="E12" s="8">
        <v>1</v>
      </c>
      <c r="F12" s="880">
        <v>0</v>
      </c>
      <c r="G12" s="880" t="s">
        <v>158</v>
      </c>
      <c r="H12" s="8">
        <v>1</v>
      </c>
      <c r="I12" s="8">
        <v>1</v>
      </c>
      <c r="J12" s="8">
        <v>1</v>
      </c>
      <c r="K12" s="7">
        <f t="shared" si="0"/>
        <v>1</v>
      </c>
      <c r="L12" s="378"/>
    </row>
    <row r="13" spans="1:12" hidden="1">
      <c r="A13" s="902" t="s">
        <v>1429</v>
      </c>
      <c r="B13" s="1226"/>
      <c r="C13" s="67" t="s">
        <v>1521</v>
      </c>
      <c r="D13" s="8">
        <v>1</v>
      </c>
      <c r="E13" s="8">
        <v>0</v>
      </c>
      <c r="F13" s="880">
        <v>1</v>
      </c>
      <c r="G13" s="880" t="s">
        <v>158</v>
      </c>
      <c r="H13" s="8">
        <v>1</v>
      </c>
      <c r="I13" s="8">
        <v>1</v>
      </c>
      <c r="J13" s="8">
        <v>1</v>
      </c>
      <c r="K13" s="7">
        <f t="shared" si="0"/>
        <v>1</v>
      </c>
      <c r="L13" s="378"/>
    </row>
    <row r="14" spans="1:12" hidden="1">
      <c r="A14" s="902" t="s">
        <v>1429</v>
      </c>
      <c r="B14" s="1226"/>
      <c r="C14" s="67" t="s">
        <v>1522</v>
      </c>
      <c r="D14" s="8">
        <v>1</v>
      </c>
      <c r="E14" s="8">
        <v>0</v>
      </c>
      <c r="F14" s="880">
        <v>1</v>
      </c>
      <c r="G14" s="880" t="s">
        <v>158</v>
      </c>
      <c r="H14" s="8">
        <v>1</v>
      </c>
      <c r="I14" s="8">
        <v>1</v>
      </c>
      <c r="J14" s="8">
        <v>1</v>
      </c>
      <c r="K14" s="7">
        <f t="shared" si="0"/>
        <v>1</v>
      </c>
      <c r="L14" s="378"/>
    </row>
    <row r="15" spans="1:12" hidden="1">
      <c r="A15" s="902" t="s">
        <v>1429</v>
      </c>
      <c r="B15" s="1226">
        <v>3</v>
      </c>
      <c r="C15" s="73" t="s">
        <v>1523</v>
      </c>
      <c r="D15" s="8">
        <v>1</v>
      </c>
      <c r="E15" s="8">
        <v>1</v>
      </c>
      <c r="F15" s="880">
        <v>0</v>
      </c>
      <c r="G15" s="880" t="s">
        <v>158</v>
      </c>
      <c r="H15" s="8">
        <v>1</v>
      </c>
      <c r="I15" s="8">
        <v>1</v>
      </c>
      <c r="J15" s="8">
        <v>1</v>
      </c>
      <c r="K15" s="7">
        <f t="shared" si="0"/>
        <v>1</v>
      </c>
      <c r="L15" s="378"/>
    </row>
    <row r="16" spans="1:12" hidden="1">
      <c r="A16" s="902" t="s">
        <v>1429</v>
      </c>
      <c r="B16" s="1226"/>
      <c r="C16" s="73" t="s">
        <v>130</v>
      </c>
      <c r="D16" s="8">
        <v>1</v>
      </c>
      <c r="E16" s="8">
        <v>1</v>
      </c>
      <c r="F16" s="880">
        <v>0</v>
      </c>
      <c r="G16" s="880" t="s">
        <v>158</v>
      </c>
      <c r="H16" s="8">
        <v>1</v>
      </c>
      <c r="I16" s="8">
        <v>1</v>
      </c>
      <c r="J16" s="8">
        <v>1</v>
      </c>
      <c r="K16" s="7">
        <f t="shared" si="0"/>
        <v>1</v>
      </c>
      <c r="L16" s="378"/>
    </row>
    <row r="17" spans="1:12" hidden="1">
      <c r="A17" s="902" t="s">
        <v>1429</v>
      </c>
      <c r="B17" s="1226"/>
      <c r="C17" s="73" t="s">
        <v>245</v>
      </c>
      <c r="D17" s="8">
        <v>1</v>
      </c>
      <c r="E17" s="8">
        <v>1</v>
      </c>
      <c r="F17" s="880">
        <v>0</v>
      </c>
      <c r="G17" s="880" t="s">
        <v>158</v>
      </c>
      <c r="H17" s="8">
        <v>1</v>
      </c>
      <c r="I17" s="8">
        <v>1</v>
      </c>
      <c r="J17" s="8">
        <v>1</v>
      </c>
      <c r="K17" s="7">
        <f t="shared" si="0"/>
        <v>1</v>
      </c>
      <c r="L17" s="378"/>
    </row>
    <row r="18" spans="1:12" hidden="1">
      <c r="A18" s="902" t="s">
        <v>1429</v>
      </c>
      <c r="B18" s="1226"/>
      <c r="C18" s="67" t="s">
        <v>1524</v>
      </c>
      <c r="D18" s="8">
        <v>1</v>
      </c>
      <c r="E18" s="8">
        <v>0</v>
      </c>
      <c r="F18" s="880">
        <v>1</v>
      </c>
      <c r="G18" s="880" t="s">
        <v>158</v>
      </c>
      <c r="H18" s="8">
        <v>1</v>
      </c>
      <c r="I18" s="8">
        <v>1</v>
      </c>
      <c r="J18" s="8">
        <v>1</v>
      </c>
      <c r="K18" s="7">
        <f t="shared" si="0"/>
        <v>1</v>
      </c>
      <c r="L18" s="378"/>
    </row>
    <row r="19" spans="1:12" hidden="1">
      <c r="A19" s="902" t="s">
        <v>1429</v>
      </c>
      <c r="B19" s="1226"/>
      <c r="C19" s="67" t="s">
        <v>1525</v>
      </c>
      <c r="D19" s="8">
        <v>1</v>
      </c>
      <c r="E19" s="8">
        <v>0</v>
      </c>
      <c r="F19" s="880">
        <v>1</v>
      </c>
      <c r="G19" s="880" t="s">
        <v>158</v>
      </c>
      <c r="H19" s="8">
        <v>1</v>
      </c>
      <c r="I19" s="8">
        <v>1</v>
      </c>
      <c r="J19" s="8">
        <v>1</v>
      </c>
      <c r="K19" s="7">
        <f t="shared" si="0"/>
        <v>1</v>
      </c>
      <c r="L19" s="378"/>
    </row>
    <row r="20" spans="1:12" hidden="1">
      <c r="A20" s="902" t="s">
        <v>1429</v>
      </c>
      <c r="B20" s="1226">
        <v>4</v>
      </c>
      <c r="C20" s="73" t="s">
        <v>1526</v>
      </c>
      <c r="D20" s="8">
        <v>1</v>
      </c>
      <c r="E20" s="8">
        <v>1</v>
      </c>
      <c r="F20" s="880">
        <v>0</v>
      </c>
      <c r="G20" s="880" t="s">
        <v>158</v>
      </c>
      <c r="H20" s="8">
        <v>1</v>
      </c>
      <c r="I20" s="8">
        <v>1</v>
      </c>
      <c r="J20" s="8">
        <v>1</v>
      </c>
      <c r="K20" s="7">
        <f t="shared" si="0"/>
        <v>1</v>
      </c>
      <c r="L20" s="378"/>
    </row>
    <row r="21" spans="1:12" hidden="1">
      <c r="A21" s="902" t="s">
        <v>1429</v>
      </c>
      <c r="B21" s="1226"/>
      <c r="C21" s="73" t="s">
        <v>1527</v>
      </c>
      <c r="D21" s="8">
        <v>1</v>
      </c>
      <c r="E21" s="8">
        <v>1</v>
      </c>
      <c r="F21" s="880">
        <v>0</v>
      </c>
      <c r="G21" s="880" t="s">
        <v>158</v>
      </c>
      <c r="H21" s="8">
        <v>1</v>
      </c>
      <c r="I21" s="8">
        <v>1</v>
      </c>
      <c r="J21" s="8">
        <v>1</v>
      </c>
      <c r="K21" s="7">
        <f t="shared" si="0"/>
        <v>1</v>
      </c>
      <c r="L21" s="378"/>
    </row>
    <row r="22" spans="1:12" hidden="1">
      <c r="A22" s="902" t="s">
        <v>1429</v>
      </c>
      <c r="B22" s="1226"/>
      <c r="C22" s="73" t="s">
        <v>184</v>
      </c>
      <c r="D22" s="8">
        <v>1</v>
      </c>
      <c r="E22" s="8">
        <v>1</v>
      </c>
      <c r="F22" s="880">
        <v>0</v>
      </c>
      <c r="G22" s="880" t="s">
        <v>158</v>
      </c>
      <c r="H22" s="8">
        <v>1</v>
      </c>
      <c r="I22" s="8">
        <v>1</v>
      </c>
      <c r="J22" s="8">
        <v>1</v>
      </c>
      <c r="K22" s="7">
        <f t="shared" si="0"/>
        <v>1</v>
      </c>
      <c r="L22" s="378"/>
    </row>
    <row r="23" spans="1:12" hidden="1">
      <c r="A23" s="902" t="s">
        <v>1429</v>
      </c>
      <c r="B23" s="1226"/>
      <c r="C23" s="67" t="s">
        <v>1528</v>
      </c>
      <c r="D23" s="8">
        <v>1</v>
      </c>
      <c r="E23" s="8">
        <v>0</v>
      </c>
      <c r="F23" s="880">
        <v>1</v>
      </c>
      <c r="G23" s="880" t="s">
        <v>158</v>
      </c>
      <c r="H23" s="8">
        <v>1</v>
      </c>
      <c r="I23" s="8">
        <v>1</v>
      </c>
      <c r="J23" s="8">
        <v>1</v>
      </c>
      <c r="K23" s="7">
        <f t="shared" si="0"/>
        <v>1</v>
      </c>
      <c r="L23" s="378"/>
    </row>
    <row r="24" spans="1:12" hidden="1">
      <c r="A24" s="902" t="s">
        <v>1429</v>
      </c>
      <c r="B24" s="1226"/>
      <c r="C24" s="67" t="s">
        <v>1529</v>
      </c>
      <c r="D24" s="8">
        <v>2</v>
      </c>
      <c r="E24" s="8">
        <v>0</v>
      </c>
      <c r="F24" s="880">
        <v>2</v>
      </c>
      <c r="G24" s="880" t="s">
        <v>158</v>
      </c>
      <c r="H24" s="8">
        <v>2</v>
      </c>
      <c r="I24" s="8">
        <v>2</v>
      </c>
      <c r="J24" s="8">
        <v>2</v>
      </c>
      <c r="K24" s="7">
        <f t="shared" si="0"/>
        <v>1</v>
      </c>
      <c r="L24" s="378"/>
    </row>
    <row r="25" spans="1:12" hidden="1">
      <c r="A25" s="902" t="s">
        <v>1429</v>
      </c>
      <c r="B25" s="1226"/>
      <c r="C25" s="67" t="s">
        <v>1530</v>
      </c>
      <c r="D25" s="8">
        <v>1</v>
      </c>
      <c r="E25" s="8">
        <v>0</v>
      </c>
      <c r="F25" s="880">
        <v>1</v>
      </c>
      <c r="G25" s="880" t="s">
        <v>158</v>
      </c>
      <c r="H25" s="8">
        <v>1</v>
      </c>
      <c r="I25" s="8">
        <v>1</v>
      </c>
      <c r="J25" s="8">
        <v>1</v>
      </c>
      <c r="K25" s="7">
        <f t="shared" si="0"/>
        <v>1</v>
      </c>
      <c r="L25" s="378"/>
    </row>
    <row r="26" spans="1:12" hidden="1">
      <c r="A26" s="902" t="s">
        <v>1429</v>
      </c>
      <c r="B26" s="1226">
        <v>5</v>
      </c>
      <c r="C26" s="73" t="s">
        <v>130</v>
      </c>
      <c r="D26" s="8">
        <v>2</v>
      </c>
      <c r="E26" s="8">
        <v>1</v>
      </c>
      <c r="F26" s="880">
        <v>1</v>
      </c>
      <c r="G26" s="880" t="s">
        <v>158</v>
      </c>
      <c r="H26" s="8">
        <v>2</v>
      </c>
      <c r="I26" s="8">
        <v>2</v>
      </c>
      <c r="J26" s="8">
        <v>2</v>
      </c>
      <c r="K26" s="7">
        <f t="shared" si="0"/>
        <v>1</v>
      </c>
      <c r="L26" s="378"/>
    </row>
    <row r="27" spans="1:12" hidden="1">
      <c r="A27" s="902" t="s">
        <v>1429</v>
      </c>
      <c r="B27" s="1226"/>
      <c r="C27" s="73" t="s">
        <v>1531</v>
      </c>
      <c r="D27" s="8">
        <v>1</v>
      </c>
      <c r="E27" s="8">
        <v>1</v>
      </c>
      <c r="F27" s="880">
        <v>0</v>
      </c>
      <c r="G27" s="880" t="s">
        <v>158</v>
      </c>
      <c r="H27" s="8">
        <v>1</v>
      </c>
      <c r="I27" s="8">
        <v>1</v>
      </c>
      <c r="J27" s="8">
        <v>1</v>
      </c>
      <c r="K27" s="7">
        <f t="shared" si="0"/>
        <v>1</v>
      </c>
      <c r="L27" s="378"/>
    </row>
    <row r="28" spans="1:12" hidden="1">
      <c r="A28" s="902" t="s">
        <v>1429</v>
      </c>
      <c r="B28" s="1226"/>
      <c r="C28" s="73" t="s">
        <v>1532</v>
      </c>
      <c r="D28" s="8">
        <v>1</v>
      </c>
      <c r="E28" s="8">
        <v>1</v>
      </c>
      <c r="F28" s="880">
        <v>0</v>
      </c>
      <c r="G28" s="880" t="s">
        <v>158</v>
      </c>
      <c r="H28" s="8">
        <v>1</v>
      </c>
      <c r="I28" s="8">
        <v>1</v>
      </c>
      <c r="J28" s="8">
        <v>1</v>
      </c>
      <c r="K28" s="7">
        <f t="shared" si="0"/>
        <v>1</v>
      </c>
      <c r="L28" s="378"/>
    </row>
    <row r="29" spans="1:12">
      <c r="A29" s="763" t="s">
        <v>1446</v>
      </c>
      <c r="B29" s="1226">
        <v>1</v>
      </c>
      <c r="C29" s="73" t="s">
        <v>1533</v>
      </c>
      <c r="D29" s="8">
        <v>1</v>
      </c>
      <c r="E29" s="8">
        <v>1</v>
      </c>
      <c r="F29" s="880">
        <v>0</v>
      </c>
      <c r="G29" s="880" t="s">
        <v>158</v>
      </c>
      <c r="H29" s="8">
        <v>0</v>
      </c>
      <c r="I29" s="8">
        <v>0</v>
      </c>
      <c r="J29" s="8">
        <v>0</v>
      </c>
      <c r="K29" s="7">
        <f t="shared" si="0"/>
        <v>0</v>
      </c>
      <c r="L29" s="378"/>
    </row>
    <row r="30" spans="1:12">
      <c r="A30" s="763" t="s">
        <v>1446</v>
      </c>
      <c r="B30" s="1226"/>
      <c r="C30" s="73" t="s">
        <v>245</v>
      </c>
      <c r="D30" s="8">
        <v>1</v>
      </c>
      <c r="E30" s="8">
        <v>1</v>
      </c>
      <c r="F30" s="880">
        <v>0</v>
      </c>
      <c r="G30" s="880" t="s">
        <v>158</v>
      </c>
      <c r="H30" s="8">
        <v>0</v>
      </c>
      <c r="I30" s="8">
        <v>0</v>
      </c>
      <c r="J30" s="8">
        <v>0</v>
      </c>
      <c r="K30" s="7">
        <f t="shared" si="0"/>
        <v>0</v>
      </c>
      <c r="L30" s="378"/>
    </row>
    <row r="31" spans="1:12">
      <c r="A31" s="763" t="s">
        <v>1446</v>
      </c>
      <c r="B31" s="1226">
        <v>2</v>
      </c>
      <c r="C31" s="73" t="s">
        <v>1534</v>
      </c>
      <c r="D31" s="8">
        <v>1</v>
      </c>
      <c r="E31" s="8">
        <v>1</v>
      </c>
      <c r="F31" s="880">
        <v>0</v>
      </c>
      <c r="G31" s="880" t="s">
        <v>158</v>
      </c>
      <c r="H31" s="8">
        <v>0</v>
      </c>
      <c r="I31" s="8">
        <v>0</v>
      </c>
      <c r="J31" s="8">
        <v>0</v>
      </c>
      <c r="K31" s="7">
        <f t="shared" si="0"/>
        <v>0</v>
      </c>
      <c r="L31" s="378"/>
    </row>
    <row r="32" spans="1:12">
      <c r="A32" s="763" t="s">
        <v>1446</v>
      </c>
      <c r="B32" s="1226"/>
      <c r="C32" s="73" t="s">
        <v>1535</v>
      </c>
      <c r="D32" s="8">
        <v>1</v>
      </c>
      <c r="E32" s="8">
        <v>1</v>
      </c>
      <c r="F32" s="880">
        <v>0</v>
      </c>
      <c r="G32" s="880" t="s">
        <v>158</v>
      </c>
      <c r="H32" s="8">
        <v>0</v>
      </c>
      <c r="I32" s="8">
        <v>0</v>
      </c>
      <c r="J32" s="8">
        <v>0</v>
      </c>
      <c r="K32" s="7">
        <f t="shared" si="0"/>
        <v>0</v>
      </c>
      <c r="L32" s="378"/>
    </row>
    <row r="33" spans="1:12">
      <c r="A33" s="763" t="s">
        <v>1446</v>
      </c>
      <c r="B33" s="918"/>
      <c r="C33" s="73" t="s">
        <v>1536</v>
      </c>
      <c r="D33" s="8">
        <v>1</v>
      </c>
      <c r="E33" s="8">
        <v>1</v>
      </c>
      <c r="F33" s="880">
        <v>0</v>
      </c>
      <c r="G33" s="880" t="s">
        <v>158</v>
      </c>
      <c r="H33" s="8">
        <v>0</v>
      </c>
      <c r="I33" s="8">
        <v>0</v>
      </c>
      <c r="J33" s="8">
        <v>0</v>
      </c>
      <c r="K33" s="7">
        <f t="shared" si="0"/>
        <v>0</v>
      </c>
      <c r="L33" s="378"/>
    </row>
    <row r="34" spans="1:12">
      <c r="A34" s="763" t="s">
        <v>1446</v>
      </c>
      <c r="B34" s="918">
        <v>3</v>
      </c>
      <c r="C34" s="73" t="s">
        <v>1537</v>
      </c>
      <c r="D34" s="8">
        <v>1</v>
      </c>
      <c r="E34" s="8">
        <v>1</v>
      </c>
      <c r="F34" s="880">
        <v>0</v>
      </c>
      <c r="G34" s="880" t="s">
        <v>158</v>
      </c>
      <c r="H34" s="8">
        <v>0</v>
      </c>
      <c r="I34" s="8">
        <v>0</v>
      </c>
      <c r="J34" s="8">
        <v>0</v>
      </c>
      <c r="K34" s="7">
        <f t="shared" si="0"/>
        <v>0</v>
      </c>
      <c r="L34" s="378"/>
    </row>
    <row r="35" spans="1:12">
      <c r="A35" s="763" t="s">
        <v>1446</v>
      </c>
      <c r="B35" s="74"/>
      <c r="C35" s="73" t="s">
        <v>1538</v>
      </c>
      <c r="D35" s="8">
        <v>1</v>
      </c>
      <c r="E35" s="8">
        <v>1</v>
      </c>
      <c r="F35" s="880">
        <v>0</v>
      </c>
      <c r="G35" s="880" t="s">
        <v>158</v>
      </c>
      <c r="H35" s="8">
        <v>0</v>
      </c>
      <c r="I35" s="8">
        <v>0</v>
      </c>
      <c r="J35" s="8">
        <v>0</v>
      </c>
      <c r="K35" s="7">
        <f t="shared" si="0"/>
        <v>0</v>
      </c>
      <c r="L35" s="378"/>
    </row>
    <row r="36" spans="1:12" hidden="1">
      <c r="A36" s="763" t="s">
        <v>1539</v>
      </c>
      <c r="B36" s="918"/>
      <c r="C36" s="67" t="s">
        <v>1540</v>
      </c>
      <c r="D36" s="8">
        <v>1</v>
      </c>
      <c r="E36" s="8">
        <v>1</v>
      </c>
      <c r="F36" s="880">
        <v>0</v>
      </c>
      <c r="G36" s="880" t="s">
        <v>158</v>
      </c>
      <c r="H36" s="8">
        <v>1</v>
      </c>
      <c r="I36" s="8">
        <v>1</v>
      </c>
      <c r="J36" s="8">
        <v>1</v>
      </c>
      <c r="K36" s="7">
        <f t="shared" si="0"/>
        <v>1</v>
      </c>
      <c r="L36" s="378"/>
    </row>
    <row r="37" spans="1:12" hidden="1">
      <c r="A37" s="763" t="s">
        <v>1539</v>
      </c>
      <c r="B37" s="918">
        <v>1</v>
      </c>
      <c r="C37" s="67" t="s">
        <v>130</v>
      </c>
      <c r="D37" s="8">
        <v>2</v>
      </c>
      <c r="E37" s="8">
        <v>1</v>
      </c>
      <c r="F37" s="880">
        <v>1</v>
      </c>
      <c r="G37" s="880" t="s">
        <v>158</v>
      </c>
      <c r="H37" s="8">
        <v>2</v>
      </c>
      <c r="I37" s="8">
        <v>2</v>
      </c>
      <c r="J37" s="8">
        <v>2</v>
      </c>
      <c r="K37" s="7">
        <f t="shared" si="0"/>
        <v>1</v>
      </c>
      <c r="L37" s="378"/>
    </row>
    <row r="38" spans="1:12" hidden="1">
      <c r="A38" s="763" t="s">
        <v>1539</v>
      </c>
      <c r="B38" s="1226">
        <v>2</v>
      </c>
      <c r="C38" s="67" t="s">
        <v>1541</v>
      </c>
      <c r="D38" s="8">
        <v>1</v>
      </c>
      <c r="E38" s="8">
        <v>1</v>
      </c>
      <c r="F38" s="880">
        <v>0</v>
      </c>
      <c r="G38" s="880" t="s">
        <v>158</v>
      </c>
      <c r="H38" s="8">
        <v>1</v>
      </c>
      <c r="I38" s="8">
        <v>1</v>
      </c>
      <c r="J38" s="8">
        <v>1</v>
      </c>
      <c r="K38" s="7">
        <f t="shared" si="0"/>
        <v>1</v>
      </c>
      <c r="L38" s="378"/>
    </row>
    <row r="39" spans="1:12" hidden="1">
      <c r="A39" s="763" t="s">
        <v>1539</v>
      </c>
      <c r="B39" s="1226"/>
      <c r="C39" s="67" t="s">
        <v>130</v>
      </c>
      <c r="D39" s="8">
        <v>2</v>
      </c>
      <c r="E39" s="8">
        <v>1</v>
      </c>
      <c r="F39" s="880">
        <v>1</v>
      </c>
      <c r="G39" s="880" t="s">
        <v>158</v>
      </c>
      <c r="H39" s="8">
        <v>2</v>
      </c>
      <c r="I39" s="8">
        <v>2</v>
      </c>
      <c r="J39" s="8">
        <v>2</v>
      </c>
      <c r="K39" s="7">
        <f t="shared" si="0"/>
        <v>1</v>
      </c>
      <c r="L39" s="378"/>
    </row>
    <row r="40" spans="1:12" hidden="1">
      <c r="A40" s="763" t="s">
        <v>1539</v>
      </c>
      <c r="B40" s="1226"/>
      <c r="C40" s="67" t="s">
        <v>1542</v>
      </c>
      <c r="D40" s="8">
        <v>1</v>
      </c>
      <c r="E40" s="8">
        <v>0</v>
      </c>
      <c r="F40" s="880">
        <v>1</v>
      </c>
      <c r="G40" s="880" t="s">
        <v>158</v>
      </c>
      <c r="H40" s="8">
        <v>1</v>
      </c>
      <c r="I40" s="8">
        <v>1</v>
      </c>
      <c r="J40" s="8">
        <v>1</v>
      </c>
      <c r="K40" s="7">
        <f t="shared" si="0"/>
        <v>1</v>
      </c>
      <c r="L40" s="378"/>
    </row>
    <row r="41" spans="1:12" hidden="1">
      <c r="A41" s="763" t="s">
        <v>1543</v>
      </c>
      <c r="B41" s="1226">
        <v>1</v>
      </c>
      <c r="C41" s="73" t="s">
        <v>1544</v>
      </c>
      <c r="D41" s="8">
        <v>1</v>
      </c>
      <c r="E41" s="8">
        <v>1</v>
      </c>
      <c r="F41" s="880">
        <v>0</v>
      </c>
      <c r="G41" s="880" t="s">
        <v>158</v>
      </c>
      <c r="H41" s="8">
        <v>1</v>
      </c>
      <c r="I41" s="8">
        <v>1</v>
      </c>
      <c r="J41" s="8">
        <v>1</v>
      </c>
      <c r="K41" s="7">
        <f t="shared" si="0"/>
        <v>1</v>
      </c>
      <c r="L41" s="378"/>
    </row>
    <row r="42" spans="1:12" hidden="1">
      <c r="A42" s="763" t="s">
        <v>1543</v>
      </c>
      <c r="B42" s="1226"/>
      <c r="C42" s="73" t="s">
        <v>1545</v>
      </c>
      <c r="D42" s="8">
        <v>1</v>
      </c>
      <c r="E42" s="8">
        <v>1</v>
      </c>
      <c r="F42" s="880">
        <v>0</v>
      </c>
      <c r="G42" s="880" t="s">
        <v>158</v>
      </c>
      <c r="H42" s="8">
        <v>1</v>
      </c>
      <c r="I42" s="8">
        <v>1</v>
      </c>
      <c r="J42" s="8">
        <v>1</v>
      </c>
      <c r="K42" s="7">
        <f t="shared" si="0"/>
        <v>1</v>
      </c>
      <c r="L42" s="378"/>
    </row>
    <row r="43" spans="1:12" hidden="1">
      <c r="A43" s="763" t="s">
        <v>1543</v>
      </c>
      <c r="B43" s="1226"/>
      <c r="C43" s="73" t="s">
        <v>1546</v>
      </c>
      <c r="D43" s="8">
        <v>1</v>
      </c>
      <c r="E43" s="8">
        <v>1</v>
      </c>
      <c r="F43" s="880">
        <v>0</v>
      </c>
      <c r="G43" s="880" t="s">
        <v>158</v>
      </c>
      <c r="H43" s="8">
        <v>1</v>
      </c>
      <c r="I43" s="8">
        <v>1</v>
      </c>
      <c r="J43" s="8">
        <v>1</v>
      </c>
      <c r="K43" s="7">
        <f t="shared" si="0"/>
        <v>1</v>
      </c>
      <c r="L43" s="378"/>
    </row>
    <row r="44" spans="1:12" hidden="1">
      <c r="A44" s="763" t="s">
        <v>1543</v>
      </c>
      <c r="B44" s="1226">
        <v>2</v>
      </c>
      <c r="C44" s="73" t="s">
        <v>245</v>
      </c>
      <c r="D44" s="8">
        <v>2</v>
      </c>
      <c r="E44" s="8">
        <v>2</v>
      </c>
      <c r="F44" s="880">
        <v>0</v>
      </c>
      <c r="G44" s="880" t="s">
        <v>158</v>
      </c>
      <c r="H44" s="8">
        <v>2</v>
      </c>
      <c r="I44" s="8">
        <v>2</v>
      </c>
      <c r="J44" s="8">
        <v>2</v>
      </c>
      <c r="K44" s="7">
        <f t="shared" si="0"/>
        <v>1</v>
      </c>
      <c r="L44" s="378"/>
    </row>
    <row r="45" spans="1:12" hidden="1">
      <c r="A45" s="763" t="s">
        <v>1543</v>
      </c>
      <c r="B45" s="1226"/>
      <c r="C45" s="73" t="s">
        <v>130</v>
      </c>
      <c r="D45" s="8">
        <v>1</v>
      </c>
      <c r="E45" s="8">
        <v>1</v>
      </c>
      <c r="F45" s="880">
        <v>0</v>
      </c>
      <c r="G45" s="880" t="s">
        <v>158</v>
      </c>
      <c r="H45" s="8">
        <v>1</v>
      </c>
      <c r="I45" s="8">
        <v>1</v>
      </c>
      <c r="J45" s="8">
        <v>1</v>
      </c>
      <c r="K45" s="7">
        <f t="shared" si="0"/>
        <v>1</v>
      </c>
      <c r="L45" s="378"/>
    </row>
    <row r="46" spans="1:12" hidden="1">
      <c r="A46" s="381"/>
      <c r="B46" s="382"/>
      <c r="C46" s="383" t="s">
        <v>259</v>
      </c>
      <c r="D46" s="68">
        <f>SUM(D2:D45)</f>
        <v>50</v>
      </c>
      <c r="E46" s="68">
        <f>SUM(E2:E45)</f>
        <v>35</v>
      </c>
      <c r="F46" s="68">
        <f>SUM(F2:F45)</f>
        <v>15</v>
      </c>
      <c r="G46" s="68">
        <f>SUMIF(G2:G45,"Done",F2:F45)</f>
        <v>15</v>
      </c>
      <c r="H46" s="68">
        <f t="shared" ref="H46:J46" si="1">SUM(H2:H45)</f>
        <v>43</v>
      </c>
      <c r="I46" s="68">
        <f t="shared" si="1"/>
        <v>43</v>
      </c>
      <c r="J46" s="68">
        <f t="shared" si="1"/>
        <v>43</v>
      </c>
      <c r="K46" s="68"/>
      <c r="L46" s="6"/>
    </row>
    <row r="47" spans="1:12">
      <c r="A47" s="381"/>
      <c r="B47" s="382"/>
      <c r="C47" s="69" t="s">
        <v>260</v>
      </c>
      <c r="D47" s="70"/>
      <c r="E47" s="6"/>
      <c r="F47" s="6"/>
      <c r="G47" s="6"/>
      <c r="H47" s="71">
        <f>H46/D46</f>
        <v>0.86</v>
      </c>
      <c r="I47" s="71">
        <f>I46/D46</f>
        <v>0.86</v>
      </c>
      <c r="J47" s="71">
        <f>J46/D46</f>
        <v>0.86</v>
      </c>
      <c r="K47" s="72">
        <f>ROUNDUP(AVERAGE(K2:K45),2)</f>
        <v>0.85</v>
      </c>
      <c r="L47" s="6"/>
    </row>
  </sheetData>
  <autoFilter ref="A1:L47" xr:uid="{1C26C2FF-4F17-495F-87F8-01C744507288}">
    <filterColumn colId="10">
      <filters>
        <filter val="0%"/>
        <filter val="85%"/>
      </filters>
    </filterColumn>
  </autoFilter>
  <mergeCells count="10">
    <mergeCell ref="B31:B32"/>
    <mergeCell ref="B38:B40"/>
    <mergeCell ref="B41:B43"/>
    <mergeCell ref="B44:B45"/>
    <mergeCell ref="B29:B30"/>
    <mergeCell ref="B2:B8"/>
    <mergeCell ref="B9:B14"/>
    <mergeCell ref="B15:B19"/>
    <mergeCell ref="B20:B25"/>
    <mergeCell ref="B26:B28"/>
  </mergeCells>
  <conditionalFormatting sqref="G2:G45">
    <cfRule type="cellIs" dxfId="21" priority="1" operator="equal">
      <formula>"Done"</formula>
    </cfRule>
    <cfRule type="cellIs" dxfId="20" priority="2" operator="equal">
      <formula>"In Progress"</formula>
    </cfRule>
  </conditionalFormatting>
  <dataValidations count="1">
    <dataValidation type="list" allowBlank="1" showInputMessage="1" showErrorMessage="1" sqref="G2:G45" xr:uid="{FD2F7BE9-0654-432E-BD1F-F21B2A3C906B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46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69A9-E62B-47DA-80EE-72EB9145D637}">
  <sheetPr>
    <pageSetUpPr fitToPage="1"/>
  </sheetPr>
  <dimension ref="A1:P91"/>
  <sheetViews>
    <sheetView zoomScale="80" zoomScaleNormal="80" zoomScaleSheetLayoutView="80" workbookViewId="0">
      <pane ySplit="1" topLeftCell="A28" activePane="bottomLeft" state="frozen"/>
      <selection pane="bottomLeft" activeCell="O4" sqref="O4"/>
    </sheetView>
  </sheetViews>
  <sheetFormatPr defaultColWidth="10.88671875" defaultRowHeight="21"/>
  <cols>
    <col min="1" max="1" width="12" style="76" customWidth="1"/>
    <col min="2" max="2" width="37.6640625" style="76" customWidth="1"/>
    <col min="3" max="3" width="9" style="76" customWidth="1"/>
    <col min="4" max="4" width="68.6640625" style="76" customWidth="1"/>
    <col min="5" max="5" width="17.5546875" style="76" customWidth="1"/>
    <col min="6" max="6" width="22.109375" style="76" customWidth="1"/>
    <col min="7" max="8" width="22.109375" style="76" hidden="1" customWidth="1"/>
    <col min="9" max="14" width="22.109375" style="76" customWidth="1"/>
    <col min="15" max="15" width="22.109375" style="64" customWidth="1"/>
    <col min="16" max="16384" width="10.88671875" style="76"/>
  </cols>
  <sheetData>
    <row r="1" spans="1:15" s="80" customFormat="1" ht="25.8">
      <c r="A1" s="111" t="s">
        <v>261</v>
      </c>
      <c r="B1" s="132" t="s">
        <v>15</v>
      </c>
      <c r="C1" s="110" t="s">
        <v>17</v>
      </c>
      <c r="D1" s="110" t="s">
        <v>262</v>
      </c>
      <c r="E1" s="107" t="s">
        <v>263</v>
      </c>
      <c r="F1" s="79" t="s">
        <v>264</v>
      </c>
      <c r="G1" s="79" t="s">
        <v>265</v>
      </c>
      <c r="H1" s="79" t="s">
        <v>266</v>
      </c>
      <c r="I1" s="79" t="s">
        <v>267</v>
      </c>
      <c r="J1" s="79" t="s">
        <v>268</v>
      </c>
      <c r="K1" s="79" t="s">
        <v>269</v>
      </c>
      <c r="L1" s="79" t="s">
        <v>270</v>
      </c>
      <c r="M1" s="79" t="s">
        <v>271</v>
      </c>
      <c r="N1" s="79" t="s">
        <v>272</v>
      </c>
      <c r="O1" s="103" t="s">
        <v>273</v>
      </c>
    </row>
    <row r="2" spans="1:15" s="86" customFormat="1">
      <c r="A2" s="109" t="s">
        <v>8</v>
      </c>
      <c r="B2" s="133" t="s">
        <v>1380</v>
      </c>
      <c r="C2" s="172">
        <v>1</v>
      </c>
      <c r="D2" s="137" t="s">
        <v>1381</v>
      </c>
      <c r="E2" s="81" t="s">
        <v>41</v>
      </c>
      <c r="F2" s="85" t="b">
        <v>1</v>
      </c>
      <c r="G2" s="85" t="b">
        <v>0</v>
      </c>
      <c r="H2" s="85" t="b">
        <v>0</v>
      </c>
      <c r="I2" s="85" t="b">
        <v>0</v>
      </c>
      <c r="J2" s="85" t="b">
        <v>0</v>
      </c>
      <c r="K2" s="85" t="b">
        <v>0</v>
      </c>
      <c r="L2" s="85" t="b">
        <v>0</v>
      </c>
      <c r="M2" s="85" t="b">
        <v>0</v>
      </c>
      <c r="N2" s="85" t="b">
        <v>0</v>
      </c>
      <c r="O2" s="113" t="s">
        <v>158</v>
      </c>
    </row>
    <row r="3" spans="1:15" s="86" customFormat="1">
      <c r="A3" s="109" t="s">
        <v>8</v>
      </c>
      <c r="B3" s="134" t="s">
        <v>1384</v>
      </c>
      <c r="C3" s="173">
        <v>2</v>
      </c>
      <c r="D3" s="137" t="s">
        <v>1547</v>
      </c>
      <c r="E3" s="81"/>
      <c r="F3" s="85" t="b">
        <v>0</v>
      </c>
      <c r="G3" s="85" t="b">
        <v>0</v>
      </c>
      <c r="H3" s="85" t="b">
        <v>0</v>
      </c>
      <c r="I3" s="85" t="b">
        <v>0</v>
      </c>
      <c r="J3" s="85" t="b">
        <v>1</v>
      </c>
      <c r="K3" s="85" t="b">
        <v>0</v>
      </c>
      <c r="L3" s="85" t="b">
        <v>0</v>
      </c>
      <c r="M3" s="85" t="b">
        <v>1</v>
      </c>
      <c r="N3" s="85" t="b">
        <v>1</v>
      </c>
      <c r="O3" s="113" t="s">
        <v>158</v>
      </c>
    </row>
    <row r="4" spans="1:15" s="86" customFormat="1">
      <c r="A4" s="109" t="s">
        <v>8</v>
      </c>
      <c r="B4" s="134" t="s">
        <v>1384</v>
      </c>
      <c r="C4" s="173">
        <v>1</v>
      </c>
      <c r="D4" s="108" t="s">
        <v>1402</v>
      </c>
      <c r="E4" s="81"/>
      <c r="F4" s="85" t="b">
        <v>0</v>
      </c>
      <c r="G4" s="85" t="b">
        <v>0</v>
      </c>
      <c r="H4" s="85" t="b">
        <v>0</v>
      </c>
      <c r="I4" s="85" t="b">
        <v>1</v>
      </c>
      <c r="J4" s="85" t="b">
        <v>0</v>
      </c>
      <c r="K4" s="85" t="b">
        <v>0</v>
      </c>
      <c r="L4" s="85" t="b">
        <v>0</v>
      </c>
      <c r="M4" s="85" t="b">
        <v>0</v>
      </c>
      <c r="N4" s="85" t="b">
        <v>0</v>
      </c>
      <c r="O4" s="113" t="s">
        <v>158</v>
      </c>
    </row>
    <row r="5" spans="1:15" s="86" customFormat="1">
      <c r="A5" s="109" t="s">
        <v>8</v>
      </c>
      <c r="B5" s="134" t="s">
        <v>1384</v>
      </c>
      <c r="C5" s="173">
        <v>1</v>
      </c>
      <c r="D5" s="108" t="s">
        <v>1403</v>
      </c>
      <c r="E5" s="81"/>
      <c r="F5" s="85" t="b">
        <v>0</v>
      </c>
      <c r="G5" s="85" t="b">
        <v>0</v>
      </c>
      <c r="H5" s="85" t="b">
        <v>0</v>
      </c>
      <c r="I5" s="85" t="b">
        <v>1</v>
      </c>
      <c r="J5" s="85" t="b">
        <v>1</v>
      </c>
      <c r="K5" s="85" t="b">
        <v>0</v>
      </c>
      <c r="L5" s="85" t="b">
        <v>0</v>
      </c>
      <c r="M5" s="85" t="b">
        <v>1</v>
      </c>
      <c r="N5" s="85" t="b">
        <v>0</v>
      </c>
      <c r="O5" s="113" t="s">
        <v>158</v>
      </c>
    </row>
    <row r="6" spans="1:15" s="86" customFormat="1">
      <c r="A6" s="109" t="s">
        <v>8</v>
      </c>
      <c r="B6" s="134" t="s">
        <v>1384</v>
      </c>
      <c r="C6" s="173">
        <v>1</v>
      </c>
      <c r="D6" s="108" t="s">
        <v>1404</v>
      </c>
      <c r="E6" s="81"/>
      <c r="F6" s="85" t="b">
        <v>0</v>
      </c>
      <c r="G6" s="85" t="b">
        <v>0</v>
      </c>
      <c r="H6" s="85" t="b">
        <v>0</v>
      </c>
      <c r="I6" s="85" t="b">
        <v>1</v>
      </c>
      <c r="J6" s="85" t="b">
        <v>0</v>
      </c>
      <c r="K6" s="85" t="b">
        <v>0</v>
      </c>
      <c r="L6" s="85" t="b">
        <v>0</v>
      </c>
      <c r="M6" s="85" t="b">
        <v>0</v>
      </c>
      <c r="N6" s="85" t="b">
        <v>0</v>
      </c>
      <c r="O6" s="113" t="s">
        <v>158</v>
      </c>
    </row>
    <row r="7" spans="1:15" s="86" customFormat="1" ht="30" customHeight="1">
      <c r="A7" s="109" t="s">
        <v>8</v>
      </c>
      <c r="B7" s="134" t="s">
        <v>1384</v>
      </c>
      <c r="C7" s="173">
        <v>2</v>
      </c>
      <c r="D7" s="108" t="s">
        <v>1548</v>
      </c>
      <c r="E7" s="81"/>
      <c r="F7" s="85" t="b">
        <v>0</v>
      </c>
      <c r="G7" s="85" t="b">
        <v>0</v>
      </c>
      <c r="H7" s="85" t="b">
        <v>0</v>
      </c>
      <c r="I7" s="85" t="b">
        <v>1</v>
      </c>
      <c r="J7" s="85" t="b">
        <v>1</v>
      </c>
      <c r="K7" s="85" t="b">
        <v>0</v>
      </c>
      <c r="L7" s="85" t="b">
        <v>0</v>
      </c>
      <c r="M7" s="85" t="b">
        <v>1</v>
      </c>
      <c r="N7" s="85" t="b">
        <v>0</v>
      </c>
      <c r="O7" s="113" t="s">
        <v>158</v>
      </c>
    </row>
    <row r="8" spans="1:15" s="86" customFormat="1">
      <c r="A8" s="109" t="s">
        <v>8</v>
      </c>
      <c r="B8" s="134" t="s">
        <v>1384</v>
      </c>
      <c r="C8" s="173">
        <v>2</v>
      </c>
      <c r="D8" s="137" t="s">
        <v>1549</v>
      </c>
      <c r="E8" s="81"/>
      <c r="F8" s="85" t="b">
        <v>0</v>
      </c>
      <c r="G8" s="85" t="b">
        <v>0</v>
      </c>
      <c r="H8" s="85" t="b">
        <v>0</v>
      </c>
      <c r="I8" s="85" t="b">
        <v>1</v>
      </c>
      <c r="J8" s="85" t="b">
        <v>0</v>
      </c>
      <c r="K8" s="85" t="b">
        <v>0</v>
      </c>
      <c r="L8" s="85" t="b">
        <v>0</v>
      </c>
      <c r="M8" s="85" t="b">
        <v>0</v>
      </c>
      <c r="N8" s="85" t="b">
        <v>0</v>
      </c>
      <c r="O8" s="113" t="s">
        <v>158</v>
      </c>
    </row>
    <row r="9" spans="1:15" s="86" customFormat="1">
      <c r="A9" s="109" t="s">
        <v>8</v>
      </c>
      <c r="B9" s="134" t="s">
        <v>1384</v>
      </c>
      <c r="C9" s="173">
        <v>2</v>
      </c>
      <c r="D9" s="108" t="s">
        <v>1407</v>
      </c>
      <c r="E9" s="81"/>
      <c r="F9" s="85" t="b">
        <v>0</v>
      </c>
      <c r="G9" s="85" t="b">
        <v>0</v>
      </c>
      <c r="H9" s="85" t="b">
        <v>0</v>
      </c>
      <c r="I9" s="85" t="b">
        <v>1</v>
      </c>
      <c r="J9" s="85" t="b">
        <v>0</v>
      </c>
      <c r="K9" s="85" t="b">
        <v>0</v>
      </c>
      <c r="L9" s="85" t="b">
        <v>0</v>
      </c>
      <c r="M9" s="85" t="b">
        <v>0</v>
      </c>
      <c r="N9" s="85" t="b">
        <v>0</v>
      </c>
      <c r="O9" s="113" t="s">
        <v>158</v>
      </c>
    </row>
    <row r="10" spans="1:15" s="86" customFormat="1">
      <c r="A10" s="109" t="s">
        <v>8</v>
      </c>
      <c r="B10" s="134" t="s">
        <v>1384</v>
      </c>
      <c r="C10" s="173">
        <v>3</v>
      </c>
      <c r="D10" s="108" t="s">
        <v>1408</v>
      </c>
      <c r="E10" s="81"/>
      <c r="F10" s="85" t="b">
        <v>0</v>
      </c>
      <c r="G10" s="85" t="b">
        <v>0</v>
      </c>
      <c r="H10" s="85" t="b">
        <v>0</v>
      </c>
      <c r="I10" s="85" t="b">
        <v>1</v>
      </c>
      <c r="J10" s="85" t="b">
        <v>0</v>
      </c>
      <c r="K10" s="85" t="b">
        <v>0</v>
      </c>
      <c r="L10" s="85" t="b">
        <v>0</v>
      </c>
      <c r="M10" s="85" t="b">
        <v>0</v>
      </c>
      <c r="N10" s="85" t="b">
        <v>0</v>
      </c>
      <c r="O10" s="113" t="s">
        <v>158</v>
      </c>
    </row>
    <row r="11" spans="1:15" s="86" customFormat="1">
      <c r="A11" s="109" t="s">
        <v>8</v>
      </c>
      <c r="B11" s="134" t="s">
        <v>1384</v>
      </c>
      <c r="C11" s="173">
        <v>3</v>
      </c>
      <c r="D11" s="108" t="s">
        <v>1409</v>
      </c>
      <c r="E11" s="81"/>
      <c r="F11" s="85" t="b">
        <v>0</v>
      </c>
      <c r="G11" s="85" t="b">
        <v>0</v>
      </c>
      <c r="H11" s="85" t="b">
        <v>0</v>
      </c>
      <c r="I11" s="85" t="b">
        <v>1</v>
      </c>
      <c r="J11" s="85" t="b">
        <v>0</v>
      </c>
      <c r="K11" s="85" t="b">
        <v>0</v>
      </c>
      <c r="L11" s="85" t="b">
        <v>0</v>
      </c>
      <c r="M11" s="85" t="b">
        <v>0</v>
      </c>
      <c r="N11" s="85" t="b">
        <v>0</v>
      </c>
      <c r="O11" s="113" t="s">
        <v>158</v>
      </c>
    </row>
    <row r="12" spans="1:15" s="86" customFormat="1">
      <c r="A12" s="109" t="s">
        <v>8</v>
      </c>
      <c r="B12" s="134" t="s">
        <v>1384</v>
      </c>
      <c r="C12" s="173">
        <v>1</v>
      </c>
      <c r="D12" s="108" t="s">
        <v>1410</v>
      </c>
      <c r="E12" s="81"/>
      <c r="F12" s="85" t="b">
        <v>0</v>
      </c>
      <c r="G12" s="85" t="b">
        <v>0</v>
      </c>
      <c r="H12" s="85" t="b">
        <v>0</v>
      </c>
      <c r="I12" s="85" t="b">
        <v>1</v>
      </c>
      <c r="J12" s="85" t="b">
        <v>1</v>
      </c>
      <c r="K12" s="85" t="b">
        <v>0</v>
      </c>
      <c r="L12" s="85" t="b">
        <v>0</v>
      </c>
      <c r="M12" s="85" t="b">
        <v>1</v>
      </c>
      <c r="N12" s="85" t="b">
        <v>0</v>
      </c>
      <c r="O12" s="113" t="s">
        <v>158</v>
      </c>
    </row>
    <row r="13" spans="1:15" s="86" customFormat="1">
      <c r="A13" s="109" t="s">
        <v>8</v>
      </c>
      <c r="B13" s="134" t="s">
        <v>1384</v>
      </c>
      <c r="C13" s="173">
        <v>2</v>
      </c>
      <c r="D13" s="108" t="s">
        <v>1411</v>
      </c>
      <c r="E13" s="81"/>
      <c r="F13" s="85" t="b">
        <v>0</v>
      </c>
      <c r="G13" s="85" t="b">
        <v>0</v>
      </c>
      <c r="H13" s="85" t="b">
        <v>0</v>
      </c>
      <c r="I13" s="85" t="b">
        <v>1</v>
      </c>
      <c r="J13" s="85" t="b">
        <v>0</v>
      </c>
      <c r="K13" s="85" t="b">
        <v>0</v>
      </c>
      <c r="L13" s="85" t="b">
        <v>0</v>
      </c>
      <c r="M13" s="85" t="b">
        <v>0</v>
      </c>
      <c r="N13" s="85" t="b">
        <v>0</v>
      </c>
      <c r="O13" s="113" t="s">
        <v>158</v>
      </c>
    </row>
    <row r="14" spans="1:15" s="86" customFormat="1">
      <c r="A14" s="109" t="s">
        <v>8</v>
      </c>
      <c r="B14" s="134" t="s">
        <v>1384</v>
      </c>
      <c r="C14" s="173">
        <v>2</v>
      </c>
      <c r="D14" s="108" t="s">
        <v>1412</v>
      </c>
      <c r="E14" s="81"/>
      <c r="F14" s="85" t="b">
        <v>0</v>
      </c>
      <c r="G14" s="85" t="b">
        <v>0</v>
      </c>
      <c r="H14" s="85" t="b">
        <v>0</v>
      </c>
      <c r="I14" s="85" t="b">
        <v>1</v>
      </c>
      <c r="J14" s="85" t="b">
        <v>0</v>
      </c>
      <c r="K14" s="85" t="b">
        <v>0</v>
      </c>
      <c r="L14" s="85" t="b">
        <v>0</v>
      </c>
      <c r="M14" s="85" t="b">
        <v>0</v>
      </c>
      <c r="N14" s="85" t="b">
        <v>0</v>
      </c>
      <c r="O14" s="113" t="s">
        <v>158</v>
      </c>
    </row>
    <row r="15" spans="1:15" s="86" customFormat="1">
      <c r="A15" s="109" t="s">
        <v>8</v>
      </c>
      <c r="B15" s="134" t="s">
        <v>1384</v>
      </c>
      <c r="C15" s="173">
        <v>4</v>
      </c>
      <c r="D15" s="108" t="s">
        <v>1414</v>
      </c>
      <c r="E15" s="81"/>
      <c r="F15" s="85" t="b">
        <v>1</v>
      </c>
      <c r="G15" s="85" t="b">
        <v>0</v>
      </c>
      <c r="H15" s="85" t="b">
        <v>0</v>
      </c>
      <c r="I15" s="85" t="b">
        <v>0</v>
      </c>
      <c r="J15" s="85" t="b">
        <v>0</v>
      </c>
      <c r="K15" s="85" t="b">
        <v>0</v>
      </c>
      <c r="L15" s="85" t="b">
        <v>0</v>
      </c>
      <c r="M15" s="85" t="b">
        <v>0</v>
      </c>
      <c r="N15" s="85" t="b">
        <v>0</v>
      </c>
      <c r="O15" s="113" t="s">
        <v>158</v>
      </c>
    </row>
    <row r="16" spans="1:15" s="86" customFormat="1">
      <c r="A16" s="109" t="s">
        <v>8</v>
      </c>
      <c r="B16" s="134" t="s">
        <v>1384</v>
      </c>
      <c r="C16" s="173">
        <v>4</v>
      </c>
      <c r="D16" s="108" t="s">
        <v>1415</v>
      </c>
      <c r="E16" s="81"/>
      <c r="F16" s="85" t="b">
        <v>1</v>
      </c>
      <c r="G16" s="85" t="b">
        <v>0</v>
      </c>
      <c r="H16" s="85" t="b">
        <v>0</v>
      </c>
      <c r="I16" s="85" t="b">
        <v>0</v>
      </c>
      <c r="J16" s="85" t="b">
        <v>0</v>
      </c>
      <c r="K16" s="85" t="b">
        <v>0</v>
      </c>
      <c r="L16" s="85" t="b">
        <v>0</v>
      </c>
      <c r="M16" s="85" t="b">
        <v>0</v>
      </c>
      <c r="N16" s="85" t="b">
        <v>0</v>
      </c>
      <c r="O16" s="113" t="s">
        <v>158</v>
      </c>
    </row>
    <row r="17" spans="1:15" s="86" customFormat="1">
      <c r="A17" s="109" t="s">
        <v>8</v>
      </c>
      <c r="B17" s="134" t="s">
        <v>1384</v>
      </c>
      <c r="C17" s="173">
        <v>3</v>
      </c>
      <c r="D17" s="108" t="s">
        <v>1550</v>
      </c>
      <c r="E17" s="81"/>
      <c r="F17" s="85" t="b">
        <v>1</v>
      </c>
      <c r="G17" s="85" t="b">
        <v>0</v>
      </c>
      <c r="H17" s="85" t="b">
        <v>0</v>
      </c>
      <c r="I17" s="85" t="b">
        <v>0</v>
      </c>
      <c r="J17" s="85" t="b">
        <v>0</v>
      </c>
      <c r="K17" s="85" t="b">
        <v>0</v>
      </c>
      <c r="L17" s="85" t="b">
        <v>0</v>
      </c>
      <c r="M17" s="85" t="b">
        <v>0</v>
      </c>
      <c r="N17" s="85" t="b">
        <v>0</v>
      </c>
      <c r="O17" s="113" t="s">
        <v>158</v>
      </c>
    </row>
    <row r="18" spans="1:15" s="86" customFormat="1">
      <c r="A18" s="109" t="s">
        <v>8</v>
      </c>
      <c r="B18" s="134" t="s">
        <v>1384</v>
      </c>
      <c r="C18" s="173">
        <v>3</v>
      </c>
      <c r="D18" s="108" t="s">
        <v>1551</v>
      </c>
      <c r="E18" s="81"/>
      <c r="F18" s="85" t="b">
        <v>1</v>
      </c>
      <c r="G18" s="85" t="b">
        <v>0</v>
      </c>
      <c r="H18" s="85" t="b">
        <v>0</v>
      </c>
      <c r="I18" s="85" t="b">
        <v>0</v>
      </c>
      <c r="J18" s="85" t="b">
        <v>0</v>
      </c>
      <c r="K18" s="85" t="b">
        <v>0</v>
      </c>
      <c r="L18" s="85" t="b">
        <v>0</v>
      </c>
      <c r="M18" s="85" t="b">
        <v>0</v>
      </c>
      <c r="N18" s="85" t="b">
        <v>0</v>
      </c>
      <c r="O18" s="113" t="s">
        <v>158</v>
      </c>
    </row>
    <row r="19" spans="1:15" s="86" customFormat="1">
      <c r="A19" s="109" t="s">
        <v>8</v>
      </c>
      <c r="B19" s="134" t="s">
        <v>1384</v>
      </c>
      <c r="C19" s="173">
        <v>3</v>
      </c>
      <c r="D19" s="108" t="s">
        <v>1552</v>
      </c>
      <c r="E19" s="81"/>
      <c r="F19" s="85" t="b">
        <v>1</v>
      </c>
      <c r="G19" s="85" t="b">
        <v>0</v>
      </c>
      <c r="H19" s="85" t="b">
        <v>0</v>
      </c>
      <c r="I19" s="85" t="b">
        <v>0</v>
      </c>
      <c r="J19" s="85" t="b">
        <v>0</v>
      </c>
      <c r="K19" s="85" t="b">
        <v>0</v>
      </c>
      <c r="L19" s="85" t="b">
        <v>0</v>
      </c>
      <c r="M19" s="85" t="b">
        <v>0</v>
      </c>
      <c r="N19" s="85" t="b">
        <v>0</v>
      </c>
      <c r="O19" s="113" t="s">
        <v>158</v>
      </c>
    </row>
    <row r="20" spans="1:15" s="86" customFormat="1">
      <c r="A20" s="109" t="s">
        <v>8</v>
      </c>
      <c r="B20" s="134" t="s">
        <v>1384</v>
      </c>
      <c r="C20" s="173">
        <v>3</v>
      </c>
      <c r="D20" s="108" t="s">
        <v>1553</v>
      </c>
      <c r="E20" s="81"/>
      <c r="F20" s="85" t="b">
        <v>1</v>
      </c>
      <c r="G20" s="85" t="b">
        <v>0</v>
      </c>
      <c r="H20" s="85" t="b">
        <v>0</v>
      </c>
      <c r="I20" s="85" t="b">
        <v>0</v>
      </c>
      <c r="J20" s="85" t="b">
        <v>0</v>
      </c>
      <c r="K20" s="85" t="b">
        <v>0</v>
      </c>
      <c r="L20" s="85" t="b">
        <v>0</v>
      </c>
      <c r="M20" s="85" t="b">
        <v>0</v>
      </c>
      <c r="N20" s="85" t="b">
        <v>0</v>
      </c>
      <c r="O20" s="113" t="s">
        <v>158</v>
      </c>
    </row>
    <row r="21" spans="1:15" s="86" customFormat="1" ht="36">
      <c r="A21" s="109" t="s">
        <v>8</v>
      </c>
      <c r="B21" s="134" t="s">
        <v>1384</v>
      </c>
      <c r="C21" s="139">
        <v>3</v>
      </c>
      <c r="D21" s="159" t="s">
        <v>1554</v>
      </c>
      <c r="E21" s="84"/>
      <c r="F21" s="85" t="b">
        <v>0</v>
      </c>
      <c r="G21" s="85" t="b">
        <v>0</v>
      </c>
      <c r="H21" s="85" t="b">
        <v>0</v>
      </c>
      <c r="I21" s="85" t="b">
        <v>1</v>
      </c>
      <c r="J21" s="85" t="b">
        <v>0</v>
      </c>
      <c r="K21" s="85" t="b">
        <v>0</v>
      </c>
      <c r="L21" s="85" t="b">
        <v>0</v>
      </c>
      <c r="M21" s="85" t="b">
        <v>0</v>
      </c>
      <c r="N21" s="85" t="b">
        <v>0</v>
      </c>
      <c r="O21" s="113" t="s">
        <v>158</v>
      </c>
    </row>
    <row r="22" spans="1:15" s="86" customFormat="1">
      <c r="A22" s="109" t="s">
        <v>8</v>
      </c>
      <c r="B22" s="133" t="s">
        <v>1422</v>
      </c>
      <c r="C22" s="172">
        <v>2</v>
      </c>
      <c r="D22" s="108" t="s">
        <v>1423</v>
      </c>
      <c r="E22" s="81"/>
      <c r="F22" s="85" t="b">
        <v>0</v>
      </c>
      <c r="G22" s="85" t="b">
        <v>0</v>
      </c>
      <c r="H22" s="85" t="b">
        <v>0</v>
      </c>
      <c r="I22" s="85" t="b">
        <v>1</v>
      </c>
      <c r="J22" s="85" t="b">
        <v>0</v>
      </c>
      <c r="K22" s="85" t="b">
        <v>0</v>
      </c>
      <c r="L22" s="85" t="b">
        <v>0</v>
      </c>
      <c r="M22" s="85" t="b">
        <v>0</v>
      </c>
      <c r="N22" s="85" t="b">
        <v>0</v>
      </c>
      <c r="O22" s="113" t="s">
        <v>158</v>
      </c>
    </row>
    <row r="23" spans="1:15" s="86" customFormat="1">
      <c r="A23" s="109" t="s">
        <v>8</v>
      </c>
      <c r="B23" s="133" t="s">
        <v>1425</v>
      </c>
      <c r="C23" s="172">
        <v>1</v>
      </c>
      <c r="D23" s="108" t="s">
        <v>1426</v>
      </c>
      <c r="E23" s="81"/>
      <c r="F23" s="85" t="b">
        <v>1</v>
      </c>
      <c r="G23" s="85" t="b">
        <v>0</v>
      </c>
      <c r="H23" s="85" t="b">
        <v>0</v>
      </c>
      <c r="I23" s="85" t="b">
        <v>1</v>
      </c>
      <c r="J23" s="85" t="b">
        <v>0</v>
      </c>
      <c r="K23" s="85" t="b">
        <v>0</v>
      </c>
      <c r="L23" s="85" t="b">
        <v>1</v>
      </c>
      <c r="M23" s="85" t="b">
        <v>0</v>
      </c>
      <c r="N23" s="85" t="b">
        <v>0</v>
      </c>
      <c r="O23" s="113" t="s">
        <v>158</v>
      </c>
    </row>
    <row r="24" spans="1:15" s="86" customFormat="1">
      <c r="A24" s="109" t="s">
        <v>8</v>
      </c>
      <c r="B24" s="133" t="s">
        <v>1425</v>
      </c>
      <c r="C24" s="172">
        <v>1</v>
      </c>
      <c r="D24" s="137" t="s">
        <v>1555</v>
      </c>
      <c r="E24" s="81"/>
      <c r="F24" s="85" t="b">
        <v>1</v>
      </c>
      <c r="G24" s="85" t="b">
        <v>0</v>
      </c>
      <c r="H24" s="85" t="b">
        <v>0</v>
      </c>
      <c r="I24" s="85" t="b">
        <v>0</v>
      </c>
      <c r="J24" s="85" t="b">
        <v>0</v>
      </c>
      <c r="K24" s="85" t="b">
        <v>0</v>
      </c>
      <c r="L24" s="85" t="b">
        <v>1</v>
      </c>
      <c r="M24" s="85" t="b">
        <v>0</v>
      </c>
      <c r="N24" s="85" t="b">
        <v>0</v>
      </c>
      <c r="O24" s="113" t="s">
        <v>158</v>
      </c>
    </row>
    <row r="25" spans="1:15" s="86" customFormat="1">
      <c r="A25" s="109" t="s">
        <v>8</v>
      </c>
      <c r="B25" s="133" t="s">
        <v>1429</v>
      </c>
      <c r="C25" s="172">
        <v>2</v>
      </c>
      <c r="D25" s="137" t="s">
        <v>1556</v>
      </c>
      <c r="E25" s="81"/>
      <c r="F25" s="85" t="b">
        <v>0</v>
      </c>
      <c r="G25" s="85" t="b">
        <v>0</v>
      </c>
      <c r="H25" s="85" t="b">
        <v>0</v>
      </c>
      <c r="I25" s="85" t="b">
        <v>1</v>
      </c>
      <c r="J25" s="85" t="b">
        <v>0</v>
      </c>
      <c r="K25" s="85" t="b">
        <v>0</v>
      </c>
      <c r="L25" s="85" t="b">
        <v>0</v>
      </c>
      <c r="M25" s="85" t="b">
        <v>0</v>
      </c>
      <c r="N25" s="85" t="b">
        <v>0</v>
      </c>
      <c r="O25" s="113" t="s">
        <v>158</v>
      </c>
    </row>
    <row r="26" spans="1:15" s="86" customFormat="1">
      <c r="A26" s="109" t="s">
        <v>8</v>
      </c>
      <c r="B26" s="133" t="s">
        <v>1429</v>
      </c>
      <c r="C26" s="172">
        <v>1</v>
      </c>
      <c r="D26" s="137" t="s">
        <v>1557</v>
      </c>
      <c r="E26" s="81"/>
      <c r="F26" s="85" t="b">
        <v>0</v>
      </c>
      <c r="G26" s="85" t="b">
        <v>0</v>
      </c>
      <c r="H26" s="85" t="b">
        <v>0</v>
      </c>
      <c r="I26" s="85" t="b">
        <v>1</v>
      </c>
      <c r="J26" s="85" t="b">
        <v>0</v>
      </c>
      <c r="K26" s="85" t="b">
        <v>0</v>
      </c>
      <c r="L26" s="85" t="b">
        <v>0</v>
      </c>
      <c r="M26" s="85" t="b">
        <v>0</v>
      </c>
      <c r="N26" s="85" t="b">
        <v>0</v>
      </c>
      <c r="O26" s="113" t="s">
        <v>158</v>
      </c>
    </row>
    <row r="27" spans="1:15" s="86" customFormat="1">
      <c r="A27" s="109" t="s">
        <v>8</v>
      </c>
      <c r="B27" s="133" t="s">
        <v>1429</v>
      </c>
      <c r="C27" s="172">
        <v>5</v>
      </c>
      <c r="D27" s="137" t="s">
        <v>1558</v>
      </c>
      <c r="E27" s="81"/>
      <c r="F27" s="85" t="b">
        <v>0</v>
      </c>
      <c r="G27" s="85" t="b">
        <v>0</v>
      </c>
      <c r="H27" s="85" t="b">
        <v>0</v>
      </c>
      <c r="I27" s="85" t="b">
        <v>1</v>
      </c>
      <c r="J27" s="85" t="b">
        <v>0</v>
      </c>
      <c r="K27" s="85" t="b">
        <v>0</v>
      </c>
      <c r="L27" s="85" t="b">
        <v>0</v>
      </c>
      <c r="M27" s="85" t="b">
        <v>0</v>
      </c>
      <c r="N27" s="85" t="b">
        <v>0</v>
      </c>
      <c r="O27" s="113" t="s">
        <v>158</v>
      </c>
    </row>
    <row r="28" spans="1:15" s="86" customFormat="1">
      <c r="A28" s="109" t="s">
        <v>8</v>
      </c>
      <c r="B28" s="133" t="s">
        <v>1429</v>
      </c>
      <c r="C28" s="172">
        <v>5</v>
      </c>
      <c r="D28" s="137" t="s">
        <v>1559</v>
      </c>
      <c r="E28" s="81"/>
      <c r="F28" s="85" t="b">
        <v>1</v>
      </c>
      <c r="G28" s="85" t="b">
        <v>0</v>
      </c>
      <c r="H28" s="85" t="b">
        <v>0</v>
      </c>
      <c r="I28" s="85" t="b">
        <v>0</v>
      </c>
      <c r="J28" s="85" t="b">
        <v>0</v>
      </c>
      <c r="K28" s="85" t="b">
        <v>0</v>
      </c>
      <c r="L28" s="85" t="b">
        <v>0</v>
      </c>
      <c r="M28" s="85" t="b">
        <v>0</v>
      </c>
      <c r="N28" s="85" t="b">
        <v>0</v>
      </c>
      <c r="O28" s="113" t="s">
        <v>158</v>
      </c>
    </row>
    <row r="29" spans="1:15" s="86" customFormat="1">
      <c r="A29" s="109" t="s">
        <v>8</v>
      </c>
      <c r="B29" s="133" t="s">
        <v>1429</v>
      </c>
      <c r="C29" s="172">
        <v>3</v>
      </c>
      <c r="D29" s="137" t="s">
        <v>1560</v>
      </c>
      <c r="E29" s="81"/>
      <c r="F29" s="85" t="b">
        <v>0</v>
      </c>
      <c r="G29" s="85" t="b">
        <v>0</v>
      </c>
      <c r="H29" s="85" t="b">
        <v>0</v>
      </c>
      <c r="I29" s="85" t="b">
        <v>1</v>
      </c>
      <c r="J29" s="85" t="b">
        <v>0</v>
      </c>
      <c r="K29" s="85" t="b">
        <v>0</v>
      </c>
      <c r="L29" s="85" t="b">
        <v>0</v>
      </c>
      <c r="M29" s="85" t="b">
        <v>0</v>
      </c>
      <c r="N29" s="85" t="b">
        <v>0</v>
      </c>
      <c r="O29" s="113" t="s">
        <v>158</v>
      </c>
    </row>
    <row r="30" spans="1:15" s="86" customFormat="1">
      <c r="A30" s="109" t="s">
        <v>8</v>
      </c>
      <c r="B30" s="159" t="s">
        <v>1561</v>
      </c>
      <c r="C30" s="138">
        <v>1</v>
      </c>
      <c r="D30" s="137" t="s">
        <v>1562</v>
      </c>
      <c r="E30" s="84"/>
      <c r="F30" s="85" t="b">
        <v>1</v>
      </c>
      <c r="G30" s="85" t="b">
        <v>0</v>
      </c>
      <c r="H30" s="85" t="b">
        <v>0</v>
      </c>
      <c r="I30" s="85" t="b">
        <v>0</v>
      </c>
      <c r="J30" s="85" t="b">
        <v>0</v>
      </c>
      <c r="K30" s="85" t="b">
        <v>0</v>
      </c>
      <c r="L30" s="85" t="b">
        <v>0</v>
      </c>
      <c r="M30" s="85" t="b">
        <v>0</v>
      </c>
      <c r="N30" s="85" t="b">
        <v>0</v>
      </c>
      <c r="O30" s="113" t="s">
        <v>158</v>
      </c>
    </row>
    <row r="31" spans="1:15" s="86" customFormat="1">
      <c r="A31" s="109" t="s">
        <v>8</v>
      </c>
      <c r="B31" s="133" t="s">
        <v>131</v>
      </c>
      <c r="C31" s="172">
        <v>2</v>
      </c>
      <c r="D31" s="108" t="s">
        <v>1443</v>
      </c>
      <c r="E31" s="81"/>
      <c r="F31" s="85" t="b">
        <v>0</v>
      </c>
      <c r="G31" s="85" t="b">
        <v>0</v>
      </c>
      <c r="H31" s="85" t="b">
        <v>0</v>
      </c>
      <c r="I31" s="85" t="b">
        <v>1</v>
      </c>
      <c r="J31" s="85" t="b">
        <v>0</v>
      </c>
      <c r="K31" s="85" t="b">
        <v>0</v>
      </c>
      <c r="L31" s="85" t="b">
        <v>0</v>
      </c>
      <c r="M31" s="85" t="b">
        <v>0</v>
      </c>
      <c r="N31" s="85" t="b">
        <v>0</v>
      </c>
      <c r="O31" s="113" t="s">
        <v>158</v>
      </c>
    </row>
    <row r="32" spans="1:15" s="86" customFormat="1">
      <c r="A32" s="109" t="s">
        <v>8</v>
      </c>
      <c r="B32" s="133" t="s">
        <v>1446</v>
      </c>
      <c r="C32" s="172">
        <v>2</v>
      </c>
      <c r="D32" s="136" t="s">
        <v>1563</v>
      </c>
      <c r="E32" s="81"/>
      <c r="F32" s="85" t="b">
        <v>0</v>
      </c>
      <c r="G32" s="85" t="b">
        <v>0</v>
      </c>
      <c r="H32" s="85" t="b">
        <v>0</v>
      </c>
      <c r="I32" s="85" t="b">
        <v>0</v>
      </c>
      <c r="J32" s="85" t="b">
        <v>0</v>
      </c>
      <c r="K32" s="85" t="b">
        <v>0</v>
      </c>
      <c r="L32" s="85" t="b">
        <v>0</v>
      </c>
      <c r="M32" s="85" t="b">
        <v>0</v>
      </c>
      <c r="N32" s="85" t="b">
        <v>0</v>
      </c>
      <c r="O32" s="113" t="s">
        <v>158</v>
      </c>
    </row>
    <row r="33" spans="1:15" s="86" customFormat="1">
      <c r="A33" s="109" t="s">
        <v>8</v>
      </c>
      <c r="B33" s="133" t="s">
        <v>1446</v>
      </c>
      <c r="C33" s="172">
        <v>3</v>
      </c>
      <c r="D33" s="108" t="s">
        <v>1449</v>
      </c>
      <c r="E33" s="81"/>
      <c r="F33" s="85" t="b">
        <v>1</v>
      </c>
      <c r="G33" s="85" t="b">
        <v>0</v>
      </c>
      <c r="H33" s="85" t="b">
        <v>0</v>
      </c>
      <c r="I33" s="85" t="b">
        <v>0</v>
      </c>
      <c r="J33" s="85" t="b">
        <v>0</v>
      </c>
      <c r="K33" s="85" t="b">
        <v>0</v>
      </c>
      <c r="L33" s="85" t="b">
        <v>0</v>
      </c>
      <c r="M33" s="85" t="b">
        <v>0</v>
      </c>
      <c r="N33" s="85" t="b">
        <v>0</v>
      </c>
      <c r="O33" s="113" t="s">
        <v>158</v>
      </c>
    </row>
    <row r="34" spans="1:15" s="86" customFormat="1">
      <c r="A34" s="109" t="s">
        <v>8</v>
      </c>
      <c r="B34" s="133" t="s">
        <v>1446</v>
      </c>
      <c r="C34" s="172">
        <v>1</v>
      </c>
      <c r="D34" s="108" t="s">
        <v>1450</v>
      </c>
      <c r="E34" s="81"/>
      <c r="F34" s="85" t="b">
        <v>0</v>
      </c>
      <c r="G34" s="85" t="b">
        <v>0</v>
      </c>
      <c r="H34" s="85" t="b">
        <v>0</v>
      </c>
      <c r="I34" s="85" t="b">
        <v>1</v>
      </c>
      <c r="J34" s="85" t="b">
        <v>0</v>
      </c>
      <c r="K34" s="85" t="b">
        <v>0</v>
      </c>
      <c r="L34" s="85" t="b">
        <v>0</v>
      </c>
      <c r="M34" s="85" t="b">
        <v>0</v>
      </c>
      <c r="N34" s="85" t="b">
        <v>0</v>
      </c>
      <c r="O34" s="113" t="s">
        <v>158</v>
      </c>
    </row>
    <row r="35" spans="1:15" s="86" customFormat="1">
      <c r="A35" s="109" t="s">
        <v>8</v>
      </c>
      <c r="B35" s="133" t="s">
        <v>1446</v>
      </c>
      <c r="C35" s="172">
        <v>1</v>
      </c>
      <c r="D35" s="108" t="s">
        <v>1451</v>
      </c>
      <c r="E35" s="81"/>
      <c r="F35" s="85" t="b">
        <v>0</v>
      </c>
      <c r="G35" s="85" t="b">
        <v>0</v>
      </c>
      <c r="H35" s="85" t="b">
        <v>0</v>
      </c>
      <c r="I35" s="85" t="b">
        <v>1</v>
      </c>
      <c r="J35" s="85" t="b">
        <v>0</v>
      </c>
      <c r="K35" s="85" t="b">
        <v>0</v>
      </c>
      <c r="L35" s="85" t="b">
        <v>0</v>
      </c>
      <c r="M35" s="85" t="b">
        <v>0</v>
      </c>
      <c r="N35" s="85" t="b">
        <v>0</v>
      </c>
      <c r="O35" s="113" t="s">
        <v>158</v>
      </c>
    </row>
    <row r="36" spans="1:15" s="86" customFormat="1">
      <c r="A36" s="109" t="s">
        <v>8</v>
      </c>
      <c r="B36" s="133" t="s">
        <v>1446</v>
      </c>
      <c r="C36" s="172">
        <v>1</v>
      </c>
      <c r="D36" s="108" t="s">
        <v>1452</v>
      </c>
      <c r="E36" s="81"/>
      <c r="F36" s="85" t="b">
        <v>0</v>
      </c>
      <c r="G36" s="85" t="b">
        <v>0</v>
      </c>
      <c r="H36" s="85" t="b">
        <v>0</v>
      </c>
      <c r="I36" s="85" t="b">
        <v>1</v>
      </c>
      <c r="J36" s="85" t="b">
        <v>0</v>
      </c>
      <c r="K36" s="85" t="b">
        <v>0</v>
      </c>
      <c r="L36" s="85" t="b">
        <v>0</v>
      </c>
      <c r="M36" s="85" t="b">
        <v>0</v>
      </c>
      <c r="N36" s="85" t="b">
        <v>0</v>
      </c>
      <c r="O36" s="113" t="s">
        <v>158</v>
      </c>
    </row>
    <row r="37" spans="1:15" s="86" customFormat="1">
      <c r="A37" s="109" t="s">
        <v>8</v>
      </c>
      <c r="B37" s="133" t="s">
        <v>1446</v>
      </c>
      <c r="C37" s="172">
        <v>2</v>
      </c>
      <c r="D37" s="108" t="s">
        <v>1453</v>
      </c>
      <c r="E37" s="81"/>
      <c r="F37" s="85" t="b">
        <v>0</v>
      </c>
      <c r="G37" s="85" t="b">
        <v>0</v>
      </c>
      <c r="H37" s="85" t="b">
        <v>0</v>
      </c>
      <c r="I37" s="85" t="b">
        <v>1</v>
      </c>
      <c r="J37" s="85" t="b">
        <v>0</v>
      </c>
      <c r="K37" s="85" t="b">
        <v>0</v>
      </c>
      <c r="L37" s="85" t="b">
        <v>0</v>
      </c>
      <c r="M37" s="85" t="b">
        <v>0</v>
      </c>
      <c r="N37" s="85" t="b">
        <v>0</v>
      </c>
      <c r="O37" s="113" t="s">
        <v>158</v>
      </c>
    </row>
    <row r="38" spans="1:15" s="86" customFormat="1">
      <c r="A38" s="109" t="s">
        <v>8</v>
      </c>
      <c r="B38" s="133" t="s">
        <v>1446</v>
      </c>
      <c r="C38" s="172">
        <v>2</v>
      </c>
      <c r="D38" s="108" t="s">
        <v>1454</v>
      </c>
      <c r="E38" s="81"/>
      <c r="F38" s="85" t="b">
        <v>0</v>
      </c>
      <c r="G38" s="85" t="b">
        <v>0</v>
      </c>
      <c r="H38" s="85" t="b">
        <v>0</v>
      </c>
      <c r="I38" s="85" t="b">
        <v>1</v>
      </c>
      <c r="J38" s="85" t="b">
        <v>0</v>
      </c>
      <c r="K38" s="85" t="b">
        <v>0</v>
      </c>
      <c r="L38" s="85" t="b">
        <v>0</v>
      </c>
      <c r="M38" s="85" t="b">
        <v>0</v>
      </c>
      <c r="N38" s="85" t="b">
        <v>0</v>
      </c>
      <c r="O38" s="113" t="s">
        <v>158</v>
      </c>
    </row>
    <row r="39" spans="1:15" s="86" customFormat="1">
      <c r="A39" s="109" t="s">
        <v>8</v>
      </c>
      <c r="B39" s="133" t="s">
        <v>1446</v>
      </c>
      <c r="C39" s="172">
        <v>2</v>
      </c>
      <c r="D39" s="108" t="s">
        <v>1455</v>
      </c>
      <c r="E39" s="81"/>
      <c r="F39" s="85" t="b">
        <v>0</v>
      </c>
      <c r="G39" s="85" t="b">
        <v>0</v>
      </c>
      <c r="H39" s="85" t="b">
        <v>0</v>
      </c>
      <c r="I39" s="85" t="b">
        <v>1</v>
      </c>
      <c r="J39" s="85" t="b">
        <v>0</v>
      </c>
      <c r="K39" s="85" t="b">
        <v>0</v>
      </c>
      <c r="L39" s="85" t="b">
        <v>0</v>
      </c>
      <c r="M39" s="85" t="b">
        <v>0</v>
      </c>
      <c r="N39" s="85" t="b">
        <v>0</v>
      </c>
      <c r="O39" s="113" t="s">
        <v>158</v>
      </c>
    </row>
    <row r="40" spans="1:15" s="86" customFormat="1">
      <c r="A40" s="109" t="s">
        <v>8</v>
      </c>
      <c r="B40" s="133" t="s">
        <v>1446</v>
      </c>
      <c r="C40" s="172">
        <v>3</v>
      </c>
      <c r="D40" s="108" t="s">
        <v>1456</v>
      </c>
      <c r="E40" s="81"/>
      <c r="F40" s="85" t="b">
        <v>0</v>
      </c>
      <c r="G40" s="85" t="b">
        <v>0</v>
      </c>
      <c r="H40" s="85" t="b">
        <v>0</v>
      </c>
      <c r="I40" s="85" t="b">
        <v>1</v>
      </c>
      <c r="J40" s="85" t="b">
        <v>0</v>
      </c>
      <c r="K40" s="85" t="b">
        <v>0</v>
      </c>
      <c r="L40" s="85" t="b">
        <v>0</v>
      </c>
      <c r="M40" s="85" t="b">
        <v>0</v>
      </c>
      <c r="N40" s="85" t="b">
        <v>0</v>
      </c>
      <c r="O40" s="113" t="s">
        <v>158</v>
      </c>
    </row>
    <row r="41" spans="1:15" s="86" customFormat="1">
      <c r="A41" s="109" t="s">
        <v>8</v>
      </c>
      <c r="B41" s="133" t="s">
        <v>1458</v>
      </c>
      <c r="C41" s="172">
        <v>2</v>
      </c>
      <c r="D41" s="108" t="s">
        <v>1459</v>
      </c>
      <c r="E41" s="81"/>
      <c r="F41" s="85" t="b">
        <v>0</v>
      </c>
      <c r="G41" s="85" t="b">
        <v>0</v>
      </c>
      <c r="H41" s="85" t="b">
        <v>0</v>
      </c>
      <c r="I41" s="85" t="b">
        <v>1</v>
      </c>
      <c r="J41" s="85" t="b">
        <v>0</v>
      </c>
      <c r="K41" s="85" t="b">
        <v>0</v>
      </c>
      <c r="L41" s="85" t="b">
        <v>0</v>
      </c>
      <c r="M41" s="85" t="b">
        <v>0</v>
      </c>
      <c r="N41" s="85" t="b">
        <v>0</v>
      </c>
      <c r="O41" s="113" t="s">
        <v>158</v>
      </c>
    </row>
    <row r="42" spans="1:15" s="86" customFormat="1">
      <c r="A42" s="109" t="s">
        <v>8</v>
      </c>
      <c r="B42" s="133" t="s">
        <v>1458</v>
      </c>
      <c r="C42" s="172">
        <v>2</v>
      </c>
      <c r="D42" s="108" t="s">
        <v>1460</v>
      </c>
      <c r="E42" s="81"/>
      <c r="F42" s="85" t="b">
        <v>0</v>
      </c>
      <c r="G42" s="85" t="b">
        <v>0</v>
      </c>
      <c r="H42" s="85" t="b">
        <v>0</v>
      </c>
      <c r="I42" s="85" t="b">
        <v>1</v>
      </c>
      <c r="J42" s="85" t="b">
        <v>0</v>
      </c>
      <c r="K42" s="85" t="b">
        <v>0</v>
      </c>
      <c r="L42" s="85" t="b">
        <v>0</v>
      </c>
      <c r="M42" s="85" t="b">
        <v>0</v>
      </c>
      <c r="N42" s="85" t="b">
        <v>0</v>
      </c>
      <c r="O42" s="113" t="s">
        <v>158</v>
      </c>
    </row>
    <row r="43" spans="1:15" s="86" customFormat="1">
      <c r="A43" s="109" t="s">
        <v>8</v>
      </c>
      <c r="B43" s="133" t="s">
        <v>1564</v>
      </c>
      <c r="C43" s="172">
        <v>2</v>
      </c>
      <c r="D43" s="108" t="s">
        <v>1423</v>
      </c>
      <c r="E43" s="81"/>
      <c r="F43" s="85" t="b">
        <v>0</v>
      </c>
      <c r="G43" s="85" t="b">
        <v>0</v>
      </c>
      <c r="H43" s="85" t="b">
        <v>0</v>
      </c>
      <c r="I43" s="85" t="b">
        <v>1</v>
      </c>
      <c r="J43" s="85" t="b">
        <v>0</v>
      </c>
      <c r="K43" s="85" t="b">
        <v>0</v>
      </c>
      <c r="L43" s="85" t="b">
        <v>0</v>
      </c>
      <c r="M43" s="85" t="b">
        <v>0</v>
      </c>
      <c r="N43" s="85" t="b">
        <v>0</v>
      </c>
      <c r="O43" s="113" t="s">
        <v>158</v>
      </c>
    </row>
    <row r="44" spans="1:15" s="86" customFormat="1">
      <c r="A44" s="109" t="s">
        <v>8</v>
      </c>
      <c r="B44" s="135" t="s">
        <v>1565</v>
      </c>
      <c r="C44" s="172">
        <v>1</v>
      </c>
      <c r="D44" s="108" t="s">
        <v>1426</v>
      </c>
      <c r="E44" s="81"/>
      <c r="F44" s="85" t="b">
        <v>0</v>
      </c>
      <c r="G44" s="85" t="b">
        <v>0</v>
      </c>
      <c r="H44" s="85" t="b">
        <v>0</v>
      </c>
      <c r="I44" s="85" t="b">
        <v>1</v>
      </c>
      <c r="J44" s="85" t="b">
        <v>0</v>
      </c>
      <c r="K44" s="85" t="b">
        <v>0</v>
      </c>
      <c r="L44" s="85" t="b">
        <v>0</v>
      </c>
      <c r="M44" s="85" t="b">
        <v>0</v>
      </c>
      <c r="N44" s="85" t="b">
        <v>0</v>
      </c>
      <c r="O44" s="113" t="s">
        <v>158</v>
      </c>
    </row>
    <row r="45" spans="1:15" s="86" customFormat="1" ht="54">
      <c r="A45" s="109" t="s">
        <v>8</v>
      </c>
      <c r="B45" s="159" t="s">
        <v>1566</v>
      </c>
      <c r="C45" s="272">
        <v>1</v>
      </c>
      <c r="D45" s="271" t="s">
        <v>1426</v>
      </c>
      <c r="E45" s="81"/>
      <c r="F45" s="85" t="b">
        <v>0</v>
      </c>
      <c r="G45" s="85" t="b">
        <v>0</v>
      </c>
      <c r="H45" s="85" t="b">
        <v>0</v>
      </c>
      <c r="I45" s="85" t="b">
        <v>1</v>
      </c>
      <c r="J45" s="85" t="b">
        <v>0</v>
      </c>
      <c r="K45" s="85" t="b">
        <v>0</v>
      </c>
      <c r="L45" s="85" t="b">
        <v>0</v>
      </c>
      <c r="M45" s="85" t="b">
        <v>0</v>
      </c>
      <c r="N45" s="85" t="b">
        <v>0</v>
      </c>
      <c r="O45" s="113" t="s">
        <v>158</v>
      </c>
    </row>
    <row r="46" spans="1:15" s="86" customFormat="1">
      <c r="A46" s="109" t="s">
        <v>8</v>
      </c>
      <c r="B46" s="135" t="s">
        <v>1567</v>
      </c>
      <c r="C46" s="172">
        <v>1</v>
      </c>
      <c r="D46" s="108" t="s">
        <v>115</v>
      </c>
      <c r="E46" s="81"/>
      <c r="F46" s="85" t="b">
        <v>1</v>
      </c>
      <c r="G46" s="85" t="b">
        <v>0</v>
      </c>
      <c r="H46" s="85" t="b">
        <v>0</v>
      </c>
      <c r="I46" s="85" t="b">
        <v>0</v>
      </c>
      <c r="J46" s="85" t="b">
        <v>0</v>
      </c>
      <c r="K46" s="85" t="b">
        <v>0</v>
      </c>
      <c r="L46" s="85" t="b">
        <v>0</v>
      </c>
      <c r="M46" s="85" t="b">
        <v>0</v>
      </c>
      <c r="N46" s="85" t="b">
        <v>0</v>
      </c>
      <c r="O46" s="113" t="s">
        <v>158</v>
      </c>
    </row>
    <row r="47" spans="1:15" s="86" customFormat="1">
      <c r="A47" s="109" t="s">
        <v>8</v>
      </c>
      <c r="B47" s="135" t="s">
        <v>1568</v>
      </c>
      <c r="C47" s="172">
        <v>1</v>
      </c>
      <c r="D47" s="108" t="s">
        <v>1484</v>
      </c>
      <c r="E47" s="81"/>
      <c r="F47" s="85" t="b">
        <v>0</v>
      </c>
      <c r="G47" s="85" t="b">
        <v>0</v>
      </c>
      <c r="H47" s="85" t="b">
        <v>0</v>
      </c>
      <c r="I47" s="85" t="b">
        <v>1</v>
      </c>
      <c r="J47" s="85" t="b">
        <v>0</v>
      </c>
      <c r="K47" s="85" t="b">
        <v>0</v>
      </c>
      <c r="L47" s="85" t="b">
        <v>0</v>
      </c>
      <c r="M47" s="85" t="b">
        <v>0</v>
      </c>
      <c r="N47" s="85" t="b">
        <v>0</v>
      </c>
      <c r="O47" s="113" t="s">
        <v>158</v>
      </c>
    </row>
    <row r="48" spans="1:15" s="86" customFormat="1" ht="36">
      <c r="A48" s="109" t="s">
        <v>8</v>
      </c>
      <c r="B48" s="133" t="s">
        <v>1569</v>
      </c>
      <c r="C48" s="172">
        <v>1</v>
      </c>
      <c r="D48" s="108" t="s">
        <v>1426</v>
      </c>
      <c r="E48" s="81"/>
      <c r="F48" s="85" t="b">
        <v>0</v>
      </c>
      <c r="G48" s="85" t="b">
        <v>0</v>
      </c>
      <c r="H48" s="85" t="b">
        <v>0</v>
      </c>
      <c r="I48" s="85" t="b">
        <v>0</v>
      </c>
      <c r="J48" s="85" t="b">
        <v>0</v>
      </c>
      <c r="K48" s="85" t="b">
        <v>0</v>
      </c>
      <c r="L48" s="85" t="b">
        <v>0</v>
      </c>
      <c r="M48" s="85" t="b">
        <v>0</v>
      </c>
      <c r="N48" s="85" t="b">
        <v>0</v>
      </c>
      <c r="O48" s="113" t="s">
        <v>158</v>
      </c>
    </row>
    <row r="49" spans="1:16" s="86" customFormat="1">
      <c r="A49" s="109" t="s">
        <v>8</v>
      </c>
      <c r="B49" s="133" t="s">
        <v>1487</v>
      </c>
      <c r="C49" s="172" t="s">
        <v>274</v>
      </c>
      <c r="D49" s="137" t="s">
        <v>1570</v>
      </c>
      <c r="E49" s="81"/>
      <c r="F49" s="85" t="b">
        <v>1</v>
      </c>
      <c r="G49" s="85" t="b">
        <v>0</v>
      </c>
      <c r="H49" s="85" t="b">
        <v>0</v>
      </c>
      <c r="I49" s="85" t="b">
        <v>0</v>
      </c>
      <c r="J49" s="85" t="b">
        <v>0</v>
      </c>
      <c r="K49" s="85" t="b">
        <v>0</v>
      </c>
      <c r="L49" s="85" t="b">
        <v>1</v>
      </c>
      <c r="M49" s="85" t="b">
        <v>0</v>
      </c>
      <c r="N49" s="85" t="b">
        <v>0</v>
      </c>
      <c r="O49" s="113" t="s">
        <v>158</v>
      </c>
    </row>
    <row r="50" spans="1:16" s="86" customFormat="1">
      <c r="A50" s="109" t="s">
        <v>8</v>
      </c>
      <c r="B50" s="133" t="s">
        <v>1487</v>
      </c>
      <c r="C50" s="172">
        <v>2</v>
      </c>
      <c r="D50" s="108" t="s">
        <v>1489</v>
      </c>
      <c r="E50" s="81"/>
      <c r="F50" s="85" t="b">
        <v>1</v>
      </c>
      <c r="G50" s="85" t="b">
        <v>0</v>
      </c>
      <c r="H50" s="85" t="b">
        <v>0</v>
      </c>
      <c r="I50" s="85" t="b">
        <v>0</v>
      </c>
      <c r="J50" s="85" t="b">
        <v>0</v>
      </c>
      <c r="K50" s="85" t="b">
        <v>0</v>
      </c>
      <c r="L50" s="85" t="b">
        <v>1</v>
      </c>
      <c r="M50" s="85" t="b">
        <v>0</v>
      </c>
      <c r="N50" s="85" t="b">
        <v>0</v>
      </c>
      <c r="O50" s="113" t="s">
        <v>158</v>
      </c>
    </row>
    <row r="51" spans="1:16" s="86" customFormat="1">
      <c r="A51" s="109" t="s">
        <v>8</v>
      </c>
      <c r="B51" s="133" t="s">
        <v>1487</v>
      </c>
      <c r="C51" s="172">
        <v>2</v>
      </c>
      <c r="D51" s="108" t="s">
        <v>1490</v>
      </c>
      <c r="E51" s="81"/>
      <c r="F51" s="85" t="b">
        <v>1</v>
      </c>
      <c r="G51" s="85" t="b">
        <v>0</v>
      </c>
      <c r="H51" s="85" t="b">
        <v>0</v>
      </c>
      <c r="I51" s="85" t="b">
        <v>0</v>
      </c>
      <c r="J51" s="85" t="b">
        <v>0</v>
      </c>
      <c r="K51" s="85" t="b">
        <v>0</v>
      </c>
      <c r="L51" s="85" t="b">
        <v>1</v>
      </c>
      <c r="M51" s="85" t="b">
        <v>0</v>
      </c>
      <c r="N51" s="85" t="b">
        <v>0</v>
      </c>
      <c r="O51" s="113" t="s">
        <v>158</v>
      </c>
    </row>
    <row r="52" spans="1:16" s="86" customFormat="1">
      <c r="A52" s="109" t="s">
        <v>8</v>
      </c>
      <c r="B52" s="133" t="s">
        <v>1487</v>
      </c>
      <c r="C52" s="172">
        <v>3</v>
      </c>
      <c r="D52" s="108" t="s">
        <v>1491</v>
      </c>
      <c r="E52" s="81"/>
      <c r="F52" s="85" t="b">
        <v>1</v>
      </c>
      <c r="G52" s="85" t="b">
        <v>0</v>
      </c>
      <c r="H52" s="85" t="b">
        <v>0</v>
      </c>
      <c r="I52" s="85" t="b">
        <v>0</v>
      </c>
      <c r="J52" s="85" t="b">
        <v>0</v>
      </c>
      <c r="K52" s="85" t="b">
        <v>0</v>
      </c>
      <c r="L52" s="85" t="b">
        <v>1</v>
      </c>
      <c r="M52" s="85" t="b">
        <v>0</v>
      </c>
      <c r="N52" s="85" t="b">
        <v>0</v>
      </c>
      <c r="O52" s="113" t="s">
        <v>158</v>
      </c>
    </row>
    <row r="53" spans="1:16" s="86" customFormat="1">
      <c r="A53" s="109" t="s">
        <v>8</v>
      </c>
      <c r="B53" s="133" t="s">
        <v>1487</v>
      </c>
      <c r="C53" s="172">
        <v>3</v>
      </c>
      <c r="D53" s="108" t="s">
        <v>1492</v>
      </c>
      <c r="E53" s="81"/>
      <c r="F53" s="85" t="b">
        <v>1</v>
      </c>
      <c r="G53" s="85" t="b">
        <v>0</v>
      </c>
      <c r="H53" s="85" t="b">
        <v>0</v>
      </c>
      <c r="I53" s="85" t="b">
        <v>0</v>
      </c>
      <c r="J53" s="85" t="b">
        <v>0</v>
      </c>
      <c r="K53" s="85" t="b">
        <v>0</v>
      </c>
      <c r="L53" s="85" t="b">
        <v>1</v>
      </c>
      <c r="M53" s="85" t="b">
        <v>0</v>
      </c>
      <c r="N53" s="85" t="b">
        <v>0</v>
      </c>
      <c r="O53" s="113" t="s">
        <v>158</v>
      </c>
    </row>
    <row r="54" spans="1:16" s="86" customFormat="1">
      <c r="A54" s="109" t="s">
        <v>8</v>
      </c>
      <c r="B54" s="133" t="s">
        <v>1487</v>
      </c>
      <c r="C54" s="172">
        <v>4</v>
      </c>
      <c r="D54" s="108" t="s">
        <v>1493</v>
      </c>
      <c r="E54" s="81"/>
      <c r="F54" s="85" t="b">
        <v>1</v>
      </c>
      <c r="G54" s="85" t="b">
        <v>0</v>
      </c>
      <c r="H54" s="85" t="b">
        <v>0</v>
      </c>
      <c r="I54" s="85" t="b">
        <v>0</v>
      </c>
      <c r="J54" s="85" t="b">
        <v>0</v>
      </c>
      <c r="K54" s="85" t="b">
        <v>0</v>
      </c>
      <c r="L54" s="85" t="b">
        <v>1</v>
      </c>
      <c r="M54" s="85" t="b">
        <v>0</v>
      </c>
      <c r="N54" s="85" t="b">
        <v>0</v>
      </c>
      <c r="O54" s="113" t="s">
        <v>158</v>
      </c>
    </row>
    <row r="55" spans="1:16" s="86" customFormat="1">
      <c r="A55" s="109" t="s">
        <v>8</v>
      </c>
      <c r="B55" s="133" t="s">
        <v>1487</v>
      </c>
      <c r="C55" s="172">
        <v>4</v>
      </c>
      <c r="D55" s="108" t="s">
        <v>1494</v>
      </c>
      <c r="E55" s="81"/>
      <c r="F55" s="85" t="b">
        <v>1</v>
      </c>
      <c r="G55" s="85" t="b">
        <v>0</v>
      </c>
      <c r="H55" s="85" t="b">
        <v>0</v>
      </c>
      <c r="I55" s="85" t="b">
        <v>0</v>
      </c>
      <c r="J55" s="85" t="b">
        <v>0</v>
      </c>
      <c r="K55" s="85" t="b">
        <v>0</v>
      </c>
      <c r="L55" s="85" t="b">
        <v>1</v>
      </c>
      <c r="M55" s="85" t="b">
        <v>0</v>
      </c>
      <c r="N55" s="85" t="b">
        <v>0</v>
      </c>
      <c r="O55" s="113" t="s">
        <v>158</v>
      </c>
    </row>
    <row r="56" spans="1:16" s="86" customFormat="1">
      <c r="A56" s="109" t="s">
        <v>8</v>
      </c>
      <c r="B56" s="133" t="s">
        <v>1487</v>
      </c>
      <c r="C56" s="172">
        <v>5</v>
      </c>
      <c r="D56" s="108" t="s">
        <v>1495</v>
      </c>
      <c r="E56" s="81"/>
      <c r="F56" s="85" t="b">
        <v>1</v>
      </c>
      <c r="G56" s="85" t="b">
        <v>0</v>
      </c>
      <c r="H56" s="85" t="b">
        <v>0</v>
      </c>
      <c r="I56" s="85" t="b">
        <v>0</v>
      </c>
      <c r="J56" s="85" t="b">
        <v>0</v>
      </c>
      <c r="K56" s="85" t="b">
        <v>0</v>
      </c>
      <c r="L56" s="85" t="b">
        <v>1</v>
      </c>
      <c r="M56" s="85" t="b">
        <v>0</v>
      </c>
      <c r="N56" s="85" t="b">
        <v>0</v>
      </c>
      <c r="O56" s="113" t="s">
        <v>158</v>
      </c>
    </row>
    <row r="57" spans="1:16" s="86" customFormat="1">
      <c r="A57" s="109" t="s">
        <v>8</v>
      </c>
      <c r="B57" s="133" t="s">
        <v>1487</v>
      </c>
      <c r="C57" s="172">
        <v>5</v>
      </c>
      <c r="D57" s="108" t="s">
        <v>1496</v>
      </c>
      <c r="E57" s="81"/>
      <c r="F57" s="85" t="b">
        <v>1</v>
      </c>
      <c r="G57" s="85" t="b">
        <v>0</v>
      </c>
      <c r="H57" s="85" t="b">
        <v>0</v>
      </c>
      <c r="I57" s="85" t="b">
        <v>0</v>
      </c>
      <c r="J57" s="85" t="b">
        <v>0</v>
      </c>
      <c r="K57" s="85" t="b">
        <v>0</v>
      </c>
      <c r="L57" s="85" t="b">
        <v>1</v>
      </c>
      <c r="M57" s="85" t="b">
        <v>0</v>
      </c>
      <c r="N57" s="85" t="b">
        <v>0</v>
      </c>
      <c r="O57" s="113" t="s">
        <v>158</v>
      </c>
    </row>
    <row r="58" spans="1:16" s="86" customFormat="1">
      <c r="B58" s="86">
        <f>COUNTIF(Table2245[สถานที่],"*")</f>
        <v>56</v>
      </c>
      <c r="C58" s="86">
        <f>COUNTIF(Table2245[ชั้น],"*")</f>
        <v>1</v>
      </c>
      <c r="D58" s="86">
        <f>COUNTIF(Table2245[ชื่อห้อง],"*")</f>
        <v>56</v>
      </c>
      <c r="E58" s="87" t="s">
        <v>293</v>
      </c>
      <c r="F58" s="88">
        <f>(COUNTIF(F2:F57, TRUE))</f>
        <v>22</v>
      </c>
      <c r="G58" s="88">
        <f>COUNTIF(G2:G57, TRUE)</f>
        <v>0</v>
      </c>
      <c r="H58" s="88">
        <f>COUNTIF(H2:H57, TRUE)</f>
        <v>0</v>
      </c>
      <c r="I58" s="88">
        <f>(COUNTIF(I2:I57, TRUE))</f>
        <v>32</v>
      </c>
      <c r="J58" s="88">
        <f>(COUNTIF(J2:J57,TRUE))</f>
        <v>4</v>
      </c>
      <c r="K58" s="88">
        <f>COUNTIF(K2:K57, TRUE)</f>
        <v>0</v>
      </c>
      <c r="L58" s="88">
        <f>COUNTIF(L2:L57, TRUE)</f>
        <v>11</v>
      </c>
      <c r="M58" s="88">
        <f>COUNTIF(M2:M57, TRUE)</f>
        <v>4</v>
      </c>
      <c r="N58" s="88">
        <f>COUNTIF(N2:N57, TRUE)</f>
        <v>1</v>
      </c>
      <c r="O58" s="88">
        <f>COUNTIF(Table2245[Pregress],"Done")</f>
        <v>56</v>
      </c>
    </row>
    <row r="59" spans="1:16" s="86" customFormat="1">
      <c r="E59" s="89"/>
      <c r="F59" s="90"/>
      <c r="G59" s="90"/>
      <c r="H59" s="90"/>
      <c r="I59" s="90"/>
      <c r="J59" s="90"/>
      <c r="K59" s="90"/>
      <c r="L59" s="90"/>
      <c r="M59" s="90"/>
      <c r="N59" s="90"/>
    </row>
    <row r="60" spans="1:16" ht="23.4">
      <c r="A60" s="112"/>
      <c r="O60" s="86"/>
      <c r="P60" s="86"/>
    </row>
    <row r="61" spans="1:16">
      <c r="O61" s="86"/>
      <c r="P61" s="86"/>
    </row>
    <row r="62" spans="1:16">
      <c r="O62" s="86"/>
      <c r="P62" s="86"/>
    </row>
    <row r="63" spans="1:16">
      <c r="O63" s="86"/>
      <c r="P63" s="86"/>
    </row>
    <row r="64" spans="1:16">
      <c r="O64" s="86"/>
      <c r="P64" s="86"/>
    </row>
    <row r="65" spans="15:16">
      <c r="O65" s="86"/>
      <c r="P65" s="86"/>
    </row>
    <row r="66" spans="15:16">
      <c r="O66" s="86"/>
      <c r="P66" s="86"/>
    </row>
    <row r="67" spans="15:16">
      <c r="O67" s="86"/>
      <c r="P67" s="86"/>
    </row>
    <row r="68" spans="15:16">
      <c r="O68" s="86"/>
      <c r="P68" s="86"/>
    </row>
    <row r="69" spans="15:16">
      <c r="O69" s="86"/>
      <c r="P69" s="86"/>
    </row>
    <row r="70" spans="15:16">
      <c r="O70" s="86"/>
      <c r="P70" s="86"/>
    </row>
    <row r="71" spans="15:16">
      <c r="O71" s="86"/>
      <c r="P71" s="86"/>
    </row>
    <row r="72" spans="15:16">
      <c r="O72" s="86"/>
      <c r="P72" s="86"/>
    </row>
    <row r="73" spans="15:16">
      <c r="O73" s="86"/>
      <c r="P73" s="86"/>
    </row>
    <row r="74" spans="15:16">
      <c r="O74" s="86"/>
      <c r="P74" s="86"/>
    </row>
    <row r="75" spans="15:16">
      <c r="O75" s="86"/>
      <c r="P75" s="86"/>
    </row>
    <row r="76" spans="15:16">
      <c r="O76" s="86"/>
      <c r="P76" s="86"/>
    </row>
    <row r="77" spans="15:16">
      <c r="O77" s="86"/>
      <c r="P77" s="86"/>
    </row>
    <row r="78" spans="15:16">
      <c r="O78" s="86"/>
      <c r="P78" s="86"/>
    </row>
    <row r="79" spans="15:16">
      <c r="O79" s="86"/>
      <c r="P79" s="86"/>
    </row>
    <row r="80" spans="15:16">
      <c r="O80" s="86"/>
      <c r="P80" s="86"/>
    </row>
    <row r="81" spans="15:16">
      <c r="O81" s="86"/>
      <c r="P81" s="86"/>
    </row>
    <row r="82" spans="15:16">
      <c r="O82" s="86"/>
      <c r="P82" s="86"/>
    </row>
    <row r="83" spans="15:16">
      <c r="O83" s="86"/>
      <c r="P83" s="86"/>
    </row>
    <row r="84" spans="15:16">
      <c r="O84" s="86"/>
      <c r="P84" s="86"/>
    </row>
    <row r="85" spans="15:16">
      <c r="O85" s="86"/>
      <c r="P85" s="86"/>
    </row>
    <row r="86" spans="15:16">
      <c r="O86" s="86"/>
    </row>
    <row r="87" spans="15:16">
      <c r="O87" s="86"/>
    </row>
    <row r="88" spans="15:16">
      <c r="O88" s="86"/>
    </row>
    <row r="89" spans="15:16">
      <c r="O89" s="86"/>
    </row>
    <row r="90" spans="15:16">
      <c r="O90" s="86"/>
    </row>
    <row r="91" spans="15:16">
      <c r="O91" s="86"/>
    </row>
  </sheetData>
  <conditionalFormatting sqref="O2:O57">
    <cfRule type="cellIs" dxfId="19" priority="1" operator="equal">
      <formula>"Done"</formula>
    </cfRule>
    <cfRule type="cellIs" dxfId="18" priority="2" operator="equal">
      <formula>"In Progress"</formula>
    </cfRule>
  </conditionalFormatting>
  <dataValidations count="1">
    <dataValidation type="list" allowBlank="1" showInputMessage="1" showErrorMessage="1" sqref="O86:O89 O2:O57" xr:uid="{7286A271-3A67-460F-97BD-08A297BB548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1200" verticalDpi="1200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8A68-C6A7-4C02-9B40-3ED04D9BF465}">
  <dimension ref="A1:V49"/>
  <sheetViews>
    <sheetView topLeftCell="D1" zoomScale="60" zoomScaleNormal="60" workbookViewId="0">
      <pane ySplit="1" topLeftCell="A2" activePane="bottomLeft" state="frozen"/>
      <selection pane="bottomLeft" activeCell="S1" sqref="S1:V1048576"/>
    </sheetView>
  </sheetViews>
  <sheetFormatPr defaultColWidth="8.88671875" defaultRowHeight="21"/>
  <cols>
    <col min="1" max="1" width="34.5546875" style="33" bestFit="1" customWidth="1"/>
    <col min="2" max="2" width="24.5546875" style="33" bestFit="1" customWidth="1"/>
    <col min="3" max="3" width="12.33203125" style="11" bestFit="1" customWidth="1"/>
    <col min="4" max="4" width="65.5546875" style="34" bestFit="1" customWidth="1"/>
    <col min="5" max="5" width="23.44140625" style="712" bestFit="1" customWidth="1"/>
    <col min="6" max="6" width="13.5546875" style="712" customWidth="1"/>
    <col min="7" max="7" width="11.6640625" style="1" customWidth="1"/>
    <col min="8" max="13" width="23.44140625" style="712" customWidth="1"/>
    <col min="14" max="14" width="14.109375" style="6" bestFit="1" customWidth="1"/>
    <col min="15" max="15" width="11.6640625" style="6" bestFit="1" customWidth="1"/>
    <col min="16" max="16" width="9.88671875" style="6" bestFit="1" customWidth="1"/>
    <col min="17" max="17" width="6.109375" style="6" bestFit="1" customWidth="1"/>
    <col min="18" max="18" width="15.5546875" style="6" bestFit="1" customWidth="1"/>
    <col min="19" max="19" width="10.6640625" style="2" bestFit="1" customWidth="1"/>
    <col min="20" max="20" width="18" style="2" customWidth="1"/>
    <col min="21" max="21" width="22.109375" style="2" customWidth="1"/>
    <col min="22" max="22" width="18" style="2" customWidth="1"/>
    <col min="23" max="16384" width="8.88671875" style="32"/>
  </cols>
  <sheetData>
    <row r="1" spans="1:22" s="35" customFormat="1" ht="46.8">
      <c r="A1" s="912" t="s">
        <v>15</v>
      </c>
      <c r="B1" s="912" t="s">
        <v>16</v>
      </c>
      <c r="C1" s="895" t="s">
        <v>1571</v>
      </c>
      <c r="D1" s="36" t="s">
        <v>18</v>
      </c>
      <c r="E1" s="716" t="s">
        <v>19</v>
      </c>
      <c r="F1" s="716" t="s">
        <v>1378</v>
      </c>
      <c r="G1" s="716" t="s">
        <v>1379</v>
      </c>
      <c r="H1" s="716" t="s">
        <v>1572</v>
      </c>
      <c r="I1" s="716" t="s">
        <v>1573</v>
      </c>
      <c r="J1" s="716" t="s">
        <v>23</v>
      </c>
      <c r="K1" s="716" t="s">
        <v>24</v>
      </c>
      <c r="L1" s="716" t="s">
        <v>3</v>
      </c>
      <c r="M1" s="716" t="s">
        <v>25</v>
      </c>
      <c r="N1" s="3" t="s">
        <v>26</v>
      </c>
      <c r="O1" s="3" t="s">
        <v>27</v>
      </c>
      <c r="P1" s="3" t="s">
        <v>28</v>
      </c>
      <c r="Q1" s="4" t="s">
        <v>29</v>
      </c>
      <c r="R1" s="5" t="s">
        <v>30</v>
      </c>
      <c r="S1" s="717" t="s">
        <v>31</v>
      </c>
      <c r="T1" s="718" t="s">
        <v>32</v>
      </c>
      <c r="U1" s="719" t="s">
        <v>33</v>
      </c>
      <c r="V1" s="718" t="s">
        <v>34</v>
      </c>
    </row>
    <row r="2" spans="1:22">
      <c r="A2" s="814" t="s">
        <v>1574</v>
      </c>
      <c r="B2" s="815" t="s">
        <v>1575</v>
      </c>
      <c r="C2" s="816" t="s">
        <v>1576</v>
      </c>
      <c r="D2" s="817" t="s">
        <v>39</v>
      </c>
      <c r="E2" s="811" t="s">
        <v>1577</v>
      </c>
      <c r="F2" s="8">
        <v>1</v>
      </c>
      <c r="G2" s="8">
        <v>1</v>
      </c>
      <c r="H2" s="825">
        <v>244518</v>
      </c>
      <c r="I2" s="825">
        <v>244518</v>
      </c>
      <c r="J2" s="825">
        <v>244491</v>
      </c>
      <c r="K2" s="825">
        <v>244491</v>
      </c>
      <c r="L2" s="830" t="s">
        <v>368</v>
      </c>
      <c r="M2" s="811"/>
      <c r="N2" s="8">
        <v>1</v>
      </c>
      <c r="O2" s="8">
        <v>1</v>
      </c>
      <c r="P2" s="8">
        <v>1</v>
      </c>
      <c r="Q2" s="7">
        <f>ROUNDUP(((N2+O2+P2)/3)/G2*100%,2)</f>
        <v>1</v>
      </c>
      <c r="R2" s="8"/>
      <c r="S2" s="195" t="str">
        <f t="shared" ref="S2:S48" si="0">IF(ISNUMBER(SEARCH("Access Point",D2)),"AP",IF(OR(ISNUMBER(SEARCH("Switch",D2)),ISNUMBER(SEARCH("Control Type",D2))),"Switch","Infra"))</f>
        <v>Switch</v>
      </c>
      <c r="T2" s="495">
        <f>$H2</f>
        <v>244518</v>
      </c>
      <c r="U2" s="495">
        <f>$J2</f>
        <v>244491</v>
      </c>
      <c r="V2" s="495">
        <f>$I2</f>
        <v>244518</v>
      </c>
    </row>
    <row r="3" spans="1:22">
      <c r="A3" s="814" t="s">
        <v>1578</v>
      </c>
      <c r="B3" s="815" t="s">
        <v>1579</v>
      </c>
      <c r="C3" s="816" t="s">
        <v>349</v>
      </c>
      <c r="D3" s="817" t="s">
        <v>39</v>
      </c>
      <c r="E3" s="811" t="s">
        <v>1577</v>
      </c>
      <c r="F3" s="8">
        <v>1</v>
      </c>
      <c r="G3" s="8">
        <v>1</v>
      </c>
      <c r="H3" s="825">
        <v>244517</v>
      </c>
      <c r="I3" s="825">
        <v>244517</v>
      </c>
      <c r="J3" s="825">
        <v>244492</v>
      </c>
      <c r="K3" s="825">
        <v>244492</v>
      </c>
      <c r="L3" s="830" t="s">
        <v>368</v>
      </c>
      <c r="M3" s="811"/>
      <c r="N3" s="8">
        <v>1</v>
      </c>
      <c r="O3" s="8">
        <v>1</v>
      </c>
      <c r="P3" s="8">
        <v>1</v>
      </c>
      <c r="Q3" s="7">
        <f t="shared" ref="Q3:Q48" si="1">ROUNDUP(((N3+O3+P3)/3)/G3*100%,2)</f>
        <v>1</v>
      </c>
      <c r="R3" s="8"/>
      <c r="S3" s="195" t="str">
        <f t="shared" si="0"/>
        <v>Switch</v>
      </c>
      <c r="T3" s="495">
        <f>$H3</f>
        <v>244517</v>
      </c>
      <c r="U3" s="495">
        <f>$J3</f>
        <v>244492</v>
      </c>
      <c r="V3" s="495">
        <f>$I3</f>
        <v>244517</v>
      </c>
    </row>
    <row r="4" spans="1:22">
      <c r="A4" s="814" t="s">
        <v>1580</v>
      </c>
      <c r="B4" s="815" t="s">
        <v>1581</v>
      </c>
      <c r="C4" s="816" t="s">
        <v>1581</v>
      </c>
      <c r="D4" s="817" t="s">
        <v>39</v>
      </c>
      <c r="E4" s="811" t="s">
        <v>1577</v>
      </c>
      <c r="F4" s="8">
        <v>1</v>
      </c>
      <c r="G4" s="8">
        <v>1</v>
      </c>
      <c r="H4" s="825">
        <v>244517</v>
      </c>
      <c r="I4" s="825">
        <v>244517</v>
      </c>
      <c r="J4" s="825">
        <v>244491</v>
      </c>
      <c r="K4" s="825">
        <v>244491</v>
      </c>
      <c r="L4" s="830" t="s">
        <v>368</v>
      </c>
      <c r="M4" s="811"/>
      <c r="N4" s="8">
        <v>1</v>
      </c>
      <c r="O4" s="8">
        <v>1</v>
      </c>
      <c r="P4" s="8">
        <v>1</v>
      </c>
      <c r="Q4" s="7">
        <f t="shared" si="1"/>
        <v>1</v>
      </c>
      <c r="R4" s="8"/>
      <c r="S4" s="195" t="str">
        <f t="shared" si="0"/>
        <v>Switch</v>
      </c>
      <c r="T4" s="495">
        <f t="shared" ref="T4:T48" si="2">$H4</f>
        <v>244517</v>
      </c>
      <c r="U4" s="495">
        <f t="shared" ref="U4:U48" si="3">$J4</f>
        <v>244491</v>
      </c>
      <c r="V4" s="495">
        <f t="shared" ref="V4:V48" si="4">$I4</f>
        <v>244517</v>
      </c>
    </row>
    <row r="5" spans="1:22">
      <c r="A5" s="814" t="s">
        <v>1582</v>
      </c>
      <c r="B5" s="815" t="s">
        <v>1583</v>
      </c>
      <c r="C5" s="816" t="s">
        <v>349</v>
      </c>
      <c r="D5" s="817" t="s">
        <v>43</v>
      </c>
      <c r="E5" s="812" t="s">
        <v>1584</v>
      </c>
      <c r="F5" s="8">
        <v>3</v>
      </c>
      <c r="G5" s="8">
        <v>3</v>
      </c>
      <c r="H5" s="825">
        <v>244513</v>
      </c>
      <c r="I5" s="825">
        <v>244513</v>
      </c>
      <c r="J5" s="825">
        <v>244490</v>
      </c>
      <c r="K5" s="825">
        <v>244490</v>
      </c>
      <c r="L5" s="830" t="s">
        <v>368</v>
      </c>
      <c r="M5" s="812"/>
      <c r="N5" s="8">
        <v>3</v>
      </c>
      <c r="O5" s="8">
        <v>3</v>
      </c>
      <c r="P5" s="8">
        <v>3</v>
      </c>
      <c r="Q5" s="7">
        <f t="shared" si="1"/>
        <v>1</v>
      </c>
      <c r="R5" s="8"/>
      <c r="S5" s="195" t="str">
        <f t="shared" si="0"/>
        <v>Switch</v>
      </c>
      <c r="T5" s="495">
        <f t="shared" si="2"/>
        <v>244513</v>
      </c>
      <c r="U5" s="495">
        <f t="shared" si="3"/>
        <v>244490</v>
      </c>
      <c r="V5" s="495">
        <f t="shared" si="4"/>
        <v>244513</v>
      </c>
    </row>
    <row r="6" spans="1:22">
      <c r="A6" s="814" t="s">
        <v>1585</v>
      </c>
      <c r="B6" s="815" t="s">
        <v>1586</v>
      </c>
      <c r="C6" s="816" t="s">
        <v>349</v>
      </c>
      <c r="D6" s="817" t="s">
        <v>43</v>
      </c>
      <c r="E6" s="812" t="s">
        <v>1584</v>
      </c>
      <c r="F6" s="8">
        <v>1</v>
      </c>
      <c r="G6" s="8">
        <v>1</v>
      </c>
      <c r="H6" s="825">
        <v>244516</v>
      </c>
      <c r="I6" s="825">
        <v>244516</v>
      </c>
      <c r="J6" s="825">
        <v>244490</v>
      </c>
      <c r="K6" s="825">
        <v>244490</v>
      </c>
      <c r="L6" s="830" t="s">
        <v>368</v>
      </c>
      <c r="M6" s="812"/>
      <c r="N6" s="8">
        <v>1</v>
      </c>
      <c r="O6" s="8">
        <v>1</v>
      </c>
      <c r="P6" s="8">
        <v>1</v>
      </c>
      <c r="Q6" s="7">
        <f t="shared" si="1"/>
        <v>1</v>
      </c>
      <c r="R6" s="8"/>
      <c r="S6" s="195" t="str">
        <f t="shared" si="0"/>
        <v>Switch</v>
      </c>
      <c r="T6" s="495">
        <f t="shared" si="2"/>
        <v>244516</v>
      </c>
      <c r="U6" s="495">
        <f t="shared" si="3"/>
        <v>244490</v>
      </c>
      <c r="V6" s="495">
        <f t="shared" si="4"/>
        <v>244516</v>
      </c>
    </row>
    <row r="7" spans="1:22">
      <c r="A7" s="814" t="s">
        <v>1587</v>
      </c>
      <c r="B7" s="815" t="s">
        <v>1588</v>
      </c>
      <c r="C7" s="816" t="s">
        <v>1588</v>
      </c>
      <c r="D7" s="817" t="s">
        <v>43</v>
      </c>
      <c r="E7" s="812" t="s">
        <v>1584</v>
      </c>
      <c r="F7" s="8">
        <v>1</v>
      </c>
      <c r="G7" s="8">
        <v>1</v>
      </c>
      <c r="H7" s="825">
        <v>244517</v>
      </c>
      <c r="I7" s="825">
        <v>244517</v>
      </c>
      <c r="J7" s="825">
        <v>244490</v>
      </c>
      <c r="K7" s="825">
        <v>244490</v>
      </c>
      <c r="L7" s="830" t="s">
        <v>368</v>
      </c>
      <c r="M7" s="812"/>
      <c r="N7" s="8">
        <v>1</v>
      </c>
      <c r="O7" s="8">
        <v>1</v>
      </c>
      <c r="P7" s="8">
        <v>1</v>
      </c>
      <c r="Q7" s="7">
        <f t="shared" si="1"/>
        <v>1</v>
      </c>
      <c r="R7" s="8"/>
      <c r="S7" s="195" t="str">
        <f t="shared" si="0"/>
        <v>Switch</v>
      </c>
      <c r="T7" s="495">
        <f t="shared" si="2"/>
        <v>244517</v>
      </c>
      <c r="U7" s="495">
        <f t="shared" si="3"/>
        <v>244490</v>
      </c>
      <c r="V7" s="495">
        <f t="shared" si="4"/>
        <v>244517</v>
      </c>
    </row>
    <row r="8" spans="1:22">
      <c r="A8" s="818" t="s">
        <v>1589</v>
      </c>
      <c r="B8" s="819" t="s">
        <v>1590</v>
      </c>
      <c r="C8" s="816" t="s">
        <v>349</v>
      </c>
      <c r="D8" s="817" t="s">
        <v>39</v>
      </c>
      <c r="E8" s="812" t="s">
        <v>1577</v>
      </c>
      <c r="F8" s="8">
        <v>1</v>
      </c>
      <c r="G8" s="8">
        <v>1</v>
      </c>
      <c r="H8" s="825">
        <v>244515</v>
      </c>
      <c r="I8" s="825">
        <v>244515</v>
      </c>
      <c r="J8" s="825">
        <v>244490</v>
      </c>
      <c r="K8" s="825">
        <v>244490</v>
      </c>
      <c r="L8" s="830" t="s">
        <v>368</v>
      </c>
      <c r="M8" s="812"/>
      <c r="N8" s="8">
        <v>1</v>
      </c>
      <c r="O8" s="8">
        <v>1</v>
      </c>
      <c r="P8" s="8">
        <v>1</v>
      </c>
      <c r="Q8" s="7">
        <f t="shared" si="1"/>
        <v>1</v>
      </c>
      <c r="R8" s="8"/>
      <c r="S8" s="195" t="str">
        <f t="shared" si="0"/>
        <v>Switch</v>
      </c>
      <c r="T8" s="495">
        <f t="shared" si="2"/>
        <v>244515</v>
      </c>
      <c r="U8" s="495">
        <f t="shared" si="3"/>
        <v>244490</v>
      </c>
      <c r="V8" s="495">
        <f t="shared" si="4"/>
        <v>244515</v>
      </c>
    </row>
    <row r="9" spans="1:22">
      <c r="A9" s="818" t="s">
        <v>1589</v>
      </c>
      <c r="B9" s="819" t="s">
        <v>1590</v>
      </c>
      <c r="C9" s="816"/>
      <c r="D9" s="817" t="s">
        <v>43</v>
      </c>
      <c r="E9" s="812" t="s">
        <v>1584</v>
      </c>
      <c r="F9" s="8">
        <v>1</v>
      </c>
      <c r="G9" s="8">
        <v>1</v>
      </c>
      <c r="H9" s="825">
        <v>244515</v>
      </c>
      <c r="I9" s="825">
        <v>244515</v>
      </c>
      <c r="J9" s="825">
        <v>244490</v>
      </c>
      <c r="K9" s="825">
        <v>244490</v>
      </c>
      <c r="L9" s="830" t="s">
        <v>368</v>
      </c>
      <c r="M9" s="812"/>
      <c r="N9" s="8">
        <v>1</v>
      </c>
      <c r="O9" s="8">
        <v>1</v>
      </c>
      <c r="P9" s="8">
        <v>1</v>
      </c>
      <c r="Q9" s="7">
        <f t="shared" si="1"/>
        <v>1</v>
      </c>
      <c r="R9" s="8"/>
      <c r="S9" s="195" t="str">
        <f t="shared" si="0"/>
        <v>Switch</v>
      </c>
      <c r="T9" s="495">
        <f t="shared" si="2"/>
        <v>244515</v>
      </c>
      <c r="U9" s="495">
        <f t="shared" si="3"/>
        <v>244490</v>
      </c>
      <c r="V9" s="495">
        <f t="shared" si="4"/>
        <v>244515</v>
      </c>
    </row>
    <row r="10" spans="1:22">
      <c r="A10" s="818" t="s">
        <v>1591</v>
      </c>
      <c r="B10" s="819" t="s">
        <v>1592</v>
      </c>
      <c r="C10" s="816" t="s">
        <v>349</v>
      </c>
      <c r="D10" s="817" t="s">
        <v>43</v>
      </c>
      <c r="E10" s="812" t="s">
        <v>1584</v>
      </c>
      <c r="F10" s="8">
        <v>1</v>
      </c>
      <c r="G10" s="8">
        <v>1</v>
      </c>
      <c r="H10" s="825">
        <v>244515</v>
      </c>
      <c r="I10" s="825">
        <v>244515</v>
      </c>
      <c r="J10" s="825">
        <v>244491</v>
      </c>
      <c r="K10" s="825">
        <v>244491</v>
      </c>
      <c r="L10" s="830" t="s">
        <v>368</v>
      </c>
      <c r="M10" s="812"/>
      <c r="N10" s="8">
        <v>1</v>
      </c>
      <c r="O10" s="8">
        <v>1</v>
      </c>
      <c r="P10" s="8">
        <v>1</v>
      </c>
      <c r="Q10" s="7">
        <f t="shared" si="1"/>
        <v>1</v>
      </c>
      <c r="R10" s="8"/>
      <c r="S10" s="195" t="str">
        <f t="shared" si="0"/>
        <v>Switch</v>
      </c>
      <c r="T10" s="495">
        <f t="shared" si="2"/>
        <v>244515</v>
      </c>
      <c r="U10" s="495">
        <f t="shared" si="3"/>
        <v>244491</v>
      </c>
      <c r="V10" s="495">
        <f t="shared" si="4"/>
        <v>244515</v>
      </c>
    </row>
    <row r="11" spans="1:22">
      <c r="A11" s="818" t="s">
        <v>1591</v>
      </c>
      <c r="B11" s="819" t="s">
        <v>1593</v>
      </c>
      <c r="C11" s="816" t="s">
        <v>349</v>
      </c>
      <c r="D11" s="817" t="s">
        <v>43</v>
      </c>
      <c r="E11" s="812" t="s">
        <v>1584</v>
      </c>
      <c r="F11" s="8">
        <v>1</v>
      </c>
      <c r="G11" s="8">
        <v>1</v>
      </c>
      <c r="H11" s="825">
        <v>244515</v>
      </c>
      <c r="I11" s="825">
        <v>244515</v>
      </c>
      <c r="J11" s="825">
        <v>244491</v>
      </c>
      <c r="K11" s="825">
        <v>244491</v>
      </c>
      <c r="L11" s="830" t="s">
        <v>368</v>
      </c>
      <c r="M11" s="812"/>
      <c r="N11" s="8">
        <v>1</v>
      </c>
      <c r="O11" s="8">
        <v>1</v>
      </c>
      <c r="P11" s="8">
        <v>1</v>
      </c>
      <c r="Q11" s="7">
        <f t="shared" si="1"/>
        <v>1</v>
      </c>
      <c r="R11" s="8"/>
      <c r="S11" s="195" t="str">
        <f t="shared" si="0"/>
        <v>Switch</v>
      </c>
      <c r="T11" s="495">
        <f t="shared" si="2"/>
        <v>244515</v>
      </c>
      <c r="U11" s="495">
        <f t="shared" si="3"/>
        <v>244491</v>
      </c>
      <c r="V11" s="495">
        <f t="shared" si="4"/>
        <v>244515</v>
      </c>
    </row>
    <row r="12" spans="1:22">
      <c r="A12" s="814" t="s">
        <v>1594</v>
      </c>
      <c r="B12" s="815" t="s">
        <v>1595</v>
      </c>
      <c r="C12" s="816" t="s">
        <v>349</v>
      </c>
      <c r="D12" s="817" t="s">
        <v>43</v>
      </c>
      <c r="E12" s="812" t="s">
        <v>1584</v>
      </c>
      <c r="F12" s="8">
        <v>1</v>
      </c>
      <c r="G12" s="8">
        <v>1</v>
      </c>
      <c r="H12" s="825">
        <v>244518</v>
      </c>
      <c r="I12" s="825">
        <v>244518</v>
      </c>
      <c r="J12" s="825">
        <v>244491</v>
      </c>
      <c r="K12" s="825">
        <v>244491</v>
      </c>
      <c r="L12" s="830" t="s">
        <v>368</v>
      </c>
      <c r="M12" s="811"/>
      <c r="N12" s="8">
        <v>1</v>
      </c>
      <c r="O12" s="8">
        <v>1</v>
      </c>
      <c r="P12" s="8">
        <v>1</v>
      </c>
      <c r="Q12" s="7">
        <f t="shared" si="1"/>
        <v>1</v>
      </c>
      <c r="R12" s="8"/>
      <c r="S12" s="195" t="str">
        <f t="shared" si="0"/>
        <v>Switch</v>
      </c>
      <c r="T12" s="495">
        <f t="shared" si="2"/>
        <v>244518</v>
      </c>
      <c r="U12" s="495">
        <f t="shared" si="3"/>
        <v>244491</v>
      </c>
      <c r="V12" s="495">
        <f t="shared" si="4"/>
        <v>244518</v>
      </c>
    </row>
    <row r="13" spans="1:22">
      <c r="A13" s="814" t="s">
        <v>1596</v>
      </c>
      <c r="B13" s="815" t="s">
        <v>1575</v>
      </c>
      <c r="C13" s="816" t="s">
        <v>349</v>
      </c>
      <c r="D13" s="817" t="s">
        <v>43</v>
      </c>
      <c r="E13" s="812" t="s">
        <v>1584</v>
      </c>
      <c r="F13" s="8">
        <v>2</v>
      </c>
      <c r="G13" s="8">
        <v>2</v>
      </c>
      <c r="H13" s="825">
        <v>244515</v>
      </c>
      <c r="I13" s="825">
        <v>244515</v>
      </c>
      <c r="J13" s="825">
        <v>244490</v>
      </c>
      <c r="K13" s="825">
        <v>244490</v>
      </c>
      <c r="L13" s="830" t="s">
        <v>368</v>
      </c>
      <c r="M13" s="812"/>
      <c r="N13" s="8">
        <v>2</v>
      </c>
      <c r="O13" s="8">
        <v>2</v>
      </c>
      <c r="P13" s="8">
        <v>2</v>
      </c>
      <c r="Q13" s="7">
        <f t="shared" si="1"/>
        <v>1</v>
      </c>
      <c r="R13" s="8"/>
      <c r="S13" s="195" t="str">
        <f t="shared" si="0"/>
        <v>Switch</v>
      </c>
      <c r="T13" s="495">
        <f t="shared" si="2"/>
        <v>244515</v>
      </c>
      <c r="U13" s="495">
        <f t="shared" si="3"/>
        <v>244490</v>
      </c>
      <c r="V13" s="495">
        <f t="shared" si="4"/>
        <v>244515</v>
      </c>
    </row>
    <row r="14" spans="1:22">
      <c r="A14" s="814" t="s">
        <v>1597</v>
      </c>
      <c r="B14" s="815" t="s">
        <v>1598</v>
      </c>
      <c r="C14" s="816" t="s">
        <v>349</v>
      </c>
      <c r="D14" s="817" t="s">
        <v>43</v>
      </c>
      <c r="E14" s="812" t="s">
        <v>1584</v>
      </c>
      <c r="F14" s="8">
        <v>2</v>
      </c>
      <c r="G14" s="8">
        <v>2</v>
      </c>
      <c r="H14" s="825">
        <v>244514</v>
      </c>
      <c r="I14" s="825">
        <v>244514</v>
      </c>
      <c r="J14" s="825">
        <v>244491</v>
      </c>
      <c r="K14" s="825">
        <v>244491</v>
      </c>
      <c r="L14" s="830" t="s">
        <v>368</v>
      </c>
      <c r="M14" s="812"/>
      <c r="N14" s="8">
        <v>2</v>
      </c>
      <c r="O14" s="8">
        <v>2</v>
      </c>
      <c r="P14" s="8">
        <v>2</v>
      </c>
      <c r="Q14" s="7">
        <f t="shared" si="1"/>
        <v>1</v>
      </c>
      <c r="R14" s="8"/>
      <c r="S14" s="195" t="str">
        <f t="shared" si="0"/>
        <v>Switch</v>
      </c>
      <c r="T14" s="495">
        <f t="shared" si="2"/>
        <v>244514</v>
      </c>
      <c r="U14" s="495">
        <f t="shared" si="3"/>
        <v>244491</v>
      </c>
      <c r="V14" s="495">
        <f t="shared" si="4"/>
        <v>244514</v>
      </c>
    </row>
    <row r="15" spans="1:22">
      <c r="A15" s="814" t="s">
        <v>1599</v>
      </c>
      <c r="B15" s="815" t="s">
        <v>1581</v>
      </c>
      <c r="C15" s="816" t="s">
        <v>1581</v>
      </c>
      <c r="D15" s="817" t="s">
        <v>43</v>
      </c>
      <c r="E15" s="812" t="s">
        <v>1584</v>
      </c>
      <c r="F15" s="8">
        <v>1</v>
      </c>
      <c r="G15" s="8">
        <v>1</v>
      </c>
      <c r="H15" s="825">
        <v>244518</v>
      </c>
      <c r="I15" s="825">
        <v>244518</v>
      </c>
      <c r="J15" s="825">
        <v>244491</v>
      </c>
      <c r="K15" s="825">
        <v>244491</v>
      </c>
      <c r="L15" s="830" t="s">
        <v>368</v>
      </c>
      <c r="M15" s="812"/>
      <c r="N15" s="8">
        <v>1</v>
      </c>
      <c r="O15" s="8">
        <v>1</v>
      </c>
      <c r="P15" s="8">
        <v>1</v>
      </c>
      <c r="Q15" s="7">
        <f t="shared" si="1"/>
        <v>1</v>
      </c>
      <c r="R15" s="8"/>
      <c r="S15" s="195" t="str">
        <f t="shared" si="0"/>
        <v>Switch</v>
      </c>
      <c r="T15" s="495">
        <f t="shared" si="2"/>
        <v>244518</v>
      </c>
      <c r="U15" s="495">
        <f t="shared" si="3"/>
        <v>244491</v>
      </c>
      <c r="V15" s="495">
        <f t="shared" si="4"/>
        <v>244518</v>
      </c>
    </row>
    <row r="16" spans="1:22">
      <c r="A16" s="814" t="s">
        <v>1600</v>
      </c>
      <c r="B16" s="815">
        <v>212</v>
      </c>
      <c r="C16" s="816">
        <v>212</v>
      </c>
      <c r="D16" s="817" t="s">
        <v>43</v>
      </c>
      <c r="E16" s="812" t="s">
        <v>1584</v>
      </c>
      <c r="F16" s="8">
        <v>1</v>
      </c>
      <c r="G16" s="8">
        <v>1</v>
      </c>
      <c r="H16" s="825">
        <v>244518</v>
      </c>
      <c r="I16" s="825">
        <v>244518</v>
      </c>
      <c r="J16" s="825">
        <v>244491</v>
      </c>
      <c r="K16" s="825">
        <v>244491</v>
      </c>
      <c r="L16" s="830" t="s">
        <v>368</v>
      </c>
      <c r="M16" s="812"/>
      <c r="N16" s="8">
        <v>1</v>
      </c>
      <c r="O16" s="8">
        <v>1</v>
      </c>
      <c r="P16" s="8">
        <v>1</v>
      </c>
      <c r="Q16" s="7">
        <f t="shared" si="1"/>
        <v>1</v>
      </c>
      <c r="R16" s="8"/>
      <c r="S16" s="195" t="str">
        <f t="shared" si="0"/>
        <v>Switch</v>
      </c>
      <c r="T16" s="495">
        <f t="shared" si="2"/>
        <v>244518</v>
      </c>
      <c r="U16" s="495">
        <f t="shared" si="3"/>
        <v>244491</v>
      </c>
      <c r="V16" s="495">
        <f t="shared" si="4"/>
        <v>244518</v>
      </c>
    </row>
    <row r="17" spans="1:22">
      <c r="A17" s="814" t="s">
        <v>1601</v>
      </c>
      <c r="B17" s="815" t="s">
        <v>1602</v>
      </c>
      <c r="C17" s="816" t="s">
        <v>349</v>
      </c>
      <c r="D17" s="817" t="s">
        <v>43</v>
      </c>
      <c r="E17" s="812" t="s">
        <v>1584</v>
      </c>
      <c r="F17" s="8">
        <v>1</v>
      </c>
      <c r="G17" s="8">
        <v>1</v>
      </c>
      <c r="H17" s="825">
        <v>244517</v>
      </c>
      <c r="I17" s="825">
        <v>244517</v>
      </c>
      <c r="J17" s="825">
        <v>244490</v>
      </c>
      <c r="K17" s="825">
        <v>244490</v>
      </c>
      <c r="L17" s="830" t="s">
        <v>368</v>
      </c>
      <c r="M17" s="812"/>
      <c r="N17" s="8">
        <v>1</v>
      </c>
      <c r="O17" s="8">
        <v>1</v>
      </c>
      <c r="P17" s="8">
        <v>1</v>
      </c>
      <c r="Q17" s="7">
        <f t="shared" si="1"/>
        <v>1</v>
      </c>
      <c r="R17" s="8"/>
      <c r="S17" s="195" t="str">
        <f t="shared" si="0"/>
        <v>Switch</v>
      </c>
      <c r="T17" s="495">
        <f t="shared" si="2"/>
        <v>244517</v>
      </c>
      <c r="U17" s="495">
        <f t="shared" si="3"/>
        <v>244490</v>
      </c>
      <c r="V17" s="495">
        <f t="shared" si="4"/>
        <v>244517</v>
      </c>
    </row>
    <row r="18" spans="1:22">
      <c r="A18" s="814" t="s">
        <v>1603</v>
      </c>
      <c r="B18" s="815" t="s">
        <v>1604</v>
      </c>
      <c r="C18" s="816" t="s">
        <v>349</v>
      </c>
      <c r="D18" s="817" t="s">
        <v>43</v>
      </c>
      <c r="E18" s="812" t="s">
        <v>1584</v>
      </c>
      <c r="F18" s="8">
        <v>2</v>
      </c>
      <c r="G18" s="8">
        <v>2</v>
      </c>
      <c r="H18" s="825">
        <v>244516</v>
      </c>
      <c r="I18" s="825">
        <v>244516</v>
      </c>
      <c r="J18" s="825">
        <v>244490</v>
      </c>
      <c r="K18" s="825">
        <v>244490</v>
      </c>
      <c r="L18" s="830" t="s">
        <v>368</v>
      </c>
      <c r="M18" s="812"/>
      <c r="N18" s="8">
        <v>2</v>
      </c>
      <c r="O18" s="8">
        <v>2</v>
      </c>
      <c r="P18" s="8">
        <v>2</v>
      </c>
      <c r="Q18" s="7">
        <f t="shared" si="1"/>
        <v>1</v>
      </c>
      <c r="R18" s="8"/>
      <c r="S18" s="195" t="str">
        <f t="shared" si="0"/>
        <v>Switch</v>
      </c>
      <c r="T18" s="495">
        <f t="shared" si="2"/>
        <v>244516</v>
      </c>
      <c r="U18" s="495">
        <f t="shared" si="3"/>
        <v>244490</v>
      </c>
      <c r="V18" s="495">
        <f t="shared" si="4"/>
        <v>244516</v>
      </c>
    </row>
    <row r="19" spans="1:22">
      <c r="A19" s="818" t="s">
        <v>1446</v>
      </c>
      <c r="B19" s="819" t="s">
        <v>1605</v>
      </c>
      <c r="C19" s="816" t="s">
        <v>1606</v>
      </c>
      <c r="D19" s="817" t="s">
        <v>39</v>
      </c>
      <c r="E19" s="812" t="s">
        <v>1577</v>
      </c>
      <c r="F19" s="8">
        <v>2</v>
      </c>
      <c r="G19" s="8">
        <v>2</v>
      </c>
      <c r="H19" s="825">
        <v>244487</v>
      </c>
      <c r="I19" s="825">
        <v>244490</v>
      </c>
      <c r="J19" s="825">
        <v>244491</v>
      </c>
      <c r="K19" s="825">
        <v>244491</v>
      </c>
      <c r="L19" s="830" t="s">
        <v>368</v>
      </c>
      <c r="M19" s="812"/>
      <c r="N19" s="8">
        <v>2</v>
      </c>
      <c r="O19" s="8">
        <v>2</v>
      </c>
      <c r="P19" s="8">
        <v>2</v>
      </c>
      <c r="Q19" s="7">
        <f t="shared" si="1"/>
        <v>1</v>
      </c>
      <c r="R19" s="8"/>
      <c r="S19" s="195" t="str">
        <f t="shared" si="0"/>
        <v>Switch</v>
      </c>
      <c r="T19" s="495">
        <f t="shared" si="2"/>
        <v>244487</v>
      </c>
      <c r="U19" s="495">
        <f t="shared" si="3"/>
        <v>244491</v>
      </c>
      <c r="V19" s="495">
        <f t="shared" si="4"/>
        <v>244490</v>
      </c>
    </row>
    <row r="20" spans="1:22">
      <c r="A20" s="818" t="s">
        <v>1446</v>
      </c>
      <c r="B20" s="819" t="s">
        <v>1605</v>
      </c>
      <c r="C20" s="816"/>
      <c r="D20" s="817" t="s">
        <v>43</v>
      </c>
      <c r="E20" s="812" t="s">
        <v>1584</v>
      </c>
      <c r="F20" s="8">
        <v>4</v>
      </c>
      <c r="G20" s="8">
        <v>4</v>
      </c>
      <c r="H20" s="825">
        <v>244487</v>
      </c>
      <c r="I20" s="825">
        <v>244490</v>
      </c>
      <c r="J20" s="825">
        <v>244492</v>
      </c>
      <c r="K20" s="825">
        <v>244492</v>
      </c>
      <c r="L20" s="830" t="s">
        <v>368</v>
      </c>
      <c r="M20" s="812"/>
      <c r="N20" s="8">
        <v>4</v>
      </c>
      <c r="O20" s="8">
        <v>4</v>
      </c>
      <c r="P20" s="8">
        <v>4</v>
      </c>
      <c r="Q20" s="7">
        <f t="shared" si="1"/>
        <v>1</v>
      </c>
      <c r="R20" s="8"/>
      <c r="S20" s="195" t="str">
        <f t="shared" si="0"/>
        <v>Switch</v>
      </c>
      <c r="T20" s="495">
        <f t="shared" si="2"/>
        <v>244487</v>
      </c>
      <c r="U20" s="495">
        <f t="shared" si="3"/>
        <v>244492</v>
      </c>
      <c r="V20" s="495">
        <f t="shared" si="4"/>
        <v>244490</v>
      </c>
    </row>
    <row r="21" spans="1:22">
      <c r="A21" s="818" t="s">
        <v>1446</v>
      </c>
      <c r="B21" s="819" t="s">
        <v>1605</v>
      </c>
      <c r="C21" s="816"/>
      <c r="D21" s="817" t="s">
        <v>1387</v>
      </c>
      <c r="E21" s="811" t="s">
        <v>1607</v>
      </c>
      <c r="F21" s="8">
        <v>2</v>
      </c>
      <c r="G21" s="8">
        <v>2</v>
      </c>
      <c r="H21" s="825">
        <v>244487</v>
      </c>
      <c r="I21" s="825">
        <v>244490</v>
      </c>
      <c r="J21" s="825">
        <v>244489</v>
      </c>
      <c r="K21" s="825">
        <v>244489</v>
      </c>
      <c r="L21" s="830" t="s">
        <v>368</v>
      </c>
      <c r="M21" s="811"/>
      <c r="N21" s="8">
        <v>2</v>
      </c>
      <c r="O21" s="8">
        <v>2</v>
      </c>
      <c r="P21" s="8">
        <v>2</v>
      </c>
      <c r="Q21" s="7">
        <f t="shared" si="1"/>
        <v>1</v>
      </c>
      <c r="R21" s="8"/>
      <c r="S21" s="195" t="str">
        <f t="shared" si="0"/>
        <v>Switch</v>
      </c>
      <c r="T21" s="495">
        <f t="shared" si="2"/>
        <v>244487</v>
      </c>
      <c r="U21" s="495">
        <f t="shared" si="3"/>
        <v>244489</v>
      </c>
      <c r="V21" s="495">
        <f t="shared" si="4"/>
        <v>244490</v>
      </c>
    </row>
    <row r="22" spans="1:22">
      <c r="A22" s="818" t="s">
        <v>1446</v>
      </c>
      <c r="B22" s="819" t="s">
        <v>1605</v>
      </c>
      <c r="C22" s="816"/>
      <c r="D22" s="817" t="s">
        <v>53</v>
      </c>
      <c r="E22" s="813" t="s">
        <v>1608</v>
      </c>
      <c r="F22" s="8">
        <v>2</v>
      </c>
      <c r="G22" s="8">
        <v>2</v>
      </c>
      <c r="H22" s="825">
        <v>244487</v>
      </c>
      <c r="I22" s="825">
        <v>244490</v>
      </c>
      <c r="J22" s="825">
        <v>244489</v>
      </c>
      <c r="K22" s="825">
        <v>244489</v>
      </c>
      <c r="L22" s="830" t="s">
        <v>368</v>
      </c>
      <c r="M22" s="813"/>
      <c r="N22" s="8">
        <v>2</v>
      </c>
      <c r="O22" s="8">
        <v>2</v>
      </c>
      <c r="P22" s="8">
        <v>2</v>
      </c>
      <c r="Q22" s="7">
        <f t="shared" si="1"/>
        <v>1</v>
      </c>
      <c r="R22" s="8"/>
      <c r="S22" s="195" t="str">
        <f t="shared" si="0"/>
        <v>Infra</v>
      </c>
      <c r="T22" s="495">
        <f t="shared" si="2"/>
        <v>244487</v>
      </c>
      <c r="U22" s="495">
        <f t="shared" si="3"/>
        <v>244489</v>
      </c>
      <c r="V22" s="495">
        <f t="shared" si="4"/>
        <v>244490</v>
      </c>
    </row>
    <row r="23" spans="1:22">
      <c r="A23" s="818" t="s">
        <v>1446</v>
      </c>
      <c r="B23" s="819" t="s">
        <v>1605</v>
      </c>
      <c r="C23" s="816"/>
      <c r="D23" s="817" t="s">
        <v>59</v>
      </c>
      <c r="E23" s="813" t="s">
        <v>1609</v>
      </c>
      <c r="F23" s="8">
        <v>2</v>
      </c>
      <c r="G23" s="8">
        <v>2</v>
      </c>
      <c r="H23" s="825">
        <v>244487</v>
      </c>
      <c r="I23" s="825">
        <v>244490</v>
      </c>
      <c r="J23" s="825">
        <v>244489</v>
      </c>
      <c r="K23" s="825">
        <v>244496</v>
      </c>
      <c r="L23" s="830" t="s">
        <v>368</v>
      </c>
      <c r="M23" s="813"/>
      <c r="N23" s="8">
        <v>2</v>
      </c>
      <c r="O23" s="8">
        <v>2</v>
      </c>
      <c r="P23" s="8">
        <v>2</v>
      </c>
      <c r="Q23" s="7">
        <f t="shared" si="1"/>
        <v>1</v>
      </c>
      <c r="R23" s="8"/>
      <c r="S23" s="195" t="str">
        <f t="shared" si="0"/>
        <v>Infra</v>
      </c>
      <c r="T23" s="495">
        <f t="shared" si="2"/>
        <v>244487</v>
      </c>
      <c r="U23" s="495">
        <f t="shared" si="3"/>
        <v>244489</v>
      </c>
      <c r="V23" s="495">
        <f t="shared" si="4"/>
        <v>244490</v>
      </c>
    </row>
    <row r="24" spans="1:22">
      <c r="A24" s="818" t="s">
        <v>1446</v>
      </c>
      <c r="B24" s="819" t="s">
        <v>1605</v>
      </c>
      <c r="C24" s="816"/>
      <c r="D24" s="817" t="s">
        <v>1390</v>
      </c>
      <c r="E24" s="813" t="s">
        <v>1610</v>
      </c>
      <c r="F24" s="8">
        <v>2</v>
      </c>
      <c r="G24" s="8">
        <v>2</v>
      </c>
      <c r="H24" s="825">
        <v>244487</v>
      </c>
      <c r="I24" s="825">
        <v>244490</v>
      </c>
      <c r="J24" s="825">
        <v>244489</v>
      </c>
      <c r="K24" s="825">
        <v>244489</v>
      </c>
      <c r="L24" s="830" t="s">
        <v>368</v>
      </c>
      <c r="M24" s="813"/>
      <c r="N24" s="8">
        <v>2</v>
      </c>
      <c r="O24" s="8">
        <v>2</v>
      </c>
      <c r="P24" s="8">
        <v>2</v>
      </c>
      <c r="Q24" s="7">
        <f t="shared" si="1"/>
        <v>1</v>
      </c>
      <c r="R24" s="8"/>
      <c r="S24" s="195" t="str">
        <f t="shared" si="0"/>
        <v>Switch</v>
      </c>
      <c r="T24" s="495">
        <f t="shared" si="2"/>
        <v>244487</v>
      </c>
      <c r="U24" s="495">
        <f t="shared" si="3"/>
        <v>244489</v>
      </c>
      <c r="V24" s="495">
        <f t="shared" si="4"/>
        <v>244490</v>
      </c>
    </row>
    <row r="25" spans="1:22">
      <c r="A25" s="818" t="s">
        <v>1446</v>
      </c>
      <c r="B25" s="819" t="s">
        <v>1605</v>
      </c>
      <c r="C25" s="816"/>
      <c r="D25" s="817" t="s">
        <v>1392</v>
      </c>
      <c r="E25" s="813" t="s">
        <v>1611</v>
      </c>
      <c r="F25" s="8">
        <v>2</v>
      </c>
      <c r="G25" s="8">
        <v>2</v>
      </c>
      <c r="H25" s="825">
        <v>244487</v>
      </c>
      <c r="I25" s="825">
        <v>244490</v>
      </c>
      <c r="J25" s="825">
        <v>244489</v>
      </c>
      <c r="K25" s="825">
        <v>244489</v>
      </c>
      <c r="L25" s="830" t="s">
        <v>368</v>
      </c>
      <c r="M25" s="813"/>
      <c r="N25" s="8">
        <v>2</v>
      </c>
      <c r="O25" s="8">
        <v>2</v>
      </c>
      <c r="P25" s="8">
        <v>2</v>
      </c>
      <c r="Q25" s="7">
        <f t="shared" si="1"/>
        <v>1</v>
      </c>
      <c r="R25" s="8"/>
      <c r="S25" s="195" t="str">
        <f t="shared" si="0"/>
        <v>Switch</v>
      </c>
      <c r="T25" s="495">
        <f t="shared" si="2"/>
        <v>244487</v>
      </c>
      <c r="U25" s="495">
        <f t="shared" si="3"/>
        <v>244489</v>
      </c>
      <c r="V25" s="495">
        <f t="shared" si="4"/>
        <v>244490</v>
      </c>
    </row>
    <row r="26" spans="1:22">
      <c r="A26" s="818" t="s">
        <v>1446</v>
      </c>
      <c r="B26" s="819" t="s">
        <v>1605</v>
      </c>
      <c r="C26" s="816"/>
      <c r="D26" s="817" t="s">
        <v>63</v>
      </c>
      <c r="E26" s="811" t="s">
        <v>1612</v>
      </c>
      <c r="F26" s="8">
        <v>2</v>
      </c>
      <c r="G26" s="8">
        <v>2</v>
      </c>
      <c r="H26" s="825">
        <v>244487</v>
      </c>
      <c r="I26" s="825">
        <v>244490</v>
      </c>
      <c r="J26" s="825">
        <v>244489</v>
      </c>
      <c r="K26" s="825">
        <v>244498</v>
      </c>
      <c r="L26" s="830" t="s">
        <v>368</v>
      </c>
      <c r="M26" s="811"/>
      <c r="N26" s="8">
        <v>2</v>
      </c>
      <c r="O26" s="8">
        <v>2</v>
      </c>
      <c r="P26" s="8">
        <v>2</v>
      </c>
      <c r="Q26" s="7">
        <f t="shared" si="1"/>
        <v>1</v>
      </c>
      <c r="R26" s="8"/>
      <c r="S26" s="195" t="str">
        <f t="shared" si="0"/>
        <v>Switch</v>
      </c>
      <c r="T26" s="495">
        <f t="shared" si="2"/>
        <v>244487</v>
      </c>
      <c r="U26" s="495">
        <f t="shared" si="3"/>
        <v>244489</v>
      </c>
      <c r="V26" s="495">
        <f t="shared" si="4"/>
        <v>244490</v>
      </c>
    </row>
    <row r="27" spans="1:22">
      <c r="A27" s="818" t="s">
        <v>1446</v>
      </c>
      <c r="B27" s="819" t="s">
        <v>1605</v>
      </c>
      <c r="C27" s="816"/>
      <c r="D27" s="817" t="s">
        <v>1394</v>
      </c>
      <c r="E27" s="811" t="s">
        <v>1611</v>
      </c>
      <c r="F27" s="8">
        <v>2</v>
      </c>
      <c r="G27" s="8">
        <v>2</v>
      </c>
      <c r="H27" s="825">
        <v>244487</v>
      </c>
      <c r="I27" s="825">
        <v>244490</v>
      </c>
      <c r="J27" s="825">
        <v>244489</v>
      </c>
      <c r="K27" s="825">
        <v>244489</v>
      </c>
      <c r="L27" s="830" t="s">
        <v>368</v>
      </c>
      <c r="M27" s="811"/>
      <c r="N27" s="8">
        <v>2</v>
      </c>
      <c r="O27" s="8">
        <v>2</v>
      </c>
      <c r="P27" s="8">
        <v>2</v>
      </c>
      <c r="Q27" s="7">
        <f t="shared" si="1"/>
        <v>1</v>
      </c>
      <c r="R27" s="8"/>
      <c r="S27" s="195" t="str">
        <f t="shared" si="0"/>
        <v>Switch</v>
      </c>
      <c r="T27" s="495">
        <f t="shared" si="2"/>
        <v>244487</v>
      </c>
      <c r="U27" s="495">
        <f t="shared" si="3"/>
        <v>244489</v>
      </c>
      <c r="V27" s="495">
        <f t="shared" si="4"/>
        <v>244490</v>
      </c>
    </row>
    <row r="28" spans="1:22">
      <c r="A28" s="818" t="s">
        <v>1446</v>
      </c>
      <c r="B28" s="819" t="s">
        <v>1613</v>
      </c>
      <c r="C28" s="816" t="s">
        <v>349</v>
      </c>
      <c r="D28" s="817" t="s">
        <v>39</v>
      </c>
      <c r="E28" s="812" t="s">
        <v>1577</v>
      </c>
      <c r="F28" s="8">
        <v>2</v>
      </c>
      <c r="G28" s="8">
        <v>2</v>
      </c>
      <c r="H28" s="825">
        <v>244492</v>
      </c>
      <c r="I28" s="825">
        <v>244492</v>
      </c>
      <c r="J28" s="825">
        <v>244495</v>
      </c>
      <c r="K28" s="825">
        <v>244495</v>
      </c>
      <c r="L28" s="830" t="s">
        <v>368</v>
      </c>
      <c r="M28" s="812"/>
      <c r="N28" s="8">
        <v>2</v>
      </c>
      <c r="O28" s="8">
        <v>2</v>
      </c>
      <c r="P28" s="8">
        <v>2</v>
      </c>
      <c r="Q28" s="7">
        <f t="shared" si="1"/>
        <v>1</v>
      </c>
      <c r="R28" s="8"/>
      <c r="S28" s="195" t="str">
        <f t="shared" si="0"/>
        <v>Switch</v>
      </c>
      <c r="T28" s="495">
        <f t="shared" si="2"/>
        <v>244492</v>
      </c>
      <c r="U28" s="495">
        <f t="shared" si="3"/>
        <v>244495</v>
      </c>
      <c r="V28" s="495">
        <f t="shared" si="4"/>
        <v>244492</v>
      </c>
    </row>
    <row r="29" spans="1:22">
      <c r="A29" s="818" t="s">
        <v>1446</v>
      </c>
      <c r="B29" s="819" t="s">
        <v>1613</v>
      </c>
      <c r="C29" s="816"/>
      <c r="D29" s="817" t="s">
        <v>43</v>
      </c>
      <c r="E29" s="812" t="s">
        <v>1584</v>
      </c>
      <c r="F29" s="8">
        <v>4</v>
      </c>
      <c r="G29" s="8">
        <v>4</v>
      </c>
      <c r="H29" s="825">
        <v>244492</v>
      </c>
      <c r="I29" s="825">
        <v>244492</v>
      </c>
      <c r="J29" s="825">
        <v>244495</v>
      </c>
      <c r="K29" s="825">
        <v>244495</v>
      </c>
      <c r="L29" s="830" t="s">
        <v>368</v>
      </c>
      <c r="M29" s="812"/>
      <c r="N29" s="8">
        <v>4</v>
      </c>
      <c r="O29" s="8">
        <v>4</v>
      </c>
      <c r="P29" s="8">
        <v>4</v>
      </c>
      <c r="Q29" s="7">
        <f t="shared" si="1"/>
        <v>1</v>
      </c>
      <c r="R29" s="8"/>
      <c r="S29" s="195" t="str">
        <f t="shared" si="0"/>
        <v>Switch</v>
      </c>
      <c r="T29" s="495">
        <f t="shared" si="2"/>
        <v>244492</v>
      </c>
      <c r="U29" s="495">
        <f t="shared" si="3"/>
        <v>244495</v>
      </c>
      <c r="V29" s="495">
        <f t="shared" si="4"/>
        <v>244492</v>
      </c>
    </row>
    <row r="30" spans="1:22">
      <c r="A30" s="818" t="s">
        <v>1446</v>
      </c>
      <c r="B30" s="819" t="s">
        <v>1614</v>
      </c>
      <c r="C30" s="816" t="s">
        <v>1615</v>
      </c>
      <c r="D30" s="817" t="s">
        <v>39</v>
      </c>
      <c r="E30" s="812" t="s">
        <v>1577</v>
      </c>
      <c r="F30" s="8">
        <v>1</v>
      </c>
      <c r="G30" s="8">
        <v>1</v>
      </c>
      <c r="H30" s="825">
        <v>244497</v>
      </c>
      <c r="I30" s="825">
        <v>244497</v>
      </c>
      <c r="J30" s="825">
        <v>244495</v>
      </c>
      <c r="K30" s="825">
        <v>244495</v>
      </c>
      <c r="L30" s="830" t="s">
        <v>368</v>
      </c>
      <c r="M30" s="812"/>
      <c r="N30" s="8">
        <v>1</v>
      </c>
      <c r="O30" s="8">
        <v>1</v>
      </c>
      <c r="P30" s="8">
        <v>1</v>
      </c>
      <c r="Q30" s="7">
        <f t="shared" si="1"/>
        <v>1</v>
      </c>
      <c r="R30" s="8"/>
      <c r="S30" s="195" t="str">
        <f t="shared" si="0"/>
        <v>Switch</v>
      </c>
      <c r="T30" s="495">
        <f t="shared" si="2"/>
        <v>244497</v>
      </c>
      <c r="U30" s="495">
        <f t="shared" si="3"/>
        <v>244495</v>
      </c>
      <c r="V30" s="495">
        <f t="shared" si="4"/>
        <v>244497</v>
      </c>
    </row>
    <row r="31" spans="1:22">
      <c r="A31" s="818" t="s">
        <v>1446</v>
      </c>
      <c r="B31" s="819" t="s">
        <v>1616</v>
      </c>
      <c r="C31" s="816" t="s">
        <v>1617</v>
      </c>
      <c r="D31" s="817" t="s">
        <v>39</v>
      </c>
      <c r="E31" s="812" t="s">
        <v>1577</v>
      </c>
      <c r="F31" s="8">
        <v>2</v>
      </c>
      <c r="G31" s="8">
        <v>2</v>
      </c>
      <c r="H31" s="825">
        <v>244491</v>
      </c>
      <c r="I31" s="825">
        <v>244491</v>
      </c>
      <c r="J31" s="825">
        <v>244495</v>
      </c>
      <c r="K31" s="825">
        <v>244495</v>
      </c>
      <c r="L31" s="830" t="s">
        <v>368</v>
      </c>
      <c r="M31" s="812"/>
      <c r="N31" s="8">
        <v>2</v>
      </c>
      <c r="O31" s="8">
        <v>2</v>
      </c>
      <c r="P31" s="8">
        <v>2</v>
      </c>
      <c r="Q31" s="7">
        <f t="shared" si="1"/>
        <v>1</v>
      </c>
      <c r="R31" s="8"/>
      <c r="S31" s="195" t="str">
        <f t="shared" si="0"/>
        <v>Switch</v>
      </c>
      <c r="T31" s="495">
        <f t="shared" si="2"/>
        <v>244491</v>
      </c>
      <c r="U31" s="495">
        <f t="shared" si="3"/>
        <v>244495</v>
      </c>
      <c r="V31" s="495">
        <f t="shared" si="4"/>
        <v>244491</v>
      </c>
    </row>
    <row r="32" spans="1:22">
      <c r="A32" s="818" t="s">
        <v>1446</v>
      </c>
      <c r="B32" s="819" t="s">
        <v>1616</v>
      </c>
      <c r="C32" s="816"/>
      <c r="D32" s="817" t="s">
        <v>43</v>
      </c>
      <c r="E32" s="812" t="s">
        <v>1584</v>
      </c>
      <c r="F32" s="8">
        <v>4</v>
      </c>
      <c r="G32" s="8">
        <v>4</v>
      </c>
      <c r="H32" s="825">
        <v>244491</v>
      </c>
      <c r="I32" s="825">
        <v>244491</v>
      </c>
      <c r="J32" s="825">
        <v>244495</v>
      </c>
      <c r="K32" s="825">
        <v>244495</v>
      </c>
      <c r="L32" s="830" t="s">
        <v>368</v>
      </c>
      <c r="M32" s="812"/>
      <c r="N32" s="8">
        <v>4</v>
      </c>
      <c r="O32" s="8">
        <v>4</v>
      </c>
      <c r="P32" s="8">
        <v>4</v>
      </c>
      <c r="Q32" s="7">
        <f t="shared" si="1"/>
        <v>1</v>
      </c>
      <c r="R32" s="8"/>
      <c r="S32" s="195" t="str">
        <f t="shared" si="0"/>
        <v>Switch</v>
      </c>
      <c r="T32" s="495">
        <f t="shared" si="2"/>
        <v>244491</v>
      </c>
      <c r="U32" s="495">
        <f t="shared" si="3"/>
        <v>244495</v>
      </c>
      <c r="V32" s="495">
        <f t="shared" si="4"/>
        <v>244491</v>
      </c>
    </row>
    <row r="33" spans="1:22">
      <c r="A33" s="818" t="s">
        <v>1446</v>
      </c>
      <c r="B33" s="819" t="s">
        <v>1618</v>
      </c>
      <c r="C33" s="816" t="s">
        <v>1619</v>
      </c>
      <c r="D33" s="817" t="s">
        <v>39</v>
      </c>
      <c r="E33" s="812" t="s">
        <v>1577</v>
      </c>
      <c r="F33" s="8">
        <v>1</v>
      </c>
      <c r="G33" s="8">
        <v>1</v>
      </c>
      <c r="H33" s="825">
        <v>244498</v>
      </c>
      <c r="I33" s="825">
        <v>244498</v>
      </c>
      <c r="J33" s="825">
        <v>244491</v>
      </c>
      <c r="K33" s="825">
        <v>244491</v>
      </c>
      <c r="L33" s="830" t="s">
        <v>368</v>
      </c>
      <c r="M33" s="812"/>
      <c r="N33" s="8">
        <v>1</v>
      </c>
      <c r="O33" s="8">
        <v>1</v>
      </c>
      <c r="P33" s="8">
        <v>1</v>
      </c>
      <c r="Q33" s="7">
        <f t="shared" si="1"/>
        <v>1</v>
      </c>
      <c r="R33" s="8"/>
      <c r="S33" s="195" t="str">
        <f t="shared" si="0"/>
        <v>Switch</v>
      </c>
      <c r="T33" s="495">
        <f t="shared" si="2"/>
        <v>244498</v>
      </c>
      <c r="U33" s="495">
        <f t="shared" si="3"/>
        <v>244491</v>
      </c>
      <c r="V33" s="495">
        <f t="shared" si="4"/>
        <v>244498</v>
      </c>
    </row>
    <row r="34" spans="1:22">
      <c r="A34" s="818" t="s">
        <v>1446</v>
      </c>
      <c r="B34" s="819" t="s">
        <v>1620</v>
      </c>
      <c r="C34" s="816" t="s">
        <v>1621</v>
      </c>
      <c r="D34" s="817" t="s">
        <v>39</v>
      </c>
      <c r="E34" s="812" t="s">
        <v>1577</v>
      </c>
      <c r="F34" s="8">
        <v>1</v>
      </c>
      <c r="G34" s="8">
        <v>1</v>
      </c>
      <c r="H34" s="825">
        <v>244498</v>
      </c>
      <c r="I34" s="825">
        <v>244498</v>
      </c>
      <c r="J34" s="825">
        <v>244496</v>
      </c>
      <c r="K34" s="825">
        <v>244496</v>
      </c>
      <c r="L34" s="830" t="s">
        <v>368</v>
      </c>
      <c r="M34" s="812"/>
      <c r="N34" s="8">
        <v>1</v>
      </c>
      <c r="O34" s="8">
        <v>1</v>
      </c>
      <c r="P34" s="8">
        <v>1</v>
      </c>
      <c r="Q34" s="7">
        <f t="shared" si="1"/>
        <v>1</v>
      </c>
      <c r="R34" s="8"/>
      <c r="S34" s="195" t="str">
        <f t="shared" si="0"/>
        <v>Switch</v>
      </c>
      <c r="T34" s="495">
        <f t="shared" si="2"/>
        <v>244498</v>
      </c>
      <c r="U34" s="495">
        <f t="shared" si="3"/>
        <v>244496</v>
      </c>
      <c r="V34" s="495">
        <f t="shared" si="4"/>
        <v>244498</v>
      </c>
    </row>
    <row r="35" spans="1:22">
      <c r="A35" s="818" t="s">
        <v>1446</v>
      </c>
      <c r="B35" s="819" t="s">
        <v>1622</v>
      </c>
      <c r="C35" s="816" t="s">
        <v>1623</v>
      </c>
      <c r="D35" s="817" t="s">
        <v>39</v>
      </c>
      <c r="E35" s="812" t="s">
        <v>1577</v>
      </c>
      <c r="F35" s="8">
        <v>1</v>
      </c>
      <c r="G35" s="8">
        <v>1</v>
      </c>
      <c r="H35" s="825">
        <v>244493</v>
      </c>
      <c r="I35" s="825">
        <v>244493</v>
      </c>
      <c r="J35" s="825">
        <v>244492</v>
      </c>
      <c r="K35" s="825">
        <v>244492</v>
      </c>
      <c r="L35" s="830" t="s">
        <v>368</v>
      </c>
      <c r="M35" s="812"/>
      <c r="N35" s="8">
        <v>1</v>
      </c>
      <c r="O35" s="8">
        <v>1</v>
      </c>
      <c r="P35" s="8">
        <v>1</v>
      </c>
      <c r="Q35" s="7">
        <f t="shared" si="1"/>
        <v>1</v>
      </c>
      <c r="R35" s="8"/>
      <c r="S35" s="195" t="str">
        <f t="shared" si="0"/>
        <v>Switch</v>
      </c>
      <c r="T35" s="495">
        <f t="shared" si="2"/>
        <v>244493</v>
      </c>
      <c r="U35" s="495">
        <f t="shared" si="3"/>
        <v>244492</v>
      </c>
      <c r="V35" s="495">
        <f t="shared" si="4"/>
        <v>244493</v>
      </c>
    </row>
    <row r="36" spans="1:22">
      <c r="A36" s="818" t="s">
        <v>1446</v>
      </c>
      <c r="B36" s="819" t="s">
        <v>1622</v>
      </c>
      <c r="C36" s="816"/>
      <c r="D36" s="817" t="s">
        <v>43</v>
      </c>
      <c r="E36" s="812" t="s">
        <v>1584</v>
      </c>
      <c r="F36" s="8">
        <v>4</v>
      </c>
      <c r="G36" s="8">
        <v>4</v>
      </c>
      <c r="H36" s="825">
        <v>244493</v>
      </c>
      <c r="I36" s="825">
        <v>244493</v>
      </c>
      <c r="J36" s="825">
        <v>244492</v>
      </c>
      <c r="K36" s="825">
        <v>244492</v>
      </c>
      <c r="L36" s="830" t="s">
        <v>368</v>
      </c>
      <c r="M36" s="812"/>
      <c r="N36" s="8">
        <v>4</v>
      </c>
      <c r="O36" s="8">
        <v>4</v>
      </c>
      <c r="P36" s="8">
        <v>4</v>
      </c>
      <c r="Q36" s="7">
        <f t="shared" si="1"/>
        <v>1</v>
      </c>
      <c r="R36" s="8"/>
      <c r="S36" s="195" t="str">
        <f t="shared" si="0"/>
        <v>Switch</v>
      </c>
      <c r="T36" s="495">
        <f t="shared" si="2"/>
        <v>244493</v>
      </c>
      <c r="U36" s="495">
        <f t="shared" si="3"/>
        <v>244492</v>
      </c>
      <c r="V36" s="495">
        <f t="shared" si="4"/>
        <v>244493</v>
      </c>
    </row>
    <row r="37" spans="1:22">
      <c r="A37" s="818" t="s">
        <v>1446</v>
      </c>
      <c r="B37" s="819" t="s">
        <v>1624</v>
      </c>
      <c r="C37" s="816" t="s">
        <v>1625</v>
      </c>
      <c r="D37" s="817" t="s">
        <v>43</v>
      </c>
      <c r="E37" s="812" t="s">
        <v>1584</v>
      </c>
      <c r="F37" s="8">
        <v>3</v>
      </c>
      <c r="G37" s="8">
        <v>3</v>
      </c>
      <c r="H37" s="825">
        <v>244495</v>
      </c>
      <c r="I37" s="825">
        <v>244495</v>
      </c>
      <c r="J37" s="825">
        <v>244496</v>
      </c>
      <c r="K37" s="825">
        <v>244496</v>
      </c>
      <c r="L37" s="830" t="s">
        <v>368</v>
      </c>
      <c r="M37" s="812"/>
      <c r="N37" s="8">
        <v>3</v>
      </c>
      <c r="O37" s="8">
        <v>3</v>
      </c>
      <c r="P37" s="8">
        <v>3</v>
      </c>
      <c r="Q37" s="7">
        <f t="shared" si="1"/>
        <v>1</v>
      </c>
      <c r="R37" s="8"/>
      <c r="S37" s="195" t="str">
        <f t="shared" si="0"/>
        <v>Switch</v>
      </c>
      <c r="T37" s="495">
        <f t="shared" si="2"/>
        <v>244495</v>
      </c>
      <c r="U37" s="495">
        <f t="shared" si="3"/>
        <v>244496</v>
      </c>
      <c r="V37" s="495">
        <f t="shared" si="4"/>
        <v>244495</v>
      </c>
    </row>
    <row r="38" spans="1:22">
      <c r="A38" s="818" t="s">
        <v>1446</v>
      </c>
      <c r="B38" s="819" t="s">
        <v>1626</v>
      </c>
      <c r="C38" s="816" t="s">
        <v>1627</v>
      </c>
      <c r="D38" s="817" t="s">
        <v>43</v>
      </c>
      <c r="E38" s="812" t="s">
        <v>1584</v>
      </c>
      <c r="F38" s="8">
        <v>2</v>
      </c>
      <c r="G38" s="8">
        <v>2</v>
      </c>
      <c r="H38" s="825">
        <v>244497</v>
      </c>
      <c r="I38" s="825">
        <v>244497</v>
      </c>
      <c r="J38" s="825">
        <v>244491</v>
      </c>
      <c r="K38" s="825">
        <v>244491</v>
      </c>
      <c r="L38" s="830" t="s">
        <v>368</v>
      </c>
      <c r="M38" s="812"/>
      <c r="N38" s="8">
        <v>2</v>
      </c>
      <c r="O38" s="8">
        <v>2</v>
      </c>
      <c r="P38" s="8">
        <v>2</v>
      </c>
      <c r="Q38" s="7">
        <f t="shared" si="1"/>
        <v>1</v>
      </c>
      <c r="R38" s="8"/>
      <c r="S38" s="195" t="str">
        <f t="shared" si="0"/>
        <v>Switch</v>
      </c>
      <c r="T38" s="495">
        <f t="shared" si="2"/>
        <v>244497</v>
      </c>
      <c r="U38" s="495">
        <f t="shared" si="3"/>
        <v>244491</v>
      </c>
      <c r="V38" s="495">
        <f t="shared" si="4"/>
        <v>244497</v>
      </c>
    </row>
    <row r="39" spans="1:22">
      <c r="A39" s="818" t="s">
        <v>1446</v>
      </c>
      <c r="B39" s="819" t="s">
        <v>1628</v>
      </c>
      <c r="C39" s="816" t="s">
        <v>1629</v>
      </c>
      <c r="D39" s="817" t="s">
        <v>43</v>
      </c>
      <c r="E39" s="812" t="s">
        <v>1584</v>
      </c>
      <c r="F39" s="8">
        <v>2</v>
      </c>
      <c r="G39" s="8">
        <v>2</v>
      </c>
      <c r="H39" s="825">
        <v>244497</v>
      </c>
      <c r="I39" s="825">
        <v>244497</v>
      </c>
      <c r="J39" s="825">
        <v>244491</v>
      </c>
      <c r="K39" s="825">
        <v>244491</v>
      </c>
      <c r="L39" s="830" t="s">
        <v>368</v>
      </c>
      <c r="M39" s="812"/>
      <c r="N39" s="8">
        <v>2</v>
      </c>
      <c r="O39" s="8">
        <v>2</v>
      </c>
      <c r="P39" s="8">
        <v>2</v>
      </c>
      <c r="Q39" s="7">
        <f t="shared" si="1"/>
        <v>1</v>
      </c>
      <c r="R39" s="8"/>
      <c r="S39" s="195" t="str">
        <f t="shared" si="0"/>
        <v>Switch</v>
      </c>
      <c r="T39" s="495">
        <f t="shared" si="2"/>
        <v>244497</v>
      </c>
      <c r="U39" s="495">
        <f t="shared" si="3"/>
        <v>244491</v>
      </c>
      <c r="V39" s="495">
        <f t="shared" si="4"/>
        <v>244497</v>
      </c>
    </row>
    <row r="40" spans="1:22">
      <c r="A40" s="818" t="s">
        <v>1446</v>
      </c>
      <c r="B40" s="819" t="s">
        <v>1630</v>
      </c>
      <c r="C40" s="816" t="s">
        <v>1631</v>
      </c>
      <c r="D40" s="817" t="s">
        <v>43</v>
      </c>
      <c r="E40" s="812" t="s">
        <v>1584</v>
      </c>
      <c r="F40" s="8">
        <v>3</v>
      </c>
      <c r="G40" s="8">
        <v>3</v>
      </c>
      <c r="H40" s="825">
        <v>244496</v>
      </c>
      <c r="I40" s="825">
        <v>244496</v>
      </c>
      <c r="J40" s="825">
        <v>244496</v>
      </c>
      <c r="K40" s="825">
        <v>244496</v>
      </c>
      <c r="L40" s="830" t="s">
        <v>368</v>
      </c>
      <c r="M40" s="812"/>
      <c r="N40" s="8">
        <v>3</v>
      </c>
      <c r="O40" s="8">
        <v>3</v>
      </c>
      <c r="P40" s="8">
        <v>3</v>
      </c>
      <c r="Q40" s="7">
        <f t="shared" si="1"/>
        <v>1</v>
      </c>
      <c r="R40" s="8"/>
      <c r="S40" s="195" t="str">
        <f t="shared" si="0"/>
        <v>Switch</v>
      </c>
      <c r="T40" s="495">
        <f t="shared" si="2"/>
        <v>244496</v>
      </c>
      <c r="U40" s="495">
        <f t="shared" si="3"/>
        <v>244496</v>
      </c>
      <c r="V40" s="495">
        <f t="shared" si="4"/>
        <v>244496</v>
      </c>
    </row>
    <row r="41" spans="1:22">
      <c r="A41" s="818" t="s">
        <v>1446</v>
      </c>
      <c r="B41" s="819" t="s">
        <v>1632</v>
      </c>
      <c r="C41" s="816" t="s">
        <v>349</v>
      </c>
      <c r="D41" s="817" t="s">
        <v>43</v>
      </c>
      <c r="E41" s="812" t="s">
        <v>1584</v>
      </c>
      <c r="F41" s="8">
        <v>3</v>
      </c>
      <c r="G41" s="8">
        <v>3</v>
      </c>
      <c r="H41" s="825">
        <v>244494</v>
      </c>
      <c r="I41" s="825">
        <v>244494</v>
      </c>
      <c r="J41" s="825">
        <v>244496</v>
      </c>
      <c r="K41" s="825">
        <v>244496</v>
      </c>
      <c r="L41" s="830" t="s">
        <v>368</v>
      </c>
      <c r="M41" s="812"/>
      <c r="N41" s="8">
        <v>3</v>
      </c>
      <c r="O41" s="8">
        <v>3</v>
      </c>
      <c r="P41" s="8">
        <v>3</v>
      </c>
      <c r="Q41" s="7">
        <f t="shared" si="1"/>
        <v>1</v>
      </c>
      <c r="R41" s="8"/>
      <c r="S41" s="195" t="str">
        <f t="shared" si="0"/>
        <v>Switch</v>
      </c>
      <c r="T41" s="495">
        <f t="shared" si="2"/>
        <v>244494</v>
      </c>
      <c r="U41" s="495">
        <f t="shared" si="3"/>
        <v>244496</v>
      </c>
      <c r="V41" s="495">
        <f t="shared" si="4"/>
        <v>244494</v>
      </c>
    </row>
    <row r="42" spans="1:22">
      <c r="A42" s="818" t="s">
        <v>1633</v>
      </c>
      <c r="B42" s="819" t="s">
        <v>1634</v>
      </c>
      <c r="C42" s="816" t="s">
        <v>1588</v>
      </c>
      <c r="D42" s="817" t="s">
        <v>39</v>
      </c>
      <c r="E42" s="812" t="s">
        <v>1577</v>
      </c>
      <c r="F42" s="8">
        <v>3</v>
      </c>
      <c r="G42" s="8">
        <v>3</v>
      </c>
      <c r="H42" s="825">
        <v>244510</v>
      </c>
      <c r="I42" s="825">
        <v>244511</v>
      </c>
      <c r="J42" s="825">
        <v>244492</v>
      </c>
      <c r="K42" s="825">
        <v>244492</v>
      </c>
      <c r="L42" s="830" t="s">
        <v>368</v>
      </c>
      <c r="M42" s="812"/>
      <c r="N42" s="8">
        <v>3</v>
      </c>
      <c r="O42" s="8">
        <v>3</v>
      </c>
      <c r="P42" s="8">
        <v>3</v>
      </c>
      <c r="Q42" s="7">
        <f t="shared" si="1"/>
        <v>1</v>
      </c>
      <c r="R42" s="8"/>
      <c r="S42" s="195" t="str">
        <f t="shared" si="0"/>
        <v>Switch</v>
      </c>
      <c r="T42" s="495">
        <f t="shared" si="2"/>
        <v>244510</v>
      </c>
      <c r="U42" s="495">
        <f t="shared" si="3"/>
        <v>244492</v>
      </c>
      <c r="V42" s="495">
        <f t="shared" si="4"/>
        <v>244511</v>
      </c>
    </row>
    <row r="43" spans="1:22">
      <c r="A43" s="818" t="s">
        <v>1633</v>
      </c>
      <c r="B43" s="819" t="s">
        <v>1634</v>
      </c>
      <c r="C43" s="816"/>
      <c r="D43" s="817" t="s">
        <v>43</v>
      </c>
      <c r="E43" s="812" t="s">
        <v>1584</v>
      </c>
      <c r="F43" s="8">
        <v>7</v>
      </c>
      <c r="G43" s="8">
        <v>7</v>
      </c>
      <c r="H43" s="825">
        <v>244510</v>
      </c>
      <c r="I43" s="825">
        <v>244511</v>
      </c>
      <c r="J43" s="825">
        <v>244492</v>
      </c>
      <c r="K43" s="825">
        <v>244492</v>
      </c>
      <c r="L43" s="830" t="s">
        <v>368</v>
      </c>
      <c r="M43" s="812"/>
      <c r="N43" s="8">
        <v>7</v>
      </c>
      <c r="O43" s="8">
        <v>7</v>
      </c>
      <c r="P43" s="8">
        <v>7</v>
      </c>
      <c r="Q43" s="7">
        <f t="shared" si="1"/>
        <v>1</v>
      </c>
      <c r="R43" s="8"/>
      <c r="S43" s="195" t="str">
        <f t="shared" si="0"/>
        <v>Switch</v>
      </c>
      <c r="T43" s="495">
        <f t="shared" si="2"/>
        <v>244510</v>
      </c>
      <c r="U43" s="495">
        <f t="shared" si="3"/>
        <v>244492</v>
      </c>
      <c r="V43" s="495">
        <f t="shared" si="4"/>
        <v>244511</v>
      </c>
    </row>
    <row r="44" spans="1:22">
      <c r="A44" s="818" t="s">
        <v>1633</v>
      </c>
      <c r="B44" s="819" t="s">
        <v>1635</v>
      </c>
      <c r="C44" s="816" t="s">
        <v>1636</v>
      </c>
      <c r="D44" s="817" t="s">
        <v>39</v>
      </c>
      <c r="E44" s="812" t="s">
        <v>1577</v>
      </c>
      <c r="F44" s="8">
        <v>2</v>
      </c>
      <c r="G44" s="8">
        <v>2</v>
      </c>
      <c r="H44" s="825">
        <v>244512</v>
      </c>
      <c r="I44" s="825">
        <v>244512</v>
      </c>
      <c r="J44" s="825">
        <v>244492</v>
      </c>
      <c r="K44" s="825">
        <v>244492</v>
      </c>
      <c r="L44" s="830" t="s">
        <v>368</v>
      </c>
      <c r="M44" s="812"/>
      <c r="N44" s="8">
        <v>2</v>
      </c>
      <c r="O44" s="8">
        <v>2</v>
      </c>
      <c r="P44" s="8">
        <v>2</v>
      </c>
      <c r="Q44" s="7">
        <f t="shared" si="1"/>
        <v>1</v>
      </c>
      <c r="R44" s="8"/>
      <c r="S44" s="195" t="str">
        <f t="shared" si="0"/>
        <v>Switch</v>
      </c>
      <c r="T44" s="495">
        <f t="shared" si="2"/>
        <v>244512</v>
      </c>
      <c r="U44" s="495">
        <f t="shared" si="3"/>
        <v>244492</v>
      </c>
      <c r="V44" s="495">
        <f t="shared" si="4"/>
        <v>244512</v>
      </c>
    </row>
    <row r="45" spans="1:22">
      <c r="A45" s="818" t="s">
        <v>1384</v>
      </c>
      <c r="B45" s="819" t="s">
        <v>1613</v>
      </c>
      <c r="C45" s="816" t="s">
        <v>349</v>
      </c>
      <c r="D45" s="817" t="s">
        <v>39</v>
      </c>
      <c r="E45" s="812" t="s">
        <v>1577</v>
      </c>
      <c r="F45" s="8">
        <v>2</v>
      </c>
      <c r="G45" s="8">
        <v>2</v>
      </c>
      <c r="H45" s="825">
        <v>244513</v>
      </c>
      <c r="I45" s="825">
        <v>244513</v>
      </c>
      <c r="J45" s="825">
        <v>244493</v>
      </c>
      <c r="K45" s="825">
        <v>244493</v>
      </c>
      <c r="L45" s="830" t="s">
        <v>368</v>
      </c>
      <c r="M45" s="812"/>
      <c r="N45" s="8">
        <v>2</v>
      </c>
      <c r="O45" s="8">
        <v>2</v>
      </c>
      <c r="P45" s="8">
        <v>2</v>
      </c>
      <c r="Q45" s="7">
        <f t="shared" si="1"/>
        <v>1</v>
      </c>
      <c r="R45" s="8"/>
      <c r="S45" s="195" t="str">
        <f t="shared" si="0"/>
        <v>Switch</v>
      </c>
      <c r="T45" s="495">
        <f t="shared" si="2"/>
        <v>244513</v>
      </c>
      <c r="U45" s="495">
        <f t="shared" si="3"/>
        <v>244493</v>
      </c>
      <c r="V45" s="495">
        <f t="shared" si="4"/>
        <v>244513</v>
      </c>
    </row>
    <row r="46" spans="1:22">
      <c r="A46" s="818" t="s">
        <v>1384</v>
      </c>
      <c r="B46" s="819" t="s">
        <v>1637</v>
      </c>
      <c r="C46" s="816" t="s">
        <v>1638</v>
      </c>
      <c r="D46" s="817" t="s">
        <v>39</v>
      </c>
      <c r="E46" s="812" t="s">
        <v>1577</v>
      </c>
      <c r="F46" s="8">
        <v>1</v>
      </c>
      <c r="G46" s="8">
        <v>1</v>
      </c>
      <c r="H46" s="825">
        <v>244513</v>
      </c>
      <c r="I46" s="825">
        <v>244513</v>
      </c>
      <c r="J46" s="825">
        <v>244493</v>
      </c>
      <c r="K46" s="825">
        <v>244493</v>
      </c>
      <c r="L46" s="830" t="s">
        <v>368</v>
      </c>
      <c r="M46" s="812"/>
      <c r="N46" s="8">
        <v>1</v>
      </c>
      <c r="O46" s="8">
        <v>1</v>
      </c>
      <c r="P46" s="8">
        <v>1</v>
      </c>
      <c r="Q46" s="7">
        <f t="shared" si="1"/>
        <v>1</v>
      </c>
      <c r="R46" s="8"/>
      <c r="S46" s="195" t="str">
        <f t="shared" si="0"/>
        <v>Switch</v>
      </c>
      <c r="T46" s="495">
        <f t="shared" si="2"/>
        <v>244513</v>
      </c>
      <c r="U46" s="495">
        <f t="shared" si="3"/>
        <v>244493</v>
      </c>
      <c r="V46" s="495">
        <f t="shared" si="4"/>
        <v>244513</v>
      </c>
    </row>
    <row r="47" spans="1:22">
      <c r="A47" s="818" t="s">
        <v>1384</v>
      </c>
      <c r="B47" s="819" t="s">
        <v>1637</v>
      </c>
      <c r="C47" s="816"/>
      <c r="D47" s="817" t="s">
        <v>43</v>
      </c>
      <c r="E47" s="812" t="s">
        <v>1584</v>
      </c>
      <c r="F47" s="8">
        <v>1</v>
      </c>
      <c r="G47" s="8">
        <v>1</v>
      </c>
      <c r="H47" s="825">
        <v>244513</v>
      </c>
      <c r="I47" s="825">
        <v>244513</v>
      </c>
      <c r="J47" s="825">
        <v>244493</v>
      </c>
      <c r="K47" s="825">
        <v>244493</v>
      </c>
      <c r="L47" s="830" t="s">
        <v>368</v>
      </c>
      <c r="M47" s="812"/>
      <c r="N47" s="8">
        <v>1</v>
      </c>
      <c r="O47" s="8">
        <v>1</v>
      </c>
      <c r="P47" s="8">
        <v>1</v>
      </c>
      <c r="Q47" s="7">
        <f t="shared" si="1"/>
        <v>1</v>
      </c>
      <c r="R47" s="8"/>
      <c r="S47" s="195" t="str">
        <f t="shared" si="0"/>
        <v>Switch</v>
      </c>
      <c r="T47" s="495">
        <f t="shared" si="2"/>
        <v>244513</v>
      </c>
      <c r="U47" s="495">
        <f t="shared" si="3"/>
        <v>244493</v>
      </c>
      <c r="V47" s="495">
        <f t="shared" si="4"/>
        <v>244513</v>
      </c>
    </row>
    <row r="48" spans="1:22">
      <c r="A48" s="814" t="s">
        <v>1639</v>
      </c>
      <c r="B48" s="815" t="s">
        <v>1640</v>
      </c>
      <c r="C48" s="816" t="s">
        <v>1641</v>
      </c>
      <c r="D48" s="817" t="s">
        <v>43</v>
      </c>
      <c r="E48" s="812" t="s">
        <v>1584</v>
      </c>
      <c r="F48" s="8">
        <v>1</v>
      </c>
      <c r="G48" s="8">
        <v>1</v>
      </c>
      <c r="H48" s="825">
        <v>244517</v>
      </c>
      <c r="I48" s="825">
        <v>244517</v>
      </c>
      <c r="J48" s="825">
        <v>244497</v>
      </c>
      <c r="K48" s="825">
        <v>244497</v>
      </c>
      <c r="L48" s="830" t="s">
        <v>368</v>
      </c>
      <c r="M48" s="812"/>
      <c r="N48" s="8">
        <v>1</v>
      </c>
      <c r="O48" s="8">
        <v>1</v>
      </c>
      <c r="P48" s="8">
        <v>1</v>
      </c>
      <c r="Q48" s="7">
        <f t="shared" si="1"/>
        <v>1</v>
      </c>
      <c r="R48" s="8"/>
      <c r="S48" s="195" t="str">
        <f t="shared" si="0"/>
        <v>Switch</v>
      </c>
      <c r="T48" s="495">
        <f t="shared" si="2"/>
        <v>244517</v>
      </c>
      <c r="U48" s="495">
        <f t="shared" si="3"/>
        <v>244497</v>
      </c>
      <c r="V48" s="495">
        <f t="shared" si="4"/>
        <v>244517</v>
      </c>
    </row>
    <row r="49" spans="1:22" ht="18">
      <c r="A49" s="820"/>
      <c r="B49" s="820"/>
      <c r="C49" s="8"/>
      <c r="D49" s="821" t="s">
        <v>1642</v>
      </c>
      <c r="E49" s="822" t="s">
        <v>1643</v>
      </c>
      <c r="F49" s="821"/>
      <c r="G49" s="821"/>
      <c r="H49" s="822"/>
      <c r="I49" s="822"/>
      <c r="J49" s="822"/>
      <c r="K49" s="822"/>
      <c r="L49" s="822"/>
      <c r="M49" s="822"/>
      <c r="N49" s="823">
        <f>SUM(N2:N48)/SUM(G2:G48)</f>
        <v>1</v>
      </c>
      <c r="O49" s="823">
        <f>SUM(O2:O48)/SUM(G2:G48)</f>
        <v>1</v>
      </c>
      <c r="P49" s="823">
        <f>SUM(P2:P48)/SUM(G2:G48)</f>
        <v>1</v>
      </c>
      <c r="Q49" s="824">
        <f>ROUNDUP(AVERAGE(Q2:Q48),2)</f>
        <v>1</v>
      </c>
      <c r="R49" s="8"/>
      <c r="S49" s="195"/>
      <c r="T49" s="495"/>
      <c r="U49" s="495"/>
      <c r="V49" s="495"/>
    </row>
  </sheetData>
  <autoFilter ref="A1:V49" xr:uid="{D90B8A68-C6A7-4C02-9B40-3ED04D9BF465}"/>
  <phoneticPr fontId="72" type="noConversion"/>
  <conditionalFormatting sqref="L2:L48">
    <cfRule type="containsText" dxfId="17" priority="1" operator="containsText" text="Pending">
      <formula>NOT(ISERROR(SEARCH("Pending",L2)))</formula>
    </cfRule>
    <cfRule type="containsText" dxfId="16" priority="2" operator="containsText" text="On Plan">
      <formula>NOT(ISERROR(SEARCH("On Plan",L2)))</formula>
    </cfRule>
    <cfRule type="containsText" dxfId="15" priority="3" operator="containsText" text="Success">
      <formula>NOT(ISERROR(SEARCH("Success",L2)))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C30:C40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BA31-CD39-4F1B-A545-1ED61B801CE4}">
  <dimension ref="A1:L45"/>
  <sheetViews>
    <sheetView zoomScale="80" zoomScaleNormal="80" workbookViewId="0">
      <pane ySplit="1" topLeftCell="A2" activePane="bottomLeft" state="frozen"/>
      <selection pane="bottomLeft" activeCell="H21" sqref="H21:J22"/>
    </sheetView>
  </sheetViews>
  <sheetFormatPr defaultColWidth="71.44140625" defaultRowHeight="21"/>
  <cols>
    <col min="1" max="1" width="33.88671875" style="66" customWidth="1"/>
    <col min="2" max="2" width="9" style="65" bestFit="1" customWidth="1"/>
    <col min="3" max="3" width="77.6640625" style="63" bestFit="1" customWidth="1"/>
    <col min="4" max="4" width="12.33203125" style="64" bestFit="1" customWidth="1"/>
    <col min="5" max="7" width="12.33203125" style="64" customWidth="1"/>
    <col min="8" max="8" width="14.109375" style="64" bestFit="1" customWidth="1"/>
    <col min="9" max="9" width="11.6640625" style="64" bestFit="1" customWidth="1"/>
    <col min="10" max="10" width="9.88671875" style="64" bestFit="1" customWidth="1"/>
    <col min="11" max="11" width="6.109375" style="64" bestFit="1" customWidth="1"/>
    <col min="12" max="12" width="22.33203125" style="64" customWidth="1"/>
    <col min="13" max="16384" width="71.44140625" style="62"/>
  </cols>
  <sheetData>
    <row r="1" spans="1:12">
      <c r="A1" s="384" t="s">
        <v>15</v>
      </c>
      <c r="B1" s="884" t="s">
        <v>17</v>
      </c>
      <c r="C1" s="912" t="s">
        <v>16</v>
      </c>
      <c r="D1" s="895" t="s">
        <v>152</v>
      </c>
      <c r="E1" s="895" t="s">
        <v>153</v>
      </c>
      <c r="F1" s="895" t="s">
        <v>154</v>
      </c>
      <c r="G1" s="895" t="s">
        <v>155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903" t="s">
        <v>1574</v>
      </c>
      <c r="B2" s="880">
        <v>1</v>
      </c>
      <c r="C2" s="67" t="s">
        <v>1644</v>
      </c>
      <c r="D2" s="880">
        <v>1</v>
      </c>
      <c r="E2" s="880">
        <v>1</v>
      </c>
      <c r="F2" s="880">
        <v>0</v>
      </c>
      <c r="G2" s="880"/>
      <c r="H2" s="880">
        <v>1</v>
      </c>
      <c r="I2" s="880">
        <v>1</v>
      </c>
      <c r="J2" s="880">
        <v>1</v>
      </c>
      <c r="K2" s="7">
        <f t="shared" ref="K2:K43" si="0">ROUNDUP(((H2+I2+J2)/3)/D2*100%,2)</f>
        <v>1</v>
      </c>
      <c r="L2" s="378"/>
    </row>
    <row r="3" spans="1:12">
      <c r="A3" s="903" t="s">
        <v>1574</v>
      </c>
      <c r="B3" s="880">
        <v>1</v>
      </c>
      <c r="C3" s="67" t="s">
        <v>1645</v>
      </c>
      <c r="D3" s="880">
        <v>1</v>
      </c>
      <c r="E3" s="880">
        <v>1</v>
      </c>
      <c r="F3" s="880">
        <v>0</v>
      </c>
      <c r="G3" s="880"/>
      <c r="H3" s="880">
        <v>1</v>
      </c>
      <c r="I3" s="880">
        <v>1</v>
      </c>
      <c r="J3" s="880">
        <v>1</v>
      </c>
      <c r="K3" s="7">
        <f t="shared" si="0"/>
        <v>1</v>
      </c>
      <c r="L3" s="378"/>
    </row>
    <row r="4" spans="1:12">
      <c r="A4" s="903" t="s">
        <v>1574</v>
      </c>
      <c r="B4" s="880">
        <v>1</v>
      </c>
      <c r="C4" s="67" t="s">
        <v>1646</v>
      </c>
      <c r="D4" s="880">
        <v>1</v>
      </c>
      <c r="E4" s="880">
        <v>1</v>
      </c>
      <c r="F4" s="880">
        <v>0</v>
      </c>
      <c r="G4" s="880"/>
      <c r="H4" s="880">
        <v>1</v>
      </c>
      <c r="I4" s="880">
        <v>1</v>
      </c>
      <c r="J4" s="880">
        <v>1</v>
      </c>
      <c r="K4" s="7">
        <f t="shared" si="0"/>
        <v>1</v>
      </c>
      <c r="L4" s="378"/>
    </row>
    <row r="5" spans="1:12">
      <c r="A5" s="903" t="s">
        <v>1574</v>
      </c>
      <c r="B5" s="880">
        <v>1</v>
      </c>
      <c r="C5" s="67" t="s">
        <v>1647</v>
      </c>
      <c r="D5" s="880">
        <v>1</v>
      </c>
      <c r="E5" s="880">
        <v>1</v>
      </c>
      <c r="F5" s="880">
        <v>0</v>
      </c>
      <c r="G5" s="880"/>
      <c r="H5" s="880">
        <v>1</v>
      </c>
      <c r="I5" s="880">
        <v>1</v>
      </c>
      <c r="J5" s="880">
        <v>1</v>
      </c>
      <c r="K5" s="7">
        <f t="shared" si="0"/>
        <v>1</v>
      </c>
      <c r="L5" s="378"/>
    </row>
    <row r="6" spans="1:12">
      <c r="A6" s="903" t="s">
        <v>1574</v>
      </c>
      <c r="B6" s="880">
        <v>1</v>
      </c>
      <c r="C6" s="67" t="s">
        <v>1648</v>
      </c>
      <c r="D6" s="880">
        <v>1</v>
      </c>
      <c r="E6" s="880">
        <v>1</v>
      </c>
      <c r="F6" s="880">
        <v>0</v>
      </c>
      <c r="G6" s="880"/>
      <c r="H6" s="880">
        <v>1</v>
      </c>
      <c r="I6" s="880">
        <v>1</v>
      </c>
      <c r="J6" s="880">
        <v>1</v>
      </c>
      <c r="K6" s="7">
        <f t="shared" si="0"/>
        <v>1</v>
      </c>
      <c r="L6" s="378"/>
    </row>
    <row r="7" spans="1:12">
      <c r="A7" s="903" t="s">
        <v>1649</v>
      </c>
      <c r="B7" s="880">
        <v>1</v>
      </c>
      <c r="C7" s="67" t="s">
        <v>1650</v>
      </c>
      <c r="D7" s="880">
        <v>1</v>
      </c>
      <c r="E7" s="880">
        <v>1</v>
      </c>
      <c r="F7" s="880">
        <v>0</v>
      </c>
      <c r="G7" s="880"/>
      <c r="H7" s="880">
        <v>1</v>
      </c>
      <c r="I7" s="880">
        <v>1</v>
      </c>
      <c r="J7" s="880">
        <v>1</v>
      </c>
      <c r="K7" s="7">
        <f t="shared" si="0"/>
        <v>1</v>
      </c>
      <c r="L7" s="378"/>
    </row>
    <row r="8" spans="1:12">
      <c r="A8" s="903" t="s">
        <v>1651</v>
      </c>
      <c r="B8" s="880">
        <v>1</v>
      </c>
      <c r="C8" s="67" t="s">
        <v>1652</v>
      </c>
      <c r="D8" s="880">
        <v>1</v>
      </c>
      <c r="E8" s="880">
        <v>1</v>
      </c>
      <c r="F8" s="880">
        <v>0</v>
      </c>
      <c r="G8" s="880"/>
      <c r="H8" s="8">
        <v>1</v>
      </c>
      <c r="I8" s="8">
        <v>1</v>
      </c>
      <c r="J8" s="8">
        <v>1</v>
      </c>
      <c r="K8" s="7">
        <f t="shared" si="0"/>
        <v>1</v>
      </c>
      <c r="L8" s="378"/>
    </row>
    <row r="9" spans="1:12">
      <c r="A9" s="903" t="s">
        <v>1651</v>
      </c>
      <c r="B9" s="880">
        <v>1</v>
      </c>
      <c r="C9" s="67" t="s">
        <v>1653</v>
      </c>
      <c r="D9" s="880">
        <v>1</v>
      </c>
      <c r="E9" s="880">
        <v>1</v>
      </c>
      <c r="F9" s="880">
        <v>0</v>
      </c>
      <c r="G9" s="880"/>
      <c r="H9" s="8">
        <v>1</v>
      </c>
      <c r="I9" s="8">
        <v>1</v>
      </c>
      <c r="J9" s="8">
        <v>1</v>
      </c>
      <c r="K9" s="7">
        <f t="shared" si="0"/>
        <v>1</v>
      </c>
      <c r="L9" s="378"/>
    </row>
    <row r="10" spans="1:12">
      <c r="A10" s="903" t="s">
        <v>1580</v>
      </c>
      <c r="B10" s="880">
        <v>1</v>
      </c>
      <c r="C10" s="67" t="s">
        <v>1654</v>
      </c>
      <c r="D10" s="880">
        <v>1</v>
      </c>
      <c r="E10" s="880">
        <v>1</v>
      </c>
      <c r="F10" s="880">
        <v>0</v>
      </c>
      <c r="G10" s="880"/>
      <c r="H10" s="880">
        <v>1</v>
      </c>
      <c r="I10" s="880">
        <v>1</v>
      </c>
      <c r="J10" s="880">
        <v>1</v>
      </c>
      <c r="K10" s="7">
        <f t="shared" si="0"/>
        <v>1</v>
      </c>
      <c r="L10" s="378"/>
    </row>
    <row r="11" spans="1:12">
      <c r="A11" s="903" t="s">
        <v>1580</v>
      </c>
      <c r="B11" s="880">
        <v>1</v>
      </c>
      <c r="C11" s="75" t="s">
        <v>1655</v>
      </c>
      <c r="D11" s="880">
        <v>1</v>
      </c>
      <c r="E11" s="880">
        <v>1</v>
      </c>
      <c r="F11" s="880">
        <v>0</v>
      </c>
      <c r="G11" s="880"/>
      <c r="H11" s="880">
        <v>1</v>
      </c>
      <c r="I11" s="880">
        <v>1</v>
      </c>
      <c r="J11" s="880">
        <v>1</v>
      </c>
      <c r="K11" s="7">
        <f t="shared" si="0"/>
        <v>1</v>
      </c>
      <c r="L11" s="378"/>
    </row>
    <row r="12" spans="1:12">
      <c r="A12" s="903" t="s">
        <v>1580</v>
      </c>
      <c r="B12" s="880">
        <v>1</v>
      </c>
      <c r="C12" s="75" t="s">
        <v>1656</v>
      </c>
      <c r="D12" s="880">
        <v>1</v>
      </c>
      <c r="E12" s="880">
        <v>1</v>
      </c>
      <c r="F12" s="880">
        <v>0</v>
      </c>
      <c r="G12" s="880"/>
      <c r="H12" s="880">
        <v>1</v>
      </c>
      <c r="I12" s="880">
        <v>1</v>
      </c>
      <c r="J12" s="880">
        <v>1</v>
      </c>
      <c r="K12" s="7">
        <f t="shared" si="0"/>
        <v>1</v>
      </c>
      <c r="L12" s="378"/>
    </row>
    <row r="13" spans="1:12">
      <c r="A13" s="903" t="s">
        <v>1580</v>
      </c>
      <c r="B13" s="880">
        <v>1</v>
      </c>
      <c r="C13" s="75" t="s">
        <v>1657</v>
      </c>
      <c r="D13" s="880">
        <v>1</v>
      </c>
      <c r="E13" s="880">
        <v>1</v>
      </c>
      <c r="F13" s="880">
        <v>0</v>
      </c>
      <c r="G13" s="880"/>
      <c r="H13" s="880">
        <v>1</v>
      </c>
      <c r="I13" s="880">
        <v>1</v>
      </c>
      <c r="J13" s="880">
        <v>1</v>
      </c>
      <c r="K13" s="7">
        <f t="shared" si="0"/>
        <v>1</v>
      </c>
      <c r="L13" s="378"/>
    </row>
    <row r="14" spans="1:12">
      <c r="A14" s="903" t="s">
        <v>1446</v>
      </c>
      <c r="B14" s="880">
        <v>1</v>
      </c>
      <c r="C14" s="75" t="s">
        <v>1658</v>
      </c>
      <c r="D14" s="880">
        <v>1</v>
      </c>
      <c r="E14" s="880">
        <v>1</v>
      </c>
      <c r="F14" s="880">
        <v>0</v>
      </c>
      <c r="G14" s="880"/>
      <c r="H14" s="8">
        <v>1</v>
      </c>
      <c r="I14" s="8">
        <v>1</v>
      </c>
      <c r="J14" s="8">
        <v>1</v>
      </c>
      <c r="K14" s="7">
        <f t="shared" si="0"/>
        <v>1</v>
      </c>
      <c r="L14" s="378"/>
    </row>
    <row r="15" spans="1:12">
      <c r="A15" s="903" t="s">
        <v>1446</v>
      </c>
      <c r="B15" s="880">
        <v>1</v>
      </c>
      <c r="C15" s="75" t="s">
        <v>1659</v>
      </c>
      <c r="D15" s="880">
        <v>1</v>
      </c>
      <c r="E15" s="880">
        <v>1</v>
      </c>
      <c r="F15" s="880">
        <v>0</v>
      </c>
      <c r="G15" s="880"/>
      <c r="H15" s="8">
        <v>1</v>
      </c>
      <c r="I15" s="8">
        <v>1</v>
      </c>
      <c r="J15" s="8">
        <v>1</v>
      </c>
      <c r="K15" s="7">
        <f t="shared" si="0"/>
        <v>1</v>
      </c>
      <c r="L15" s="378"/>
    </row>
    <row r="16" spans="1:12">
      <c r="A16" s="903" t="s">
        <v>1446</v>
      </c>
      <c r="B16" s="880">
        <v>1</v>
      </c>
      <c r="C16" s="75" t="s">
        <v>1660</v>
      </c>
      <c r="D16" s="880">
        <v>1</v>
      </c>
      <c r="E16" s="880">
        <v>1</v>
      </c>
      <c r="F16" s="880">
        <v>0</v>
      </c>
      <c r="G16" s="880"/>
      <c r="H16" s="8">
        <v>1</v>
      </c>
      <c r="I16" s="8">
        <v>1</v>
      </c>
      <c r="J16" s="8">
        <v>1</v>
      </c>
      <c r="K16" s="7">
        <f t="shared" si="0"/>
        <v>1</v>
      </c>
      <c r="L16" s="378"/>
    </row>
    <row r="17" spans="1:12">
      <c r="A17" s="903" t="s">
        <v>1446</v>
      </c>
      <c r="B17" s="880">
        <v>2</v>
      </c>
      <c r="C17" s="75" t="s">
        <v>1661</v>
      </c>
      <c r="D17" s="880">
        <v>1</v>
      </c>
      <c r="E17" s="880">
        <v>1</v>
      </c>
      <c r="F17" s="880">
        <v>0</v>
      </c>
      <c r="G17" s="880"/>
      <c r="H17" s="880">
        <v>1</v>
      </c>
      <c r="I17" s="880">
        <v>1</v>
      </c>
      <c r="J17" s="880">
        <v>1</v>
      </c>
      <c r="K17" s="7">
        <f t="shared" si="0"/>
        <v>1</v>
      </c>
      <c r="L17" s="378"/>
    </row>
    <row r="18" spans="1:12">
      <c r="A18" s="903" t="s">
        <v>1446</v>
      </c>
      <c r="B18" s="880">
        <v>2</v>
      </c>
      <c r="C18" s="67" t="s">
        <v>1606</v>
      </c>
      <c r="D18" s="880">
        <v>1</v>
      </c>
      <c r="E18" s="880">
        <v>1</v>
      </c>
      <c r="F18" s="880">
        <v>0</v>
      </c>
      <c r="G18" s="880"/>
      <c r="H18" s="8">
        <v>1</v>
      </c>
      <c r="I18" s="8">
        <v>1</v>
      </c>
      <c r="J18" s="8">
        <v>1</v>
      </c>
      <c r="K18" s="7">
        <f t="shared" si="0"/>
        <v>1</v>
      </c>
      <c r="L18" s="378"/>
    </row>
    <row r="19" spans="1:12">
      <c r="A19" s="903" t="s">
        <v>1446</v>
      </c>
      <c r="B19" s="880">
        <v>2</v>
      </c>
      <c r="C19" s="75" t="s">
        <v>1662</v>
      </c>
      <c r="D19" s="880">
        <v>1</v>
      </c>
      <c r="E19" s="880">
        <v>1</v>
      </c>
      <c r="F19" s="880">
        <v>0</v>
      </c>
      <c r="G19" s="880"/>
      <c r="H19" s="880">
        <v>1</v>
      </c>
      <c r="I19" s="880">
        <v>1</v>
      </c>
      <c r="J19" s="880">
        <v>1</v>
      </c>
      <c r="K19" s="7">
        <f t="shared" si="0"/>
        <v>1</v>
      </c>
      <c r="L19" s="378"/>
    </row>
    <row r="20" spans="1:12">
      <c r="A20" s="903" t="s">
        <v>1446</v>
      </c>
      <c r="B20" s="880">
        <v>2</v>
      </c>
      <c r="C20" s="75" t="s">
        <v>1663</v>
      </c>
      <c r="D20" s="880">
        <v>1</v>
      </c>
      <c r="E20" s="880">
        <v>1</v>
      </c>
      <c r="F20" s="880">
        <v>0</v>
      </c>
      <c r="G20" s="880"/>
      <c r="H20" s="880">
        <v>1</v>
      </c>
      <c r="I20" s="880">
        <v>1</v>
      </c>
      <c r="J20" s="880">
        <v>1</v>
      </c>
      <c r="K20" s="7">
        <f t="shared" si="0"/>
        <v>1</v>
      </c>
      <c r="L20" s="378"/>
    </row>
    <row r="21" spans="1:12">
      <c r="A21" s="903" t="s">
        <v>1446</v>
      </c>
      <c r="B21" s="880">
        <v>3</v>
      </c>
      <c r="C21" s="67" t="s">
        <v>1664</v>
      </c>
      <c r="D21" s="880">
        <v>1</v>
      </c>
      <c r="E21" s="880">
        <v>1</v>
      </c>
      <c r="F21" s="880">
        <v>0</v>
      </c>
      <c r="G21" s="880"/>
      <c r="H21" s="8">
        <v>1</v>
      </c>
      <c r="I21" s="8">
        <v>1</v>
      </c>
      <c r="J21" s="8">
        <v>1</v>
      </c>
      <c r="K21" s="7">
        <f t="shared" si="0"/>
        <v>1</v>
      </c>
      <c r="L21" s="378"/>
    </row>
    <row r="22" spans="1:12">
      <c r="A22" s="903" t="s">
        <v>1446</v>
      </c>
      <c r="B22" s="880">
        <v>3</v>
      </c>
      <c r="C22" s="67" t="s">
        <v>1665</v>
      </c>
      <c r="D22" s="880">
        <v>1</v>
      </c>
      <c r="E22" s="880">
        <v>1</v>
      </c>
      <c r="F22" s="880">
        <v>0</v>
      </c>
      <c r="G22" s="880"/>
      <c r="H22" s="8">
        <v>1</v>
      </c>
      <c r="I22" s="8">
        <v>1</v>
      </c>
      <c r="J22" s="8">
        <v>1</v>
      </c>
      <c r="K22" s="7">
        <f t="shared" si="0"/>
        <v>1</v>
      </c>
      <c r="L22" s="378"/>
    </row>
    <row r="23" spans="1:12">
      <c r="A23" s="903" t="s">
        <v>1384</v>
      </c>
      <c r="B23" s="880">
        <v>1</v>
      </c>
      <c r="C23" s="67" t="s">
        <v>1666</v>
      </c>
      <c r="D23" s="880">
        <v>1</v>
      </c>
      <c r="E23" s="880">
        <v>1</v>
      </c>
      <c r="F23" s="880">
        <v>0</v>
      </c>
      <c r="G23" s="880"/>
      <c r="H23" s="8">
        <v>1</v>
      </c>
      <c r="I23" s="8">
        <v>1</v>
      </c>
      <c r="J23" s="8">
        <v>1</v>
      </c>
      <c r="K23" s="7">
        <f t="shared" si="0"/>
        <v>1</v>
      </c>
      <c r="L23" s="378"/>
    </row>
    <row r="24" spans="1:12">
      <c r="A24" s="903" t="s">
        <v>1667</v>
      </c>
      <c r="B24" s="880">
        <v>1</v>
      </c>
      <c r="C24" s="67" t="s">
        <v>1668</v>
      </c>
      <c r="D24" s="880">
        <v>1</v>
      </c>
      <c r="E24" s="880">
        <v>1</v>
      </c>
      <c r="F24" s="880">
        <v>0</v>
      </c>
      <c r="G24" s="880"/>
      <c r="H24" s="8">
        <v>1</v>
      </c>
      <c r="I24" s="8">
        <v>1</v>
      </c>
      <c r="J24" s="8">
        <v>1</v>
      </c>
      <c r="K24" s="7">
        <f t="shared" si="0"/>
        <v>1</v>
      </c>
      <c r="L24" s="378"/>
    </row>
    <row r="25" spans="1:12">
      <c r="A25" s="903" t="s">
        <v>1667</v>
      </c>
      <c r="B25" s="880">
        <v>1</v>
      </c>
      <c r="C25" s="67" t="s">
        <v>1669</v>
      </c>
      <c r="D25" s="880">
        <v>1</v>
      </c>
      <c r="E25" s="880">
        <v>1</v>
      </c>
      <c r="F25" s="880">
        <v>0</v>
      </c>
      <c r="G25" s="880"/>
      <c r="H25" s="8">
        <v>1</v>
      </c>
      <c r="I25" s="8">
        <v>1</v>
      </c>
      <c r="J25" s="8">
        <v>1</v>
      </c>
      <c r="K25" s="7">
        <f t="shared" si="0"/>
        <v>1</v>
      </c>
      <c r="L25" s="378"/>
    </row>
    <row r="26" spans="1:12">
      <c r="A26" s="903" t="s">
        <v>1667</v>
      </c>
      <c r="B26" s="880">
        <v>1</v>
      </c>
      <c r="C26" s="67" t="s">
        <v>1670</v>
      </c>
      <c r="D26" s="880">
        <v>2</v>
      </c>
      <c r="E26" s="880">
        <v>2</v>
      </c>
      <c r="F26" s="880">
        <v>0</v>
      </c>
      <c r="G26" s="880"/>
      <c r="H26" s="8">
        <v>2</v>
      </c>
      <c r="I26" s="8">
        <v>2</v>
      </c>
      <c r="J26" s="8">
        <v>2</v>
      </c>
      <c r="K26" s="7">
        <f t="shared" si="0"/>
        <v>1</v>
      </c>
      <c r="L26" s="378"/>
    </row>
    <row r="27" spans="1:12">
      <c r="A27" s="903" t="s">
        <v>1667</v>
      </c>
      <c r="B27" s="880">
        <v>1</v>
      </c>
      <c r="C27" s="67" t="s">
        <v>1671</v>
      </c>
      <c r="D27" s="880">
        <v>3</v>
      </c>
      <c r="E27" s="880">
        <v>3</v>
      </c>
      <c r="F27" s="880">
        <v>0</v>
      </c>
      <c r="G27" s="880"/>
      <c r="H27" s="8">
        <v>3</v>
      </c>
      <c r="I27" s="8">
        <v>3</v>
      </c>
      <c r="J27" s="8">
        <v>3</v>
      </c>
      <c r="K27" s="7">
        <f t="shared" si="0"/>
        <v>1</v>
      </c>
      <c r="L27" s="378"/>
    </row>
    <row r="28" spans="1:12">
      <c r="A28" s="903" t="s">
        <v>1667</v>
      </c>
      <c r="B28" s="880">
        <v>1</v>
      </c>
      <c r="C28" s="67" t="s">
        <v>1672</v>
      </c>
      <c r="D28" s="880">
        <v>1</v>
      </c>
      <c r="E28" s="880">
        <v>1</v>
      </c>
      <c r="F28" s="880">
        <v>0</v>
      </c>
      <c r="G28" s="880"/>
      <c r="H28" s="8">
        <v>1</v>
      </c>
      <c r="I28" s="8">
        <v>1</v>
      </c>
      <c r="J28" s="8">
        <v>1</v>
      </c>
      <c r="K28" s="7">
        <f t="shared" si="0"/>
        <v>1</v>
      </c>
      <c r="L28" s="378"/>
    </row>
    <row r="29" spans="1:12">
      <c r="A29" s="903" t="s">
        <v>1667</v>
      </c>
      <c r="B29" s="880">
        <v>1</v>
      </c>
      <c r="C29" s="67" t="s">
        <v>1673</v>
      </c>
      <c r="D29" s="880">
        <v>1</v>
      </c>
      <c r="E29" s="880">
        <v>1</v>
      </c>
      <c r="F29" s="880">
        <v>0</v>
      </c>
      <c r="G29" s="880"/>
      <c r="H29" s="8">
        <v>1</v>
      </c>
      <c r="I29" s="8">
        <v>1</v>
      </c>
      <c r="J29" s="8">
        <v>1</v>
      </c>
      <c r="K29" s="7">
        <f t="shared" si="0"/>
        <v>1</v>
      </c>
      <c r="L29" s="378"/>
    </row>
    <row r="30" spans="1:12">
      <c r="A30" s="903" t="s">
        <v>1667</v>
      </c>
      <c r="B30" s="880">
        <v>2</v>
      </c>
      <c r="C30" s="67" t="s">
        <v>1674</v>
      </c>
      <c r="D30" s="880">
        <v>2</v>
      </c>
      <c r="E30" s="880">
        <v>2</v>
      </c>
      <c r="F30" s="880">
        <v>0</v>
      </c>
      <c r="G30" s="880"/>
      <c r="H30" s="8">
        <v>2</v>
      </c>
      <c r="I30" s="8">
        <v>2</v>
      </c>
      <c r="J30" s="8">
        <v>2</v>
      </c>
      <c r="K30" s="7">
        <f t="shared" si="0"/>
        <v>1</v>
      </c>
      <c r="L30" s="378"/>
    </row>
    <row r="31" spans="1:12">
      <c r="A31" s="903" t="s">
        <v>1667</v>
      </c>
      <c r="B31" s="880">
        <v>2</v>
      </c>
      <c r="C31" s="67" t="s">
        <v>1675</v>
      </c>
      <c r="D31" s="880">
        <v>1</v>
      </c>
      <c r="E31" s="880">
        <v>1</v>
      </c>
      <c r="F31" s="880">
        <v>0</v>
      </c>
      <c r="G31" s="880"/>
      <c r="H31" s="8">
        <v>1</v>
      </c>
      <c r="I31" s="8">
        <v>1</v>
      </c>
      <c r="J31" s="8">
        <v>1</v>
      </c>
      <c r="K31" s="7">
        <f t="shared" si="0"/>
        <v>1</v>
      </c>
      <c r="L31" s="378"/>
    </row>
    <row r="32" spans="1:12">
      <c r="A32" s="903" t="s">
        <v>1676</v>
      </c>
      <c r="B32" s="880">
        <v>1</v>
      </c>
      <c r="C32" s="67" t="s">
        <v>1677</v>
      </c>
      <c r="D32" s="880">
        <v>1</v>
      </c>
      <c r="E32" s="880">
        <v>1</v>
      </c>
      <c r="F32" s="880">
        <v>0</v>
      </c>
      <c r="G32" s="880"/>
      <c r="H32" s="8">
        <v>1</v>
      </c>
      <c r="I32" s="8">
        <v>1</v>
      </c>
      <c r="J32" s="8">
        <v>1</v>
      </c>
      <c r="K32" s="7">
        <f t="shared" si="0"/>
        <v>1</v>
      </c>
      <c r="L32" s="378"/>
    </row>
    <row r="33" spans="1:12">
      <c r="A33" s="903" t="s">
        <v>1429</v>
      </c>
      <c r="B33" s="880">
        <v>1</v>
      </c>
      <c r="C33" s="67" t="s">
        <v>1678</v>
      </c>
      <c r="D33" s="880">
        <v>1</v>
      </c>
      <c r="E33" s="880">
        <v>1</v>
      </c>
      <c r="F33" s="880">
        <v>0</v>
      </c>
      <c r="G33" s="880"/>
      <c r="H33" s="880">
        <v>1</v>
      </c>
      <c r="I33" s="880">
        <v>1</v>
      </c>
      <c r="J33" s="880">
        <v>1</v>
      </c>
      <c r="K33" s="7">
        <f t="shared" si="0"/>
        <v>1</v>
      </c>
      <c r="L33" s="378"/>
    </row>
    <row r="34" spans="1:12">
      <c r="A34" s="903" t="s">
        <v>1429</v>
      </c>
      <c r="B34" s="880">
        <v>1</v>
      </c>
      <c r="C34" s="67" t="s">
        <v>1679</v>
      </c>
      <c r="D34" s="880">
        <v>2</v>
      </c>
      <c r="E34" s="880">
        <v>2</v>
      </c>
      <c r="F34" s="880">
        <v>0</v>
      </c>
      <c r="G34" s="880"/>
      <c r="H34" s="880">
        <v>2</v>
      </c>
      <c r="I34" s="880">
        <v>2</v>
      </c>
      <c r="J34" s="880">
        <v>2</v>
      </c>
      <c r="K34" s="7">
        <f t="shared" si="0"/>
        <v>1</v>
      </c>
      <c r="L34" s="378"/>
    </row>
    <row r="35" spans="1:12">
      <c r="A35" s="903" t="s">
        <v>1429</v>
      </c>
      <c r="B35" s="880">
        <v>1</v>
      </c>
      <c r="C35" s="67" t="s">
        <v>245</v>
      </c>
      <c r="D35" s="880">
        <v>1</v>
      </c>
      <c r="E35" s="880">
        <v>1</v>
      </c>
      <c r="F35" s="880">
        <v>0</v>
      </c>
      <c r="G35" s="880"/>
      <c r="H35" s="880">
        <v>1</v>
      </c>
      <c r="I35" s="880">
        <v>1</v>
      </c>
      <c r="J35" s="880">
        <v>1</v>
      </c>
      <c r="K35" s="7">
        <f t="shared" si="0"/>
        <v>1</v>
      </c>
      <c r="L35" s="378"/>
    </row>
    <row r="36" spans="1:12">
      <c r="A36" s="903" t="s">
        <v>1429</v>
      </c>
      <c r="B36" s="880">
        <v>2</v>
      </c>
      <c r="C36" s="67" t="s">
        <v>1636</v>
      </c>
      <c r="D36" s="880">
        <v>3</v>
      </c>
      <c r="E36" s="880">
        <v>3</v>
      </c>
      <c r="F36" s="880">
        <v>0</v>
      </c>
      <c r="G36" s="880"/>
      <c r="H36" s="880">
        <v>3</v>
      </c>
      <c r="I36" s="880">
        <v>3</v>
      </c>
      <c r="J36" s="880">
        <v>3</v>
      </c>
      <c r="K36" s="7">
        <f t="shared" si="0"/>
        <v>1</v>
      </c>
      <c r="L36" s="378"/>
    </row>
    <row r="37" spans="1:12">
      <c r="A37" s="903" t="s">
        <v>1429</v>
      </c>
      <c r="B37" s="880">
        <v>2</v>
      </c>
      <c r="C37" s="67" t="s">
        <v>1680</v>
      </c>
      <c r="D37" s="880">
        <v>1</v>
      </c>
      <c r="E37" s="880">
        <v>1</v>
      </c>
      <c r="F37" s="880">
        <v>0</v>
      </c>
      <c r="G37" s="880"/>
      <c r="H37" s="880">
        <v>1</v>
      </c>
      <c r="I37" s="880">
        <v>1</v>
      </c>
      <c r="J37" s="880">
        <v>1</v>
      </c>
      <c r="K37" s="7">
        <f t="shared" si="0"/>
        <v>1</v>
      </c>
      <c r="L37" s="378"/>
    </row>
    <row r="38" spans="1:12">
      <c r="A38" s="903" t="s">
        <v>1429</v>
      </c>
      <c r="B38" s="880">
        <v>2</v>
      </c>
      <c r="C38" s="67" t="s">
        <v>1681</v>
      </c>
      <c r="D38" s="880">
        <v>1</v>
      </c>
      <c r="E38" s="880">
        <v>1</v>
      </c>
      <c r="F38" s="880">
        <v>0</v>
      </c>
      <c r="G38" s="880"/>
      <c r="H38" s="880">
        <v>1</v>
      </c>
      <c r="I38" s="880">
        <v>1</v>
      </c>
      <c r="J38" s="880">
        <v>1</v>
      </c>
      <c r="K38" s="7">
        <f t="shared" si="0"/>
        <v>1</v>
      </c>
      <c r="L38" s="378"/>
    </row>
    <row r="39" spans="1:12">
      <c r="A39" s="903" t="s">
        <v>1429</v>
      </c>
      <c r="B39" s="880">
        <v>2</v>
      </c>
      <c r="C39" s="67" t="s">
        <v>245</v>
      </c>
      <c r="D39" s="880">
        <v>1</v>
      </c>
      <c r="E39" s="880">
        <v>1</v>
      </c>
      <c r="F39" s="880">
        <v>0</v>
      </c>
      <c r="G39" s="880"/>
      <c r="H39" s="880">
        <v>1</v>
      </c>
      <c r="I39" s="880">
        <v>1</v>
      </c>
      <c r="J39" s="880">
        <v>1</v>
      </c>
      <c r="K39" s="7">
        <f t="shared" si="0"/>
        <v>1</v>
      </c>
      <c r="L39" s="378"/>
    </row>
    <row r="40" spans="1:12">
      <c r="A40" s="903" t="s">
        <v>1429</v>
      </c>
      <c r="B40" s="880">
        <v>3</v>
      </c>
      <c r="C40" s="67" t="s">
        <v>1682</v>
      </c>
      <c r="D40" s="880">
        <v>1</v>
      </c>
      <c r="E40" s="880">
        <v>1</v>
      </c>
      <c r="F40" s="880">
        <v>0</v>
      </c>
      <c r="G40" s="880"/>
      <c r="H40" s="880">
        <v>1</v>
      </c>
      <c r="I40" s="880">
        <v>1</v>
      </c>
      <c r="J40" s="880">
        <v>1</v>
      </c>
      <c r="K40" s="7">
        <f t="shared" si="0"/>
        <v>1</v>
      </c>
      <c r="L40" s="378"/>
    </row>
    <row r="41" spans="1:12">
      <c r="A41" s="903" t="s">
        <v>1429</v>
      </c>
      <c r="B41" s="880">
        <v>3</v>
      </c>
      <c r="C41" s="67" t="s">
        <v>1683</v>
      </c>
      <c r="D41" s="880">
        <v>1</v>
      </c>
      <c r="E41" s="880">
        <v>1</v>
      </c>
      <c r="F41" s="880">
        <v>0</v>
      </c>
      <c r="G41" s="880"/>
      <c r="H41" s="880">
        <v>1</v>
      </c>
      <c r="I41" s="880">
        <v>1</v>
      </c>
      <c r="J41" s="880">
        <v>1</v>
      </c>
      <c r="K41" s="7">
        <f t="shared" si="0"/>
        <v>1</v>
      </c>
      <c r="L41" s="378"/>
    </row>
    <row r="42" spans="1:12">
      <c r="A42" s="903" t="s">
        <v>1429</v>
      </c>
      <c r="B42" s="880">
        <v>3</v>
      </c>
      <c r="C42" s="67" t="s">
        <v>1684</v>
      </c>
      <c r="D42" s="880">
        <v>2</v>
      </c>
      <c r="E42" s="880">
        <v>2</v>
      </c>
      <c r="F42" s="880">
        <v>0</v>
      </c>
      <c r="G42" s="880"/>
      <c r="H42" s="880">
        <v>2</v>
      </c>
      <c r="I42" s="880">
        <v>2</v>
      </c>
      <c r="J42" s="880">
        <v>2</v>
      </c>
      <c r="K42" s="7">
        <f t="shared" si="0"/>
        <v>1</v>
      </c>
      <c r="L42" s="378"/>
    </row>
    <row r="43" spans="1:12">
      <c r="A43" s="903" t="s">
        <v>1429</v>
      </c>
      <c r="B43" s="880">
        <v>3</v>
      </c>
      <c r="C43" s="67" t="s">
        <v>245</v>
      </c>
      <c r="D43" s="880">
        <v>1</v>
      </c>
      <c r="E43" s="880">
        <v>1</v>
      </c>
      <c r="F43" s="880">
        <v>0</v>
      </c>
      <c r="G43" s="880"/>
      <c r="H43" s="880">
        <v>1</v>
      </c>
      <c r="I43" s="880">
        <v>1</v>
      </c>
      <c r="J43" s="880">
        <v>1</v>
      </c>
      <c r="K43" s="7">
        <f t="shared" si="0"/>
        <v>1</v>
      </c>
      <c r="L43" s="378"/>
    </row>
    <row r="44" spans="1:12">
      <c r="A44" s="381"/>
      <c r="B44" s="382"/>
      <c r="C44" s="383" t="s">
        <v>259</v>
      </c>
      <c r="D44" s="68">
        <f>SUM(D2:D43)</f>
        <v>50</v>
      </c>
      <c r="E44" s="68">
        <f t="shared" ref="E44:F44" si="1">SUM(E2:E43)</f>
        <v>50</v>
      </c>
      <c r="F44" s="68">
        <f t="shared" si="1"/>
        <v>0</v>
      </c>
      <c r="G44" s="68">
        <f>SUMIF(G2:G43,"Done",F2:F43)</f>
        <v>0</v>
      </c>
      <c r="H44" s="68">
        <f t="shared" ref="H44:J44" si="2">SUM(H2:H43)</f>
        <v>50</v>
      </c>
      <c r="I44" s="68">
        <f t="shared" si="2"/>
        <v>50</v>
      </c>
      <c r="J44" s="68">
        <f t="shared" si="2"/>
        <v>50</v>
      </c>
      <c r="K44" s="68"/>
      <c r="L44" s="6"/>
    </row>
    <row r="45" spans="1:12">
      <c r="A45" s="381"/>
      <c r="B45" s="382"/>
      <c r="C45" s="69" t="s">
        <v>260</v>
      </c>
      <c r="D45" s="70"/>
      <c r="E45" s="6"/>
      <c r="F45" s="6"/>
      <c r="G45" s="6"/>
      <c r="H45" s="71">
        <f>H44/D44</f>
        <v>1</v>
      </c>
      <c r="I45" s="71">
        <f>I44/D44</f>
        <v>1</v>
      </c>
      <c r="J45" s="71">
        <f>J44/D44</f>
        <v>1</v>
      </c>
      <c r="K45" s="72">
        <f>ROUNDUP(AVERAGE(K2:K43),2)</f>
        <v>1</v>
      </c>
      <c r="L45" s="6"/>
    </row>
  </sheetData>
  <autoFilter ref="A1:D1" xr:uid="{EE30FD31-2E01-4AF4-9806-0C27F692DB33}"/>
  <conditionalFormatting sqref="G2:G43">
    <cfRule type="cellIs" dxfId="14" priority="1" operator="equal">
      <formula>"Done"</formula>
    </cfRule>
    <cfRule type="cellIs" dxfId="13" priority="2" operator="equal">
      <formula>"In Progress"</formula>
    </cfRule>
  </conditionalFormatting>
  <dataValidations count="1">
    <dataValidation type="list" allowBlank="1" showInputMessage="1" showErrorMessage="1" sqref="G2:G43" xr:uid="{2901C082-6D7E-45F7-89E5-BA6DC6938348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57F1-97AE-41CA-88F6-25AEBB60BCB1}">
  <sheetPr>
    <pageSetUpPr fitToPage="1"/>
  </sheetPr>
  <dimension ref="A1:P45"/>
  <sheetViews>
    <sheetView zoomScale="80" zoomScaleNormal="80" zoomScaleSheetLayoutView="80" workbookViewId="0">
      <pane ySplit="1" topLeftCell="A2" activePane="bottomLeft" state="frozen"/>
      <selection pane="bottomLeft" activeCell="M19" sqref="M19"/>
    </sheetView>
  </sheetViews>
  <sheetFormatPr defaultColWidth="10.88671875" defaultRowHeight="21"/>
  <cols>
    <col min="1" max="1" width="8.6640625" style="76" customWidth="1"/>
    <col min="2" max="2" width="29.5546875" style="76" customWidth="1"/>
    <col min="3" max="3" width="6" style="76" customWidth="1"/>
    <col min="4" max="4" width="26.109375" style="76" customWidth="1"/>
    <col min="5" max="5" width="17.5546875" style="76" customWidth="1"/>
    <col min="6" max="6" width="12.33203125" style="76" customWidth="1"/>
    <col min="7" max="7" width="12.88671875" style="76" customWidth="1"/>
    <col min="8" max="8" width="11.88671875" style="76" customWidth="1"/>
    <col min="9" max="9" width="12.33203125" style="76" customWidth="1"/>
    <col min="10" max="10" width="11" style="76" customWidth="1"/>
    <col min="11" max="11" width="11.44140625" style="76" customWidth="1"/>
    <col min="12" max="13" width="14.88671875" style="76" customWidth="1"/>
    <col min="14" max="14" width="15.5546875" style="76" customWidth="1"/>
    <col min="15" max="15" width="12.33203125" style="64" customWidth="1"/>
    <col min="16" max="16384" width="10.88671875" style="76"/>
  </cols>
  <sheetData>
    <row r="1" spans="1:16" s="80" customFormat="1" ht="42">
      <c r="A1" s="77" t="s">
        <v>261</v>
      </c>
      <c r="B1" s="78" t="s">
        <v>15</v>
      </c>
      <c r="C1" s="78" t="s">
        <v>17</v>
      </c>
      <c r="D1" s="78" t="s">
        <v>262</v>
      </c>
      <c r="E1" s="78" t="s">
        <v>263</v>
      </c>
      <c r="F1" s="79" t="s">
        <v>264</v>
      </c>
      <c r="G1" s="79" t="s">
        <v>265</v>
      </c>
      <c r="H1" s="79" t="s">
        <v>266</v>
      </c>
      <c r="I1" s="79" t="s">
        <v>267</v>
      </c>
      <c r="J1" s="79" t="s">
        <v>268</v>
      </c>
      <c r="K1" s="79" t="s">
        <v>269</v>
      </c>
      <c r="L1" s="79" t="s">
        <v>270</v>
      </c>
      <c r="M1" s="79" t="s">
        <v>271</v>
      </c>
      <c r="N1" s="79" t="s">
        <v>272</v>
      </c>
      <c r="O1" s="103" t="s">
        <v>273</v>
      </c>
    </row>
    <row r="2" spans="1:16" s="86" customFormat="1">
      <c r="A2" s="81" t="s">
        <v>9</v>
      </c>
      <c r="B2" s="82" t="s">
        <v>1580</v>
      </c>
      <c r="C2" s="83">
        <v>1</v>
      </c>
      <c r="D2" s="83" t="s">
        <v>1581</v>
      </c>
      <c r="E2" s="84" t="s">
        <v>41</v>
      </c>
      <c r="F2" s="85" t="b">
        <v>1</v>
      </c>
      <c r="G2" s="85" t="b">
        <v>0</v>
      </c>
      <c r="H2" s="85" t="b">
        <v>0</v>
      </c>
      <c r="I2" s="85" t="b">
        <v>0</v>
      </c>
      <c r="J2" s="85" t="b">
        <v>1</v>
      </c>
      <c r="K2" s="85" t="b">
        <v>0</v>
      </c>
      <c r="L2" s="85" t="b">
        <v>0</v>
      </c>
      <c r="M2" s="85" t="b">
        <v>0</v>
      </c>
      <c r="N2" s="85" t="b">
        <v>0</v>
      </c>
      <c r="O2" s="880" t="s">
        <v>158</v>
      </c>
    </row>
    <row r="3" spans="1:16" s="86" customFormat="1">
      <c r="A3" s="81" t="s">
        <v>9</v>
      </c>
      <c r="B3" s="82" t="s">
        <v>1446</v>
      </c>
      <c r="C3" s="83">
        <v>1</v>
      </c>
      <c r="D3" s="83" t="s">
        <v>1623</v>
      </c>
      <c r="E3" s="84" t="s">
        <v>41</v>
      </c>
      <c r="F3" s="85" t="b">
        <v>1</v>
      </c>
      <c r="G3" s="85" t="b">
        <v>0</v>
      </c>
      <c r="H3" s="85" t="b">
        <v>0</v>
      </c>
      <c r="I3" s="85" t="b">
        <v>0</v>
      </c>
      <c r="J3" s="85" t="b">
        <v>1</v>
      </c>
      <c r="K3" s="85" t="b">
        <v>0</v>
      </c>
      <c r="L3" s="85" t="b">
        <v>0</v>
      </c>
      <c r="M3" s="85" t="b">
        <v>0</v>
      </c>
      <c r="N3" s="85" t="b">
        <v>0</v>
      </c>
      <c r="O3" s="880" t="s">
        <v>158</v>
      </c>
    </row>
    <row r="4" spans="1:16" s="86" customFormat="1">
      <c r="A4" s="81" t="s">
        <v>9</v>
      </c>
      <c r="B4" s="82" t="s">
        <v>1429</v>
      </c>
      <c r="C4" s="83">
        <v>1</v>
      </c>
      <c r="D4" s="83" t="s">
        <v>1588</v>
      </c>
      <c r="E4" s="84" t="s">
        <v>41</v>
      </c>
      <c r="F4" s="85" t="b">
        <v>1</v>
      </c>
      <c r="G4" s="85" t="b">
        <v>0</v>
      </c>
      <c r="H4" s="85" t="b">
        <v>0</v>
      </c>
      <c r="I4" s="85" t="b">
        <v>0</v>
      </c>
      <c r="J4" s="85" t="b">
        <v>1</v>
      </c>
      <c r="K4" s="85" t="b">
        <v>0</v>
      </c>
      <c r="L4" s="85" t="b">
        <v>0</v>
      </c>
      <c r="M4" s="85" t="b">
        <v>0</v>
      </c>
      <c r="N4" s="85" t="b">
        <v>0</v>
      </c>
      <c r="O4" s="880" t="s">
        <v>158</v>
      </c>
    </row>
    <row r="5" spans="1:16" s="86" customFormat="1">
      <c r="A5" s="81" t="s">
        <v>9</v>
      </c>
      <c r="B5" s="82" t="s">
        <v>1429</v>
      </c>
      <c r="C5" s="83">
        <v>1</v>
      </c>
      <c r="D5" s="83" t="s">
        <v>1588</v>
      </c>
      <c r="E5" s="84" t="s">
        <v>41</v>
      </c>
      <c r="F5" s="85" t="b">
        <v>1</v>
      </c>
      <c r="G5" s="85" t="b">
        <v>0</v>
      </c>
      <c r="H5" s="85" t="b">
        <v>0</v>
      </c>
      <c r="I5" s="85" t="b">
        <v>0</v>
      </c>
      <c r="J5" s="85" t="b">
        <v>1</v>
      </c>
      <c r="K5" s="85" t="b">
        <v>0</v>
      </c>
      <c r="L5" s="85" t="b">
        <v>0</v>
      </c>
      <c r="M5" s="85" t="b">
        <v>0</v>
      </c>
      <c r="N5" s="85" t="b">
        <v>0</v>
      </c>
      <c r="O5" s="880" t="s">
        <v>158</v>
      </c>
    </row>
    <row r="6" spans="1:16" s="86" customFormat="1">
      <c r="A6" s="81" t="s">
        <v>9</v>
      </c>
      <c r="B6" s="82" t="s">
        <v>1446</v>
      </c>
      <c r="C6" s="83">
        <v>1</v>
      </c>
      <c r="D6" s="83" t="s">
        <v>1685</v>
      </c>
      <c r="E6" s="84" t="s">
        <v>41</v>
      </c>
      <c r="F6" s="85" t="b">
        <v>1</v>
      </c>
      <c r="G6" s="85" t="b">
        <v>0</v>
      </c>
      <c r="H6" s="85" t="b">
        <v>0</v>
      </c>
      <c r="I6" s="85" t="b">
        <v>0</v>
      </c>
      <c r="J6" s="85" t="b">
        <v>1</v>
      </c>
      <c r="K6" s="85" t="b">
        <v>0</v>
      </c>
      <c r="L6" s="85" t="b">
        <v>0</v>
      </c>
      <c r="M6" s="85" t="b">
        <v>0</v>
      </c>
      <c r="N6" s="85" t="b">
        <v>0</v>
      </c>
      <c r="O6" s="880" t="s">
        <v>158</v>
      </c>
    </row>
    <row r="7" spans="1:16" s="86" customFormat="1">
      <c r="A7" s="81" t="s">
        <v>9</v>
      </c>
      <c r="B7" s="82" t="s">
        <v>1578</v>
      </c>
      <c r="C7" s="83">
        <v>3</v>
      </c>
      <c r="D7" s="83" t="s">
        <v>1579</v>
      </c>
      <c r="E7" s="84" t="s">
        <v>41</v>
      </c>
      <c r="F7" s="85" t="b">
        <v>1</v>
      </c>
      <c r="G7" s="85" t="b">
        <v>0</v>
      </c>
      <c r="H7" s="85" t="b">
        <v>0</v>
      </c>
      <c r="I7" s="85" t="b">
        <v>0</v>
      </c>
      <c r="J7" s="85" t="b">
        <v>1</v>
      </c>
      <c r="K7" s="85" t="b">
        <v>0</v>
      </c>
      <c r="L7" s="85" t="b">
        <v>0</v>
      </c>
      <c r="M7" s="85" t="b">
        <v>0</v>
      </c>
      <c r="N7" s="85" t="b">
        <v>0</v>
      </c>
      <c r="O7" s="880" t="s">
        <v>158</v>
      </c>
    </row>
    <row r="8" spans="1:16" s="86" customFormat="1">
      <c r="A8" s="81" t="s">
        <v>9</v>
      </c>
      <c r="B8" s="82" t="s">
        <v>1446</v>
      </c>
      <c r="C8" s="83">
        <v>1</v>
      </c>
      <c r="D8" s="83" t="s">
        <v>1686</v>
      </c>
      <c r="E8" s="84" t="s">
        <v>41</v>
      </c>
      <c r="F8" s="85" t="b">
        <v>1</v>
      </c>
      <c r="G8" s="85" t="b">
        <v>0</v>
      </c>
      <c r="H8" s="85" t="b">
        <v>0</v>
      </c>
      <c r="I8" s="85" t="b">
        <v>0</v>
      </c>
      <c r="J8" s="85" t="b">
        <v>1</v>
      </c>
      <c r="K8" s="85" t="b">
        <v>0</v>
      </c>
      <c r="L8" s="85" t="b">
        <v>0</v>
      </c>
      <c r="M8" s="85" t="b">
        <v>0</v>
      </c>
      <c r="N8" s="85" t="b">
        <v>0</v>
      </c>
      <c r="O8" s="880" t="s">
        <v>158</v>
      </c>
    </row>
    <row r="9" spans="1:16" s="86" customFormat="1">
      <c r="A9" s="81" t="s">
        <v>9</v>
      </c>
      <c r="B9" s="82" t="s">
        <v>1687</v>
      </c>
      <c r="C9" s="83">
        <v>1</v>
      </c>
      <c r="D9" s="83" t="s">
        <v>1575</v>
      </c>
      <c r="E9" s="84" t="s">
        <v>41</v>
      </c>
      <c r="F9" s="85" t="b">
        <v>1</v>
      </c>
      <c r="G9" s="85" t="b">
        <v>0</v>
      </c>
      <c r="H9" s="85" t="b">
        <v>0</v>
      </c>
      <c r="I9" s="85" t="b">
        <v>0</v>
      </c>
      <c r="J9" s="85" t="b">
        <v>1</v>
      </c>
      <c r="K9" s="85" t="b">
        <v>0</v>
      </c>
      <c r="L9" s="85" t="b">
        <v>0</v>
      </c>
      <c r="M9" s="85" t="b">
        <v>0</v>
      </c>
      <c r="N9" s="85" t="b">
        <v>0</v>
      </c>
      <c r="O9" s="880" t="s">
        <v>158</v>
      </c>
    </row>
    <row r="10" spans="1:16" s="86" customFormat="1">
      <c r="A10" s="81" t="s">
        <v>9</v>
      </c>
      <c r="B10" s="82" t="s">
        <v>1446</v>
      </c>
      <c r="C10" s="83">
        <v>2</v>
      </c>
      <c r="D10" s="83" t="s">
        <v>1606</v>
      </c>
      <c r="E10" s="84" t="s">
        <v>41</v>
      </c>
      <c r="F10" s="85" t="b">
        <v>1</v>
      </c>
      <c r="G10" s="85" t="b">
        <v>0</v>
      </c>
      <c r="H10" s="85" t="b">
        <v>0</v>
      </c>
      <c r="I10" s="85" t="b">
        <v>0</v>
      </c>
      <c r="J10" s="85" t="b">
        <v>1</v>
      </c>
      <c r="K10" s="85" t="b">
        <v>0</v>
      </c>
      <c r="L10" s="85" t="b">
        <v>0</v>
      </c>
      <c r="M10" s="85" t="b">
        <v>0</v>
      </c>
      <c r="N10" s="85" t="b">
        <v>0</v>
      </c>
      <c r="O10" s="880" t="s">
        <v>158</v>
      </c>
    </row>
    <row r="11" spans="1:16" s="86" customFormat="1">
      <c r="A11" s="81" t="s">
        <v>9</v>
      </c>
      <c r="B11" s="82" t="s">
        <v>1446</v>
      </c>
      <c r="C11" s="83">
        <v>2</v>
      </c>
      <c r="D11" s="83" t="s">
        <v>1606</v>
      </c>
      <c r="E11" s="84" t="s">
        <v>41</v>
      </c>
      <c r="F11" s="85" t="b">
        <v>0</v>
      </c>
      <c r="G11" s="85" t="b">
        <v>1</v>
      </c>
      <c r="H11" s="85" t="b">
        <v>0</v>
      </c>
      <c r="I11" s="85" t="b">
        <v>0</v>
      </c>
      <c r="J11" s="85" t="b">
        <v>1</v>
      </c>
      <c r="K11" s="85" t="b">
        <v>0</v>
      </c>
      <c r="L11" s="85" t="b">
        <v>0</v>
      </c>
      <c r="M11" s="85" t="b">
        <v>0</v>
      </c>
      <c r="N11" s="85" t="b">
        <v>0</v>
      </c>
      <c r="O11" s="880" t="s">
        <v>158</v>
      </c>
    </row>
    <row r="12" spans="1:16" s="86" customFormat="1">
      <c r="B12" s="86">
        <f>COUNTIF(Table22[สถานที่],"*")</f>
        <v>10</v>
      </c>
      <c r="E12" s="87" t="s">
        <v>293</v>
      </c>
      <c r="F12" s="88">
        <f>(COUNTIF(F2:F11, TRUE))</f>
        <v>9</v>
      </c>
      <c r="G12" s="88">
        <f>COUNTIF(G2:G11, TRUE)</f>
        <v>1</v>
      </c>
      <c r="H12" s="88">
        <f>COUNTIF(H2:H11, TRUE)</f>
        <v>0</v>
      </c>
      <c r="I12" s="88">
        <f>(COUNTIF(I2:I11, TRUE))</f>
        <v>0</v>
      </c>
      <c r="J12" s="88">
        <f>(COUNTIF(J2:J11,TRUE))</f>
        <v>10</v>
      </c>
      <c r="K12" s="88">
        <f>COUNTIF(K2:K11, TRUE)</f>
        <v>0</v>
      </c>
      <c r="L12" s="88">
        <f>COUNTIF(L2:L11, TRUE)</f>
        <v>0</v>
      </c>
      <c r="M12" s="88">
        <f>COUNTIF(M2:M11, TRUE)</f>
        <v>0</v>
      </c>
      <c r="N12" s="88">
        <f>COUNTIF(N2:N11, TRUE)</f>
        <v>0</v>
      </c>
      <c r="O12" s="88">
        <f>COUNTIF(Table22[Pregress],"Done")</f>
        <v>10</v>
      </c>
    </row>
    <row r="13" spans="1:16" s="86" customFormat="1">
      <c r="E13" s="89"/>
      <c r="F13" s="90"/>
      <c r="G13" s="90"/>
      <c r="H13" s="90"/>
      <c r="I13" s="90"/>
      <c r="J13" s="90"/>
      <c r="K13" s="90"/>
      <c r="L13" s="90"/>
      <c r="M13" s="90"/>
      <c r="N13" s="90"/>
    </row>
    <row r="14" spans="1:16" ht="23.4">
      <c r="A14" s="91"/>
      <c r="O14" s="86"/>
      <c r="P14" s="86"/>
    </row>
    <row r="15" spans="1:16">
      <c r="O15" s="86"/>
      <c r="P15" s="86"/>
    </row>
    <row r="16" spans="1:16">
      <c r="O16" s="86"/>
      <c r="P16" s="86"/>
    </row>
    <row r="17" spans="15:16">
      <c r="O17" s="86"/>
      <c r="P17" s="86"/>
    </row>
    <row r="18" spans="15:16">
      <c r="O18" s="86"/>
      <c r="P18" s="86"/>
    </row>
    <row r="19" spans="15:16">
      <c r="O19" s="86"/>
      <c r="P19" s="86"/>
    </row>
    <row r="20" spans="15:16">
      <c r="O20" s="86"/>
      <c r="P20" s="86"/>
    </row>
    <row r="21" spans="15:16">
      <c r="O21" s="86"/>
      <c r="P21" s="86"/>
    </row>
    <row r="22" spans="15:16">
      <c r="O22" s="86"/>
      <c r="P22" s="86"/>
    </row>
    <row r="23" spans="15:16">
      <c r="O23" s="86"/>
      <c r="P23" s="86"/>
    </row>
    <row r="24" spans="15:16">
      <c r="O24" s="86"/>
      <c r="P24" s="86"/>
    </row>
    <row r="25" spans="15:16">
      <c r="O25" s="86"/>
      <c r="P25" s="86"/>
    </row>
    <row r="26" spans="15:16">
      <c r="O26" s="86"/>
      <c r="P26" s="86"/>
    </row>
    <row r="27" spans="15:16">
      <c r="O27" s="86"/>
      <c r="P27" s="86"/>
    </row>
    <row r="28" spans="15:16">
      <c r="O28" s="86"/>
      <c r="P28" s="86"/>
    </row>
    <row r="29" spans="15:16">
      <c r="O29" s="86"/>
      <c r="P29" s="86"/>
    </row>
    <row r="30" spans="15:16">
      <c r="O30" s="86"/>
      <c r="P30" s="86"/>
    </row>
    <row r="31" spans="15:16">
      <c r="O31" s="86"/>
      <c r="P31" s="86"/>
    </row>
    <row r="32" spans="15:16">
      <c r="O32" s="86"/>
      <c r="P32" s="86"/>
    </row>
    <row r="33" spans="15:16">
      <c r="O33" s="86"/>
      <c r="P33" s="86"/>
    </row>
    <row r="34" spans="15:16">
      <c r="O34" s="86"/>
      <c r="P34" s="86"/>
    </row>
    <row r="35" spans="15:16">
      <c r="O35" s="86"/>
      <c r="P35" s="86"/>
    </row>
    <row r="36" spans="15:16">
      <c r="O36" s="86"/>
      <c r="P36" s="86"/>
    </row>
    <row r="37" spans="15:16">
      <c r="O37" s="86"/>
      <c r="P37" s="86"/>
    </row>
    <row r="38" spans="15:16">
      <c r="O38" s="86"/>
      <c r="P38" s="86"/>
    </row>
    <row r="39" spans="15:16">
      <c r="O39" s="86"/>
      <c r="P39" s="86"/>
    </row>
    <row r="40" spans="15:16">
      <c r="O40" s="86"/>
    </row>
    <row r="41" spans="15:16">
      <c r="O41" s="86"/>
    </row>
    <row r="42" spans="15:16">
      <c r="O42" s="86"/>
    </row>
    <row r="43" spans="15:16">
      <c r="O43" s="86"/>
    </row>
    <row r="44" spans="15:16">
      <c r="O44" s="86"/>
    </row>
    <row r="45" spans="15:16">
      <c r="O45" s="86"/>
    </row>
  </sheetData>
  <conditionalFormatting sqref="O2:O11">
    <cfRule type="cellIs" dxfId="12" priority="1" operator="equal">
      <formula>"Done"</formula>
    </cfRule>
    <cfRule type="cellIs" dxfId="11" priority="2" operator="equal">
      <formula>"In Progress"</formula>
    </cfRule>
  </conditionalFormatting>
  <dataValidations count="1">
    <dataValidation type="list" allowBlank="1" showInputMessage="1" showErrorMessage="1" sqref="O40:O43 O2:O11" xr:uid="{62473CD8-22DA-42C0-8F00-4A834364A34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orientation="landscape" horizontalDpi="1200" verticalDpi="120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4E17-1B99-4BAC-8080-047B9C1DC10E}">
  <dimension ref="A1:V33"/>
  <sheetViews>
    <sheetView tabSelected="1" zoomScale="80" zoomScaleNormal="80" workbookViewId="0">
      <pane ySplit="1" topLeftCell="A2" activePane="bottomLeft" state="frozen"/>
      <selection pane="bottomLeft" activeCell="J34" sqref="A34:XFD69"/>
    </sheetView>
  </sheetViews>
  <sheetFormatPr defaultColWidth="38.88671875" defaultRowHeight="21.75" customHeight="1"/>
  <cols>
    <col min="1" max="1" width="33.77734375" style="931" bestFit="1" customWidth="1"/>
    <col min="2" max="2" width="31.21875" style="197" bestFit="1" customWidth="1"/>
    <col min="3" max="3" width="7.6640625" style="197" bestFit="1" customWidth="1"/>
    <col min="4" max="4" width="58.44140625" style="197" bestFit="1" customWidth="1"/>
    <col min="5" max="5" width="20.77734375" style="197" bestFit="1" customWidth="1"/>
    <col min="6" max="7" width="9.21875" style="197" bestFit="1" customWidth="1"/>
    <col min="8" max="8" width="23" style="197" customWidth="1"/>
    <col min="9" max="9" width="19.5546875" style="197" customWidth="1"/>
    <col min="10" max="11" width="17" style="712" customWidth="1"/>
    <col min="12" max="12" width="11.6640625" style="712" customWidth="1"/>
    <col min="13" max="13" width="19.6640625" style="712" customWidth="1"/>
    <col min="14" max="14" width="14.109375" style="197" bestFit="1" customWidth="1"/>
    <col min="15" max="15" width="11.6640625" style="197" bestFit="1" customWidth="1"/>
    <col min="16" max="16" width="9.88671875" style="197" bestFit="1" customWidth="1"/>
    <col min="17" max="17" width="7.6640625" style="197" customWidth="1"/>
    <col min="18" max="18" width="43.21875" style="197" bestFit="1" customWidth="1"/>
    <col min="19" max="19" width="10.6640625" style="2" bestFit="1" customWidth="1"/>
    <col min="20" max="20" width="18" style="2" customWidth="1"/>
    <col min="21" max="21" width="16.6640625" style="2" customWidth="1"/>
    <col min="22" max="22" width="14.44140625" style="2" customWidth="1"/>
    <col min="23" max="16384" width="38.88671875" style="197"/>
  </cols>
  <sheetData>
    <row r="1" spans="1:22" s="220" customFormat="1" ht="46.8">
      <c r="A1" s="927" t="s">
        <v>15</v>
      </c>
      <c r="B1" s="975" t="s">
        <v>16</v>
      </c>
      <c r="C1" s="975" t="s">
        <v>1571</v>
      </c>
      <c r="D1" s="975" t="s">
        <v>18</v>
      </c>
      <c r="E1" s="975" t="s">
        <v>1688</v>
      </c>
      <c r="F1" s="975" t="s">
        <v>1378</v>
      </c>
      <c r="G1" s="975" t="s">
        <v>1379</v>
      </c>
      <c r="H1" s="976" t="s">
        <v>1572</v>
      </c>
      <c r="I1" s="976" t="s">
        <v>1573</v>
      </c>
      <c r="J1" s="149" t="s">
        <v>23</v>
      </c>
      <c r="K1" s="149" t="s">
        <v>24</v>
      </c>
      <c r="L1" s="149" t="s">
        <v>3</v>
      </c>
      <c r="M1" s="149" t="s">
        <v>25</v>
      </c>
      <c r="N1" s="185" t="s">
        <v>26</v>
      </c>
      <c r="O1" s="185" t="s">
        <v>27</v>
      </c>
      <c r="P1" s="185" t="s">
        <v>28</v>
      </c>
      <c r="Q1" s="186" t="s">
        <v>29</v>
      </c>
      <c r="R1" s="977" t="s">
        <v>30</v>
      </c>
      <c r="S1" s="717" t="s">
        <v>31</v>
      </c>
      <c r="T1" s="718" t="s">
        <v>32</v>
      </c>
      <c r="U1" s="719" t="s">
        <v>33</v>
      </c>
      <c r="V1" s="718" t="s">
        <v>34</v>
      </c>
    </row>
    <row r="2" spans="1:22" ht="18" customHeight="1">
      <c r="A2" s="1281" t="s">
        <v>637</v>
      </c>
      <c r="B2" s="978" t="s">
        <v>1690</v>
      </c>
      <c r="C2" s="978"/>
      <c r="D2" s="979" t="s">
        <v>39</v>
      </c>
      <c r="E2" s="953" t="s">
        <v>1386</v>
      </c>
      <c r="F2" s="953">
        <v>5</v>
      </c>
      <c r="G2" s="953">
        <v>5</v>
      </c>
      <c r="H2" s="1280">
        <v>244508</v>
      </c>
      <c r="I2" s="1280">
        <v>244518</v>
      </c>
      <c r="J2" s="825"/>
      <c r="K2" s="825"/>
      <c r="L2" s="830"/>
      <c r="M2" s="811"/>
      <c r="N2" s="195">
        <v>0</v>
      </c>
      <c r="O2" s="195">
        <v>0</v>
      </c>
      <c r="P2" s="195">
        <v>0</v>
      </c>
      <c r="Q2" s="980">
        <f>ROUNDUP(((N2+O2+P2)/3)/G2*100%,2)</f>
        <v>0</v>
      </c>
      <c r="R2" s="981" t="s">
        <v>1691</v>
      </c>
      <c r="S2" s="195" t="str">
        <f t="shared" ref="S2:S33" si="0">IF(ISNUMBER(SEARCH("Access Point",D2)),"AP",IF(OR(ISNUMBER(SEARCH("Switch",D2)),ISNUMBER(SEARCH("Control Type",D2))),"Switch","Infra"))</f>
        <v>Switch</v>
      </c>
      <c r="T2" s="495">
        <f>$H2</f>
        <v>244508</v>
      </c>
      <c r="U2" s="495">
        <f>$J2</f>
        <v>0</v>
      </c>
      <c r="V2" s="495">
        <f>$I2</f>
        <v>244518</v>
      </c>
    </row>
    <row r="3" spans="1:22" ht="18" customHeight="1">
      <c r="A3" s="1281" t="s">
        <v>637</v>
      </c>
      <c r="B3" s="978" t="s">
        <v>1690</v>
      </c>
      <c r="C3" s="963"/>
      <c r="D3" s="982" t="s">
        <v>43</v>
      </c>
      <c r="E3" s="955" t="s">
        <v>1382</v>
      </c>
      <c r="F3" s="955">
        <v>7</v>
      </c>
      <c r="G3" s="955">
        <v>7</v>
      </c>
      <c r="H3" s="1280">
        <v>244508</v>
      </c>
      <c r="I3" s="1280">
        <v>244518</v>
      </c>
      <c r="J3" s="825"/>
      <c r="K3" s="825"/>
      <c r="L3" s="830"/>
      <c r="M3" s="811"/>
      <c r="N3" s="195">
        <v>0</v>
      </c>
      <c r="O3" s="195">
        <v>0</v>
      </c>
      <c r="P3" s="195">
        <v>0</v>
      </c>
      <c r="Q3" s="980">
        <f>ROUNDUP(((N3+O3+P3)/3)/G3*100%,2)</f>
        <v>0</v>
      </c>
      <c r="R3" s="981" t="s">
        <v>1383</v>
      </c>
      <c r="S3" s="195" t="str">
        <f t="shared" si="0"/>
        <v>Switch</v>
      </c>
      <c r="T3" s="495">
        <f>$H3</f>
        <v>244508</v>
      </c>
      <c r="U3" s="495">
        <f>$J3</f>
        <v>0</v>
      </c>
      <c r="V3" s="495">
        <f>$I3</f>
        <v>244518</v>
      </c>
    </row>
    <row r="4" spans="1:22" ht="18" customHeight="1">
      <c r="A4" s="1281" t="s">
        <v>637</v>
      </c>
      <c r="B4" s="978" t="s">
        <v>1690</v>
      </c>
      <c r="C4" s="963"/>
      <c r="D4" s="982" t="s">
        <v>1387</v>
      </c>
      <c r="E4" s="955" t="s">
        <v>1388</v>
      </c>
      <c r="F4" s="955">
        <v>2</v>
      </c>
      <c r="G4" s="955">
        <v>2</v>
      </c>
      <c r="H4" s="1280">
        <v>244522</v>
      </c>
      <c r="I4" s="1280">
        <v>244526</v>
      </c>
      <c r="J4" s="825"/>
      <c r="K4" s="825"/>
      <c r="L4" s="830"/>
      <c r="M4" s="811"/>
      <c r="N4" s="195">
        <v>0</v>
      </c>
      <c r="O4" s="195">
        <v>0</v>
      </c>
      <c r="P4" s="195">
        <v>0</v>
      </c>
      <c r="Q4" s="980">
        <f>ROUNDUP(((N4+O4+P4)/3)/G4*100%,2)</f>
        <v>0</v>
      </c>
      <c r="R4" s="981" t="s">
        <v>1383</v>
      </c>
      <c r="S4" s="195" t="str">
        <f t="shared" si="0"/>
        <v>Switch</v>
      </c>
      <c r="T4" s="495">
        <f t="shared" ref="T4:T33" si="1">$H4</f>
        <v>244522</v>
      </c>
      <c r="U4" s="495">
        <f t="shared" ref="U4:U33" si="2">$J4</f>
        <v>0</v>
      </c>
      <c r="V4" s="495">
        <f t="shared" ref="V4:V33" si="3">$I4</f>
        <v>244526</v>
      </c>
    </row>
    <row r="5" spans="1:22" ht="18" customHeight="1">
      <c r="A5" s="1281" t="s">
        <v>637</v>
      </c>
      <c r="B5" s="978" t="s">
        <v>1690</v>
      </c>
      <c r="C5" s="963"/>
      <c r="D5" s="982" t="s">
        <v>53</v>
      </c>
      <c r="E5" s="955" t="s">
        <v>1389</v>
      </c>
      <c r="F5" s="955">
        <v>2</v>
      </c>
      <c r="G5" s="955">
        <v>2</v>
      </c>
      <c r="H5" s="1280">
        <v>244508</v>
      </c>
      <c r="I5" s="1280">
        <v>244518</v>
      </c>
      <c r="J5" s="825"/>
      <c r="K5" s="825"/>
      <c r="L5" s="830"/>
      <c r="M5" s="812"/>
      <c r="N5" s="195">
        <v>0</v>
      </c>
      <c r="O5" s="195">
        <v>0</v>
      </c>
      <c r="P5" s="195">
        <v>0</v>
      </c>
      <c r="Q5" s="980">
        <f>ROUNDUP(((N5+O5+P5)/3)/G5*100%,2)</f>
        <v>0</v>
      </c>
      <c r="R5" s="981" t="s">
        <v>1383</v>
      </c>
      <c r="S5" s="195" t="str">
        <f t="shared" si="0"/>
        <v>Infra</v>
      </c>
      <c r="T5" s="495">
        <f t="shared" si="1"/>
        <v>244508</v>
      </c>
      <c r="U5" s="495">
        <f t="shared" si="2"/>
        <v>0</v>
      </c>
      <c r="V5" s="495">
        <f t="shared" si="3"/>
        <v>244518</v>
      </c>
    </row>
    <row r="6" spans="1:22" ht="18" customHeight="1">
      <c r="A6" s="1281" t="s">
        <v>637</v>
      </c>
      <c r="B6" s="978" t="s">
        <v>1690</v>
      </c>
      <c r="C6" s="963"/>
      <c r="D6" s="982" t="s">
        <v>59</v>
      </c>
      <c r="E6" s="955" t="s">
        <v>60</v>
      </c>
      <c r="F6" s="955">
        <v>2</v>
      </c>
      <c r="G6" s="955">
        <v>2</v>
      </c>
      <c r="H6" s="1280">
        <v>244522</v>
      </c>
      <c r="I6" s="1280">
        <v>244526</v>
      </c>
      <c r="J6" s="825"/>
      <c r="K6" s="825"/>
      <c r="L6" s="830"/>
      <c r="M6" s="812"/>
      <c r="N6" s="195">
        <v>0</v>
      </c>
      <c r="O6" s="195">
        <v>0</v>
      </c>
      <c r="P6" s="195">
        <v>0</v>
      </c>
      <c r="Q6" s="980">
        <f>ROUNDUP(((N6+O6+P6)/3)/G6*100%,2)</f>
        <v>0</v>
      </c>
      <c r="R6" s="981" t="s">
        <v>1383</v>
      </c>
      <c r="S6" s="195" t="str">
        <f t="shared" si="0"/>
        <v>Infra</v>
      </c>
      <c r="T6" s="495">
        <f t="shared" si="1"/>
        <v>244522</v>
      </c>
      <c r="U6" s="495">
        <f t="shared" si="2"/>
        <v>0</v>
      </c>
      <c r="V6" s="495">
        <f t="shared" si="3"/>
        <v>244526</v>
      </c>
    </row>
    <row r="7" spans="1:22" ht="18" customHeight="1">
      <c r="A7" s="1281" t="s">
        <v>637</v>
      </c>
      <c r="B7" s="978" t="s">
        <v>1690</v>
      </c>
      <c r="C7" s="963"/>
      <c r="D7" s="982" t="s">
        <v>1390</v>
      </c>
      <c r="E7" s="955" t="s">
        <v>1391</v>
      </c>
      <c r="F7" s="955">
        <v>2</v>
      </c>
      <c r="G7" s="955">
        <v>2</v>
      </c>
      <c r="H7" s="1280">
        <v>244490</v>
      </c>
      <c r="I7" s="1280">
        <v>244498</v>
      </c>
      <c r="J7" s="825"/>
      <c r="K7" s="825"/>
      <c r="L7" s="830"/>
      <c r="M7" s="812"/>
      <c r="N7" s="195">
        <v>0</v>
      </c>
      <c r="O7" s="195">
        <v>0</v>
      </c>
      <c r="P7" s="195">
        <v>0</v>
      </c>
      <c r="Q7" s="980">
        <f>ROUNDUP(((N7+O7+P7)/3)/G7*100%,2)</f>
        <v>0</v>
      </c>
      <c r="R7" s="981" t="s">
        <v>1383</v>
      </c>
      <c r="S7" s="195" t="str">
        <f t="shared" si="0"/>
        <v>Switch</v>
      </c>
      <c r="T7" s="495">
        <f t="shared" si="1"/>
        <v>244490</v>
      </c>
      <c r="U7" s="495">
        <f t="shared" si="2"/>
        <v>0</v>
      </c>
      <c r="V7" s="495">
        <f t="shared" si="3"/>
        <v>244498</v>
      </c>
    </row>
    <row r="8" spans="1:22" ht="18" customHeight="1">
      <c r="A8" s="1281" t="s">
        <v>637</v>
      </c>
      <c r="B8" s="978" t="s">
        <v>1690</v>
      </c>
      <c r="C8" s="963"/>
      <c r="D8" s="982" t="s">
        <v>1392</v>
      </c>
      <c r="E8" s="955" t="s">
        <v>1393</v>
      </c>
      <c r="F8" s="955">
        <v>2</v>
      </c>
      <c r="G8" s="955">
        <v>2</v>
      </c>
      <c r="H8" s="1280">
        <v>244490</v>
      </c>
      <c r="I8" s="1280">
        <v>244498</v>
      </c>
      <c r="J8" s="825"/>
      <c r="K8" s="825"/>
      <c r="L8" s="830"/>
      <c r="M8" s="812"/>
      <c r="N8" s="195">
        <v>0</v>
      </c>
      <c r="O8" s="195">
        <v>0</v>
      </c>
      <c r="P8" s="195">
        <v>0</v>
      </c>
      <c r="Q8" s="980">
        <f>ROUNDUP(((N8+O8+P8)/3)/G8*100%,2)</f>
        <v>0</v>
      </c>
      <c r="R8" s="981" t="s">
        <v>1383</v>
      </c>
      <c r="S8" s="195" t="str">
        <f t="shared" si="0"/>
        <v>Switch</v>
      </c>
      <c r="T8" s="495">
        <f t="shared" si="1"/>
        <v>244490</v>
      </c>
      <c r="U8" s="495">
        <f t="shared" si="2"/>
        <v>0</v>
      </c>
      <c r="V8" s="495">
        <f t="shared" si="3"/>
        <v>244498</v>
      </c>
    </row>
    <row r="9" spans="1:22" ht="18" customHeight="1">
      <c r="A9" s="1281" t="s">
        <v>637</v>
      </c>
      <c r="B9" s="978" t="s">
        <v>1690</v>
      </c>
      <c r="C9" s="963"/>
      <c r="D9" s="982" t="s">
        <v>63</v>
      </c>
      <c r="E9" s="955" t="s">
        <v>1396</v>
      </c>
      <c r="F9" s="955">
        <v>2</v>
      </c>
      <c r="G9" s="955">
        <v>2</v>
      </c>
      <c r="H9" s="1280">
        <v>244490</v>
      </c>
      <c r="I9" s="1280">
        <v>244498</v>
      </c>
      <c r="J9" s="825"/>
      <c r="K9" s="825"/>
      <c r="L9" s="830"/>
      <c r="M9" s="812"/>
      <c r="N9" s="195">
        <v>0</v>
      </c>
      <c r="O9" s="195">
        <v>0</v>
      </c>
      <c r="P9" s="195">
        <v>0</v>
      </c>
      <c r="Q9" s="980">
        <f>ROUNDUP(((N9+O9+P9)/3)/G9*100%,2)</f>
        <v>0</v>
      </c>
      <c r="R9" s="981" t="s">
        <v>1383</v>
      </c>
      <c r="S9" s="195" t="str">
        <f t="shared" si="0"/>
        <v>Switch</v>
      </c>
      <c r="T9" s="495">
        <f t="shared" si="1"/>
        <v>244490</v>
      </c>
      <c r="U9" s="495">
        <f t="shared" si="2"/>
        <v>0</v>
      </c>
      <c r="V9" s="495">
        <f t="shared" si="3"/>
        <v>244498</v>
      </c>
    </row>
    <row r="10" spans="1:22" ht="18" customHeight="1">
      <c r="A10" s="1281" t="s">
        <v>637</v>
      </c>
      <c r="B10" s="978" t="s">
        <v>1690</v>
      </c>
      <c r="C10" s="963"/>
      <c r="D10" s="982" t="s">
        <v>1394</v>
      </c>
      <c r="E10" s="955" t="s">
        <v>1393</v>
      </c>
      <c r="F10" s="955">
        <v>2</v>
      </c>
      <c r="G10" s="955">
        <v>2</v>
      </c>
      <c r="H10" s="1280">
        <v>244490</v>
      </c>
      <c r="I10" s="1280">
        <v>244498</v>
      </c>
      <c r="J10" s="825"/>
      <c r="K10" s="825"/>
      <c r="L10" s="830"/>
      <c r="M10" s="812"/>
      <c r="N10" s="195">
        <v>0</v>
      </c>
      <c r="O10" s="195">
        <v>0</v>
      </c>
      <c r="P10" s="195">
        <v>0</v>
      </c>
      <c r="Q10" s="980">
        <f>ROUNDUP(((N10+O10+P10)/3)/G10*100%,2)</f>
        <v>0</v>
      </c>
      <c r="R10" s="981" t="s">
        <v>1383</v>
      </c>
      <c r="S10" s="195" t="str">
        <f t="shared" si="0"/>
        <v>Switch</v>
      </c>
      <c r="T10" s="495">
        <f t="shared" si="1"/>
        <v>244490</v>
      </c>
      <c r="U10" s="495">
        <f t="shared" si="2"/>
        <v>0</v>
      </c>
      <c r="V10" s="495">
        <f t="shared" si="3"/>
        <v>244498</v>
      </c>
    </row>
    <row r="11" spans="1:22" ht="18" customHeight="1">
      <c r="A11" s="1281" t="s">
        <v>637</v>
      </c>
      <c r="B11" s="963" t="s">
        <v>2034</v>
      </c>
      <c r="C11" s="963"/>
      <c r="D11" s="960" t="s">
        <v>39</v>
      </c>
      <c r="E11" s="955" t="s">
        <v>1386</v>
      </c>
      <c r="F11" s="955">
        <v>2</v>
      </c>
      <c r="G11" s="955">
        <v>2</v>
      </c>
      <c r="H11" s="1280">
        <v>244508</v>
      </c>
      <c r="I11" s="1280">
        <v>244510</v>
      </c>
      <c r="J11" s="825"/>
      <c r="K11" s="825"/>
      <c r="L11" s="830"/>
      <c r="M11" s="812"/>
      <c r="N11" s="195">
        <v>0</v>
      </c>
      <c r="O11" s="195">
        <v>0</v>
      </c>
      <c r="P11" s="195">
        <v>0</v>
      </c>
      <c r="Q11" s="980">
        <f>ROUNDUP(((N11+O11+P11)/3)/G11*100%,2)</f>
        <v>0</v>
      </c>
      <c r="R11" s="981" t="s">
        <v>1383</v>
      </c>
      <c r="S11" s="195" t="str">
        <f t="shared" si="0"/>
        <v>Switch</v>
      </c>
      <c r="T11" s="495">
        <f t="shared" si="1"/>
        <v>244508</v>
      </c>
      <c r="U11" s="495">
        <f t="shared" si="2"/>
        <v>0</v>
      </c>
      <c r="V11" s="495">
        <f t="shared" si="3"/>
        <v>244510</v>
      </c>
    </row>
    <row r="12" spans="1:22" ht="18" customHeight="1">
      <c r="A12" s="1281" t="s">
        <v>637</v>
      </c>
      <c r="B12" s="963" t="s">
        <v>2034</v>
      </c>
      <c r="C12" s="963"/>
      <c r="D12" s="960" t="s">
        <v>43</v>
      </c>
      <c r="E12" s="955" t="s">
        <v>1382</v>
      </c>
      <c r="F12" s="955">
        <v>2</v>
      </c>
      <c r="G12" s="955">
        <v>2</v>
      </c>
      <c r="H12" s="1280">
        <v>244508</v>
      </c>
      <c r="I12" s="1280">
        <v>244510</v>
      </c>
      <c r="J12" s="825"/>
      <c r="K12" s="825"/>
      <c r="L12" s="830"/>
      <c r="M12" s="811"/>
      <c r="N12" s="195">
        <v>0</v>
      </c>
      <c r="O12" s="195">
        <v>0</v>
      </c>
      <c r="P12" s="195">
        <v>0</v>
      </c>
      <c r="Q12" s="980">
        <f>ROUNDUP(((N12+O12+P12)/3)/G12*100%,2)</f>
        <v>0</v>
      </c>
      <c r="R12" s="981" t="s">
        <v>1383</v>
      </c>
      <c r="S12" s="195" t="str">
        <f t="shared" si="0"/>
        <v>Switch</v>
      </c>
      <c r="T12" s="495">
        <f t="shared" si="1"/>
        <v>244508</v>
      </c>
      <c r="U12" s="495">
        <f t="shared" si="2"/>
        <v>0</v>
      </c>
      <c r="V12" s="495">
        <f t="shared" si="3"/>
        <v>244510</v>
      </c>
    </row>
    <row r="13" spans="1:22" ht="18" customHeight="1">
      <c r="A13" s="1281" t="s">
        <v>637</v>
      </c>
      <c r="B13" s="963" t="s">
        <v>1693</v>
      </c>
      <c r="C13" s="963"/>
      <c r="D13" s="960" t="s">
        <v>39</v>
      </c>
      <c r="E13" s="955" t="s">
        <v>1386</v>
      </c>
      <c r="F13" s="955">
        <v>2</v>
      </c>
      <c r="G13" s="955">
        <v>2</v>
      </c>
      <c r="H13" s="1280">
        <v>244508</v>
      </c>
      <c r="I13" s="1280">
        <v>244510</v>
      </c>
      <c r="J13" s="825"/>
      <c r="K13" s="825"/>
      <c r="L13" s="830"/>
      <c r="M13" s="812"/>
      <c r="N13" s="195">
        <v>0</v>
      </c>
      <c r="O13" s="195">
        <v>0</v>
      </c>
      <c r="P13" s="195">
        <v>0</v>
      </c>
      <c r="Q13" s="980">
        <f>ROUNDUP(((N13+O13+P13)/3)/G13*100%,2)</f>
        <v>0</v>
      </c>
      <c r="R13" s="981" t="s">
        <v>1383</v>
      </c>
      <c r="S13" s="195" t="str">
        <f t="shared" si="0"/>
        <v>Switch</v>
      </c>
      <c r="T13" s="495">
        <f t="shared" si="1"/>
        <v>244508</v>
      </c>
      <c r="U13" s="495">
        <f t="shared" si="2"/>
        <v>0</v>
      </c>
      <c r="V13" s="495">
        <f t="shared" si="3"/>
        <v>244510</v>
      </c>
    </row>
    <row r="14" spans="1:22" ht="18" customHeight="1">
      <c r="A14" s="1281" t="s">
        <v>637</v>
      </c>
      <c r="B14" s="963" t="s">
        <v>1693</v>
      </c>
      <c r="C14" s="963"/>
      <c r="D14" s="960" t="s">
        <v>43</v>
      </c>
      <c r="E14" s="955" t="s">
        <v>1382</v>
      </c>
      <c r="F14" s="955">
        <v>1</v>
      </c>
      <c r="G14" s="955">
        <v>1</v>
      </c>
      <c r="H14" s="1280">
        <v>244508</v>
      </c>
      <c r="I14" s="1280">
        <v>244510</v>
      </c>
      <c r="J14" s="825"/>
      <c r="K14" s="825"/>
      <c r="L14" s="830"/>
      <c r="M14" s="812"/>
      <c r="N14" s="195">
        <v>0</v>
      </c>
      <c r="O14" s="195">
        <v>0</v>
      </c>
      <c r="P14" s="195">
        <v>0</v>
      </c>
      <c r="Q14" s="980">
        <f>ROUNDUP(((N14+O14+P14)/3)/G14*100%,2)</f>
        <v>0</v>
      </c>
      <c r="R14" s="981" t="s">
        <v>1383</v>
      </c>
      <c r="S14" s="195" t="str">
        <f t="shared" si="0"/>
        <v>Switch</v>
      </c>
      <c r="T14" s="495">
        <f t="shared" si="1"/>
        <v>244508</v>
      </c>
      <c r="U14" s="495">
        <f t="shared" si="2"/>
        <v>0</v>
      </c>
      <c r="V14" s="495">
        <f t="shared" si="3"/>
        <v>244510</v>
      </c>
    </row>
    <row r="15" spans="1:22" s="214" customFormat="1" ht="18" customHeight="1">
      <c r="A15" s="1281" t="s">
        <v>637</v>
      </c>
      <c r="B15" s="963" t="s">
        <v>2033</v>
      </c>
      <c r="C15" s="963"/>
      <c r="D15" s="960" t="s">
        <v>39</v>
      </c>
      <c r="E15" s="955" t="s">
        <v>1386</v>
      </c>
      <c r="F15" s="955">
        <v>1</v>
      </c>
      <c r="G15" s="955">
        <v>1</v>
      </c>
      <c r="H15" s="1280">
        <v>244509</v>
      </c>
      <c r="I15" s="1280">
        <v>244511</v>
      </c>
      <c r="J15" s="825"/>
      <c r="K15" s="825"/>
      <c r="L15" s="830"/>
      <c r="M15" s="812"/>
      <c r="N15" s="195">
        <v>0</v>
      </c>
      <c r="O15" s="195">
        <v>0</v>
      </c>
      <c r="P15" s="195">
        <v>0</v>
      </c>
      <c r="Q15" s="980">
        <f>ROUNDUP(((N15+O15+P15)/3)/G15*100%,2)</f>
        <v>0</v>
      </c>
      <c r="R15" s="981" t="s">
        <v>1694</v>
      </c>
      <c r="S15" s="195" t="str">
        <f t="shared" si="0"/>
        <v>Switch</v>
      </c>
      <c r="T15" s="495">
        <f t="shared" si="1"/>
        <v>244509</v>
      </c>
      <c r="U15" s="495">
        <f t="shared" si="2"/>
        <v>0</v>
      </c>
      <c r="V15" s="495">
        <f t="shared" si="3"/>
        <v>244511</v>
      </c>
    </row>
    <row r="16" spans="1:22" ht="18" customHeight="1">
      <c r="A16" s="1281" t="s">
        <v>637</v>
      </c>
      <c r="B16" s="963" t="s">
        <v>2033</v>
      </c>
      <c r="C16" s="963"/>
      <c r="D16" s="960" t="s">
        <v>43</v>
      </c>
      <c r="E16" s="955" t="s">
        <v>1382</v>
      </c>
      <c r="F16" s="955">
        <v>9</v>
      </c>
      <c r="G16" s="955">
        <v>9</v>
      </c>
      <c r="H16" s="1280">
        <v>244509</v>
      </c>
      <c r="I16" s="1280">
        <v>244511</v>
      </c>
      <c r="J16" s="825"/>
      <c r="K16" s="825"/>
      <c r="L16" s="830"/>
      <c r="M16" s="812"/>
      <c r="N16" s="195">
        <v>0</v>
      </c>
      <c r="O16" s="195">
        <v>0</v>
      </c>
      <c r="P16" s="195">
        <v>0</v>
      </c>
      <c r="Q16" s="980">
        <f>ROUNDUP(((N16+O16+P16)/3)/G16*100%,2)</f>
        <v>0</v>
      </c>
      <c r="R16" s="981" t="s">
        <v>1383</v>
      </c>
      <c r="S16" s="195" t="str">
        <f t="shared" si="0"/>
        <v>Switch</v>
      </c>
      <c r="T16" s="495">
        <f t="shared" si="1"/>
        <v>244509</v>
      </c>
      <c r="U16" s="495">
        <f t="shared" si="2"/>
        <v>0</v>
      </c>
      <c r="V16" s="495">
        <f t="shared" si="3"/>
        <v>244511</v>
      </c>
    </row>
    <row r="17" spans="1:22" ht="18" customHeight="1">
      <c r="A17" s="1281" t="s">
        <v>637</v>
      </c>
      <c r="B17" s="963" t="s">
        <v>1686</v>
      </c>
      <c r="C17" s="963"/>
      <c r="D17" s="960" t="s">
        <v>39</v>
      </c>
      <c r="E17" s="955" t="s">
        <v>1386</v>
      </c>
      <c r="F17" s="955">
        <v>1</v>
      </c>
      <c r="G17" s="955">
        <v>1</v>
      </c>
      <c r="H17" s="1280">
        <v>244510</v>
      </c>
      <c r="I17" s="1280">
        <v>244512</v>
      </c>
      <c r="J17" s="825"/>
      <c r="K17" s="825"/>
      <c r="L17" s="830"/>
      <c r="M17" s="812"/>
      <c r="N17" s="195">
        <v>0</v>
      </c>
      <c r="O17" s="195">
        <v>0</v>
      </c>
      <c r="P17" s="195">
        <v>0</v>
      </c>
      <c r="Q17" s="980">
        <f>ROUNDUP(((N17+O17+P17)/3)/G17*100%,2)</f>
        <v>0</v>
      </c>
      <c r="R17" s="981" t="s">
        <v>1383</v>
      </c>
      <c r="S17" s="195" t="str">
        <f t="shared" si="0"/>
        <v>Switch</v>
      </c>
      <c r="T17" s="495">
        <f t="shared" si="1"/>
        <v>244510</v>
      </c>
      <c r="U17" s="495">
        <f t="shared" si="2"/>
        <v>0</v>
      </c>
      <c r="V17" s="495">
        <f t="shared" si="3"/>
        <v>244512</v>
      </c>
    </row>
    <row r="18" spans="1:22" ht="18" customHeight="1">
      <c r="A18" s="1281" t="s">
        <v>637</v>
      </c>
      <c r="B18" s="963" t="s">
        <v>1695</v>
      </c>
      <c r="C18" s="963"/>
      <c r="D18" s="960" t="s">
        <v>43</v>
      </c>
      <c r="E18" s="955" t="s">
        <v>1382</v>
      </c>
      <c r="F18" s="955">
        <v>9</v>
      </c>
      <c r="G18" s="955">
        <v>9</v>
      </c>
      <c r="H18" s="1280">
        <v>244510</v>
      </c>
      <c r="I18" s="1280">
        <v>244512</v>
      </c>
      <c r="J18" s="825"/>
      <c r="K18" s="825"/>
      <c r="L18" s="830"/>
      <c r="M18" s="812"/>
      <c r="N18" s="195">
        <v>0</v>
      </c>
      <c r="O18" s="195">
        <v>0</v>
      </c>
      <c r="P18" s="195">
        <v>0</v>
      </c>
      <c r="Q18" s="980">
        <f>ROUNDUP(((N18+O18+P18)/3)/G18*100%,2)</f>
        <v>0</v>
      </c>
      <c r="R18" s="981" t="s">
        <v>1696</v>
      </c>
      <c r="S18" s="195" t="str">
        <f t="shared" si="0"/>
        <v>Switch</v>
      </c>
      <c r="T18" s="495">
        <f t="shared" si="1"/>
        <v>244510</v>
      </c>
      <c r="U18" s="495">
        <f t="shared" si="2"/>
        <v>0</v>
      </c>
      <c r="V18" s="495">
        <f t="shared" si="3"/>
        <v>244512</v>
      </c>
    </row>
    <row r="19" spans="1:22" ht="18" customHeight="1">
      <c r="A19" s="1281" t="s">
        <v>637</v>
      </c>
      <c r="B19" s="963" t="s">
        <v>1697</v>
      </c>
      <c r="C19" s="963"/>
      <c r="D19" s="960" t="s">
        <v>43</v>
      </c>
      <c r="E19" s="955" t="s">
        <v>1382</v>
      </c>
      <c r="F19" s="955">
        <v>6</v>
      </c>
      <c r="G19" s="955">
        <v>6</v>
      </c>
      <c r="H19" s="1280">
        <v>244511</v>
      </c>
      <c r="I19" s="1280">
        <v>244513</v>
      </c>
      <c r="J19" s="825"/>
      <c r="K19" s="825"/>
      <c r="L19" s="830"/>
      <c r="M19" s="812"/>
      <c r="N19" s="195">
        <v>0</v>
      </c>
      <c r="O19" s="195">
        <v>0</v>
      </c>
      <c r="P19" s="195">
        <v>0</v>
      </c>
      <c r="Q19" s="980">
        <f>ROUNDUP(((N19+O19+P19)/3)/G19*100%,2)</f>
        <v>0</v>
      </c>
      <c r="R19" s="981" t="s">
        <v>1383</v>
      </c>
      <c r="S19" s="195" t="str">
        <f t="shared" si="0"/>
        <v>Switch</v>
      </c>
      <c r="T19" s="495">
        <f t="shared" si="1"/>
        <v>244511</v>
      </c>
      <c r="U19" s="495">
        <f t="shared" si="2"/>
        <v>0</v>
      </c>
      <c r="V19" s="495">
        <f t="shared" si="3"/>
        <v>244513</v>
      </c>
    </row>
    <row r="20" spans="1:22" ht="18" customHeight="1">
      <c r="A20" s="1281" t="s">
        <v>637</v>
      </c>
      <c r="B20" s="963" t="s">
        <v>1698</v>
      </c>
      <c r="C20" s="963"/>
      <c r="D20" s="960" t="s">
        <v>43</v>
      </c>
      <c r="E20" s="955" t="s">
        <v>1382</v>
      </c>
      <c r="F20" s="955">
        <v>2</v>
      </c>
      <c r="G20" s="955">
        <v>2</v>
      </c>
      <c r="H20" s="1280">
        <v>244512</v>
      </c>
      <c r="I20" s="1280">
        <v>244514</v>
      </c>
      <c r="J20" s="825"/>
      <c r="K20" s="825"/>
      <c r="L20" s="830"/>
      <c r="M20" s="812"/>
      <c r="N20" s="195">
        <v>0</v>
      </c>
      <c r="O20" s="195">
        <v>0</v>
      </c>
      <c r="P20" s="195">
        <v>0</v>
      </c>
      <c r="Q20" s="980">
        <f>ROUNDUP(((N20+O20+P20)/3)/G20*100%,2)</f>
        <v>0</v>
      </c>
      <c r="R20" s="981" t="s">
        <v>1699</v>
      </c>
      <c r="S20" s="195" t="str">
        <f t="shared" si="0"/>
        <v>Switch</v>
      </c>
      <c r="T20" s="495">
        <f t="shared" si="1"/>
        <v>244512</v>
      </c>
      <c r="U20" s="495">
        <f t="shared" si="2"/>
        <v>0</v>
      </c>
      <c r="V20" s="495">
        <f t="shared" si="3"/>
        <v>244514</v>
      </c>
    </row>
    <row r="21" spans="1:22" ht="18" customHeight="1">
      <c r="A21" s="1282" t="s">
        <v>1700</v>
      </c>
      <c r="B21" s="963" t="s">
        <v>1701</v>
      </c>
      <c r="C21" s="963"/>
      <c r="D21" s="960" t="s">
        <v>39</v>
      </c>
      <c r="E21" s="955" t="s">
        <v>1386</v>
      </c>
      <c r="F21" s="955">
        <v>2</v>
      </c>
      <c r="G21" s="955">
        <v>2</v>
      </c>
      <c r="H21" s="1280">
        <v>244512</v>
      </c>
      <c r="I21" s="1280">
        <v>244514</v>
      </c>
      <c r="J21" s="825"/>
      <c r="K21" s="825"/>
      <c r="L21" s="830"/>
      <c r="M21" s="811"/>
      <c r="N21" s="195">
        <v>0</v>
      </c>
      <c r="O21" s="195">
        <v>0</v>
      </c>
      <c r="P21" s="195">
        <v>0</v>
      </c>
      <c r="Q21" s="980">
        <f>ROUNDUP(((N21+O21+P21)/3)/G21*100%,2)</f>
        <v>0</v>
      </c>
      <c r="R21" s="981" t="s">
        <v>1383</v>
      </c>
      <c r="S21" s="195" t="str">
        <f t="shared" si="0"/>
        <v>Switch</v>
      </c>
      <c r="T21" s="495">
        <f t="shared" si="1"/>
        <v>244512</v>
      </c>
      <c r="U21" s="495">
        <f t="shared" si="2"/>
        <v>0</v>
      </c>
      <c r="V21" s="495">
        <f t="shared" si="3"/>
        <v>244514</v>
      </c>
    </row>
    <row r="22" spans="1:22" ht="18" customHeight="1">
      <c r="A22" s="1282" t="s">
        <v>1700</v>
      </c>
      <c r="B22" s="963" t="s">
        <v>1701</v>
      </c>
      <c r="C22" s="963"/>
      <c r="D22" s="960" t="s">
        <v>43</v>
      </c>
      <c r="E22" s="955" t="s">
        <v>1382</v>
      </c>
      <c r="F22" s="955">
        <v>2</v>
      </c>
      <c r="G22" s="955">
        <v>2</v>
      </c>
      <c r="H22" s="1280">
        <v>244512</v>
      </c>
      <c r="I22" s="1280">
        <v>244514</v>
      </c>
      <c r="J22" s="825"/>
      <c r="K22" s="825"/>
      <c r="L22" s="830"/>
      <c r="M22" s="813"/>
      <c r="N22" s="195">
        <v>0</v>
      </c>
      <c r="O22" s="195">
        <v>0</v>
      </c>
      <c r="P22" s="195">
        <v>0</v>
      </c>
      <c r="Q22" s="980">
        <f>ROUNDUP(((N22+O22+P22)/3)/G22*100%,2)</f>
        <v>0</v>
      </c>
      <c r="R22" s="981" t="s">
        <v>1383</v>
      </c>
      <c r="S22" s="195" t="str">
        <f t="shared" si="0"/>
        <v>Switch</v>
      </c>
      <c r="T22" s="495">
        <f t="shared" si="1"/>
        <v>244512</v>
      </c>
      <c r="U22" s="495">
        <f t="shared" si="2"/>
        <v>0</v>
      </c>
      <c r="V22" s="495">
        <f t="shared" si="3"/>
        <v>244514</v>
      </c>
    </row>
    <row r="23" spans="1:22" ht="18" customHeight="1">
      <c r="A23" s="941" t="s">
        <v>1702</v>
      </c>
      <c r="B23" s="959" t="s">
        <v>1703</v>
      </c>
      <c r="C23" s="959"/>
      <c r="D23" s="960" t="s">
        <v>43</v>
      </c>
      <c r="E23" s="955" t="s">
        <v>1382</v>
      </c>
      <c r="F23" s="955">
        <v>1</v>
      </c>
      <c r="G23" s="955">
        <v>1</v>
      </c>
      <c r="H23" s="1280">
        <v>244515</v>
      </c>
      <c r="I23" s="1280">
        <v>244517</v>
      </c>
      <c r="J23" s="825"/>
      <c r="K23" s="825"/>
      <c r="L23" s="830"/>
      <c r="M23" s="813"/>
      <c r="N23" s="195">
        <v>0</v>
      </c>
      <c r="O23" s="195">
        <v>0</v>
      </c>
      <c r="P23" s="195">
        <v>0</v>
      </c>
      <c r="Q23" s="980">
        <f>ROUNDUP(((N23+O23+P23)/3)/G23*100%,2)</f>
        <v>0</v>
      </c>
      <c r="R23" s="981" t="s">
        <v>1704</v>
      </c>
      <c r="S23" s="195" t="str">
        <f t="shared" si="0"/>
        <v>Switch</v>
      </c>
      <c r="T23" s="495">
        <f t="shared" si="1"/>
        <v>244515</v>
      </c>
      <c r="U23" s="495">
        <f t="shared" si="2"/>
        <v>0</v>
      </c>
      <c r="V23" s="495">
        <f t="shared" si="3"/>
        <v>244517</v>
      </c>
    </row>
    <row r="24" spans="1:22" ht="21">
      <c r="A24" s="929" t="s">
        <v>1705</v>
      </c>
      <c r="B24" s="963" t="s">
        <v>38</v>
      </c>
      <c r="C24" s="963"/>
      <c r="D24" s="960" t="s">
        <v>43</v>
      </c>
      <c r="E24" s="955" t="s">
        <v>1382</v>
      </c>
      <c r="F24" s="955">
        <v>1</v>
      </c>
      <c r="G24" s="955">
        <v>1</v>
      </c>
      <c r="H24" s="1280">
        <v>244515</v>
      </c>
      <c r="I24" s="1280">
        <v>244517</v>
      </c>
      <c r="J24" s="825"/>
      <c r="K24" s="825"/>
      <c r="L24" s="830"/>
      <c r="M24" s="813"/>
      <c r="N24" s="195">
        <v>0</v>
      </c>
      <c r="O24" s="195">
        <v>0</v>
      </c>
      <c r="P24" s="195">
        <v>0</v>
      </c>
      <c r="Q24" s="980">
        <f>ROUNDUP(((N24+O24+P24)/3)/G24*100%,2)</f>
        <v>0</v>
      </c>
      <c r="R24" s="981" t="s">
        <v>1383</v>
      </c>
      <c r="S24" s="195" t="str">
        <f t="shared" si="0"/>
        <v>Switch</v>
      </c>
      <c r="T24" s="495">
        <f t="shared" si="1"/>
        <v>244515</v>
      </c>
      <c r="U24" s="495">
        <f t="shared" si="2"/>
        <v>0</v>
      </c>
      <c r="V24" s="495">
        <f t="shared" si="3"/>
        <v>244517</v>
      </c>
    </row>
    <row r="25" spans="1:22" ht="18" customHeight="1">
      <c r="A25" s="1282" t="s">
        <v>1706</v>
      </c>
      <c r="B25" s="963" t="s">
        <v>1707</v>
      </c>
      <c r="C25" s="963"/>
      <c r="D25" s="960" t="s">
        <v>39</v>
      </c>
      <c r="E25" s="955" t="s">
        <v>1386</v>
      </c>
      <c r="F25" s="955">
        <v>1</v>
      </c>
      <c r="G25" s="955">
        <v>1</v>
      </c>
      <c r="H25" s="1280">
        <v>244515</v>
      </c>
      <c r="I25" s="1280">
        <v>244517</v>
      </c>
      <c r="J25" s="825"/>
      <c r="K25" s="825"/>
      <c r="L25" s="830"/>
      <c r="M25" s="813"/>
      <c r="N25" s="195">
        <v>0</v>
      </c>
      <c r="O25" s="195">
        <v>0</v>
      </c>
      <c r="P25" s="195">
        <v>0</v>
      </c>
      <c r="Q25" s="980">
        <f>ROUNDUP(((N25+O25+P25)/3)/G25*100%,2)</f>
        <v>0</v>
      </c>
      <c r="R25" s="981" t="s">
        <v>1383</v>
      </c>
      <c r="S25" s="195" t="str">
        <f t="shared" si="0"/>
        <v>Switch</v>
      </c>
      <c r="T25" s="495">
        <f t="shared" si="1"/>
        <v>244515</v>
      </c>
      <c r="U25" s="495">
        <f t="shared" si="2"/>
        <v>0</v>
      </c>
      <c r="V25" s="495">
        <f t="shared" si="3"/>
        <v>244517</v>
      </c>
    </row>
    <row r="26" spans="1:22" ht="18" customHeight="1">
      <c r="A26" s="1282" t="s">
        <v>1706</v>
      </c>
      <c r="B26" s="963" t="s">
        <v>1707</v>
      </c>
      <c r="C26" s="963"/>
      <c r="D26" s="960" t="s">
        <v>43</v>
      </c>
      <c r="E26" s="955" t="s">
        <v>1382</v>
      </c>
      <c r="F26" s="955">
        <v>1</v>
      </c>
      <c r="G26" s="955">
        <v>1</v>
      </c>
      <c r="H26" s="1280">
        <v>244515</v>
      </c>
      <c r="I26" s="1280">
        <v>244517</v>
      </c>
      <c r="J26" s="825"/>
      <c r="K26" s="825"/>
      <c r="L26" s="830"/>
      <c r="M26" s="811"/>
      <c r="N26" s="195">
        <v>0</v>
      </c>
      <c r="O26" s="195">
        <v>0</v>
      </c>
      <c r="P26" s="195">
        <v>0</v>
      </c>
      <c r="Q26" s="980">
        <f>ROUNDUP(((N26+O26+P26)/3)/G26*100%,2)</f>
        <v>0</v>
      </c>
      <c r="R26" s="981" t="s">
        <v>1383</v>
      </c>
      <c r="S26" s="195" t="str">
        <f t="shared" si="0"/>
        <v>Switch</v>
      </c>
      <c r="T26" s="495">
        <f t="shared" si="1"/>
        <v>244515</v>
      </c>
      <c r="U26" s="495">
        <f t="shared" si="2"/>
        <v>0</v>
      </c>
      <c r="V26" s="495">
        <f t="shared" si="3"/>
        <v>244517</v>
      </c>
    </row>
    <row r="27" spans="1:22" ht="21">
      <c r="A27" s="929" t="s">
        <v>1708</v>
      </c>
      <c r="B27" s="963" t="s">
        <v>237</v>
      </c>
      <c r="C27" s="963"/>
      <c r="D27" s="960" t="s">
        <v>43</v>
      </c>
      <c r="E27" s="955" t="s">
        <v>1382</v>
      </c>
      <c r="F27" s="955">
        <v>1</v>
      </c>
      <c r="G27" s="955">
        <v>1</v>
      </c>
      <c r="H27" s="1280">
        <v>244515</v>
      </c>
      <c r="I27" s="1280">
        <v>244517</v>
      </c>
      <c r="J27" s="825"/>
      <c r="K27" s="825"/>
      <c r="L27" s="830"/>
      <c r="M27" s="811"/>
      <c r="N27" s="195">
        <v>0</v>
      </c>
      <c r="O27" s="195">
        <v>0</v>
      </c>
      <c r="P27" s="195">
        <v>0</v>
      </c>
      <c r="Q27" s="980">
        <f>ROUNDUP(((N27+O27+P27)/3)/G27*100%,2)</f>
        <v>0</v>
      </c>
      <c r="R27" s="981" t="s">
        <v>1709</v>
      </c>
      <c r="S27" s="195" t="str">
        <f t="shared" si="0"/>
        <v>Switch</v>
      </c>
      <c r="T27" s="495">
        <f t="shared" si="1"/>
        <v>244515</v>
      </c>
      <c r="U27" s="495">
        <f t="shared" si="2"/>
        <v>0</v>
      </c>
      <c r="V27" s="495">
        <f t="shared" si="3"/>
        <v>244517</v>
      </c>
    </row>
    <row r="28" spans="1:22" ht="21">
      <c r="A28" s="929" t="s">
        <v>1458</v>
      </c>
      <c r="B28" s="963" t="s">
        <v>1710</v>
      </c>
      <c r="C28" s="963"/>
      <c r="D28" s="960" t="s">
        <v>43</v>
      </c>
      <c r="E28" s="955" t="s">
        <v>1382</v>
      </c>
      <c r="F28" s="955">
        <v>1</v>
      </c>
      <c r="G28" s="955">
        <v>1</v>
      </c>
      <c r="H28" s="1280">
        <v>244516</v>
      </c>
      <c r="I28" s="1280">
        <v>244518</v>
      </c>
      <c r="J28" s="825"/>
      <c r="K28" s="825"/>
      <c r="L28" s="830"/>
      <c r="M28" s="812"/>
      <c r="N28" s="195">
        <v>0</v>
      </c>
      <c r="O28" s="195">
        <v>0</v>
      </c>
      <c r="P28" s="195">
        <v>0</v>
      </c>
      <c r="Q28" s="980">
        <f>ROUNDUP(((N28+O28+P28)/3)/G28*100%,2)</f>
        <v>0</v>
      </c>
      <c r="R28" s="981" t="s">
        <v>1383</v>
      </c>
      <c r="S28" s="195" t="str">
        <f t="shared" si="0"/>
        <v>Switch</v>
      </c>
      <c r="T28" s="495">
        <f t="shared" si="1"/>
        <v>244516</v>
      </c>
      <c r="U28" s="495">
        <f t="shared" si="2"/>
        <v>0</v>
      </c>
      <c r="V28" s="495">
        <f t="shared" si="3"/>
        <v>244518</v>
      </c>
    </row>
    <row r="29" spans="1:22" ht="21">
      <c r="A29" s="929" t="s">
        <v>1711</v>
      </c>
      <c r="B29" s="963" t="s">
        <v>1712</v>
      </c>
      <c r="C29" s="963"/>
      <c r="D29" s="960" t="s">
        <v>43</v>
      </c>
      <c r="E29" s="955" t="s">
        <v>1382</v>
      </c>
      <c r="F29" s="955">
        <v>1</v>
      </c>
      <c r="G29" s="955">
        <v>1</v>
      </c>
      <c r="H29" s="1280">
        <v>244516</v>
      </c>
      <c r="I29" s="1280">
        <v>244518</v>
      </c>
      <c r="J29" s="825"/>
      <c r="K29" s="825"/>
      <c r="L29" s="830"/>
      <c r="M29" s="812"/>
      <c r="N29" s="195">
        <v>0</v>
      </c>
      <c r="O29" s="195">
        <v>0</v>
      </c>
      <c r="P29" s="195">
        <v>0</v>
      </c>
      <c r="Q29" s="980">
        <f>ROUNDUP(((N29+O29+P29)/3)/G29*100%,2)</f>
        <v>0</v>
      </c>
      <c r="R29" s="981" t="s">
        <v>1383</v>
      </c>
      <c r="S29" s="195" t="str">
        <f t="shared" si="0"/>
        <v>Switch</v>
      </c>
      <c r="T29" s="495">
        <f t="shared" si="1"/>
        <v>244516</v>
      </c>
      <c r="U29" s="495">
        <f t="shared" si="2"/>
        <v>0</v>
      </c>
      <c r="V29" s="495">
        <f t="shared" si="3"/>
        <v>244518</v>
      </c>
    </row>
    <row r="30" spans="1:22" ht="21">
      <c r="A30" s="930" t="s">
        <v>1713</v>
      </c>
      <c r="B30" s="963" t="s">
        <v>38</v>
      </c>
      <c r="C30" s="963"/>
      <c r="D30" s="960" t="s">
        <v>43</v>
      </c>
      <c r="E30" s="955" t="s">
        <v>1382</v>
      </c>
      <c r="F30" s="955">
        <v>1</v>
      </c>
      <c r="G30" s="955">
        <v>1</v>
      </c>
      <c r="H30" s="1280">
        <v>244516</v>
      </c>
      <c r="I30" s="1280">
        <v>244518</v>
      </c>
      <c r="J30" s="825"/>
      <c r="K30" s="825"/>
      <c r="L30" s="830"/>
      <c r="M30" s="812"/>
      <c r="N30" s="195">
        <v>0</v>
      </c>
      <c r="O30" s="195">
        <v>0</v>
      </c>
      <c r="P30" s="195">
        <v>0</v>
      </c>
      <c r="Q30" s="980">
        <f>ROUNDUP(((N30+O30+P30)/3)/G30*100%,2)</f>
        <v>0</v>
      </c>
      <c r="R30" s="981" t="s">
        <v>1714</v>
      </c>
      <c r="S30" s="195" t="str">
        <f t="shared" si="0"/>
        <v>Switch</v>
      </c>
      <c r="T30" s="495">
        <f t="shared" si="1"/>
        <v>244516</v>
      </c>
      <c r="U30" s="495">
        <f t="shared" si="2"/>
        <v>0</v>
      </c>
      <c r="V30" s="495">
        <f t="shared" si="3"/>
        <v>244518</v>
      </c>
    </row>
    <row r="31" spans="1:22" ht="21">
      <c r="A31" s="929" t="s">
        <v>1715</v>
      </c>
      <c r="B31" s="963" t="s">
        <v>1381</v>
      </c>
      <c r="C31" s="963"/>
      <c r="D31" s="960" t="s">
        <v>43</v>
      </c>
      <c r="E31" s="955" t="s">
        <v>1382</v>
      </c>
      <c r="F31" s="955">
        <v>1</v>
      </c>
      <c r="G31" s="955">
        <v>1</v>
      </c>
      <c r="H31" s="1280">
        <v>244516</v>
      </c>
      <c r="I31" s="1280">
        <v>244518</v>
      </c>
      <c r="J31" s="825"/>
      <c r="K31" s="825"/>
      <c r="L31" s="830"/>
      <c r="M31" s="812"/>
      <c r="N31" s="195">
        <v>0</v>
      </c>
      <c r="O31" s="195">
        <v>0</v>
      </c>
      <c r="P31" s="195">
        <v>0</v>
      </c>
      <c r="Q31" s="980">
        <f>ROUNDUP(((N31+O31+P31)/3)/G31*100%,2)</f>
        <v>0</v>
      </c>
      <c r="R31" s="981" t="s">
        <v>1383</v>
      </c>
      <c r="S31" s="195" t="str">
        <f t="shared" si="0"/>
        <v>Switch</v>
      </c>
      <c r="T31" s="495">
        <f t="shared" si="1"/>
        <v>244516</v>
      </c>
      <c r="U31" s="495">
        <f t="shared" si="2"/>
        <v>0</v>
      </c>
      <c r="V31" s="495">
        <f t="shared" si="3"/>
        <v>244518</v>
      </c>
    </row>
    <row r="32" spans="1:22" ht="21">
      <c r="A32" s="929" t="s">
        <v>1716</v>
      </c>
      <c r="B32" s="963" t="s">
        <v>1717</v>
      </c>
      <c r="C32" s="963"/>
      <c r="D32" s="960" t="s">
        <v>43</v>
      </c>
      <c r="E32" s="955" t="s">
        <v>1382</v>
      </c>
      <c r="F32" s="955">
        <v>1</v>
      </c>
      <c r="G32" s="955">
        <v>1</v>
      </c>
      <c r="H32" s="1280">
        <v>244516</v>
      </c>
      <c r="I32" s="1280">
        <v>244518</v>
      </c>
      <c r="J32" s="825"/>
      <c r="K32" s="825"/>
      <c r="L32" s="830"/>
      <c r="M32" s="812"/>
      <c r="N32" s="195">
        <v>0</v>
      </c>
      <c r="O32" s="195">
        <v>0</v>
      </c>
      <c r="P32" s="195">
        <v>0</v>
      </c>
      <c r="Q32" s="980">
        <f>ROUNDUP(((N32+O32+P32)/3)/G32*100%,2)</f>
        <v>0</v>
      </c>
      <c r="R32" s="981" t="s">
        <v>1383</v>
      </c>
      <c r="S32" s="195" t="str">
        <f t="shared" si="0"/>
        <v>Switch</v>
      </c>
      <c r="T32" s="495">
        <f t="shared" si="1"/>
        <v>244516</v>
      </c>
      <c r="U32" s="495">
        <f t="shared" si="2"/>
        <v>0</v>
      </c>
      <c r="V32" s="495">
        <f t="shared" si="3"/>
        <v>244518</v>
      </c>
    </row>
    <row r="33" spans="1:22" ht="21">
      <c r="A33" s="929" t="s">
        <v>1708</v>
      </c>
      <c r="B33" s="963" t="s">
        <v>1718</v>
      </c>
      <c r="C33" s="963"/>
      <c r="D33" s="960" t="s">
        <v>43</v>
      </c>
      <c r="E33" s="955" t="s">
        <v>1382</v>
      </c>
      <c r="F33" s="955">
        <v>1</v>
      </c>
      <c r="G33" s="955">
        <v>1</v>
      </c>
      <c r="H33" s="1280">
        <v>244516</v>
      </c>
      <c r="I33" s="1280">
        <v>244518</v>
      </c>
      <c r="J33" s="825"/>
      <c r="K33" s="825"/>
      <c r="L33" s="830"/>
      <c r="M33" s="812"/>
      <c r="N33" s="195">
        <v>0</v>
      </c>
      <c r="O33" s="195">
        <v>0</v>
      </c>
      <c r="P33" s="195">
        <v>0</v>
      </c>
      <c r="Q33" s="980">
        <f>ROUNDUP(((N33+O33+P33)/3)/G33*100%,2)</f>
        <v>0</v>
      </c>
      <c r="R33" s="981" t="s">
        <v>1719</v>
      </c>
      <c r="S33" s="195" t="str">
        <f t="shared" si="0"/>
        <v>Switch</v>
      </c>
      <c r="T33" s="495">
        <f t="shared" si="1"/>
        <v>244516</v>
      </c>
      <c r="U33" s="495">
        <f t="shared" si="2"/>
        <v>0</v>
      </c>
      <c r="V33" s="495">
        <f t="shared" si="3"/>
        <v>244518</v>
      </c>
    </row>
  </sheetData>
  <phoneticPr fontId="72" type="noConversion"/>
  <conditionalFormatting sqref="L2:L33">
    <cfRule type="containsText" dxfId="10" priority="1" operator="containsText" text="Pending">
      <formula>NOT(ISERROR(SEARCH("Pending",L2)))</formula>
    </cfRule>
    <cfRule type="containsText" dxfId="9" priority="2" operator="containsText" text="On Plan">
      <formula>NOT(ISERROR(SEARCH("On Plan",L2)))</formula>
    </cfRule>
    <cfRule type="containsText" dxfId="8" priority="3" operator="containsText" text="Success">
      <formula>NOT(ISERROR(SEARCH("Success",L2)))</formula>
    </cfRule>
  </conditionalFormatting>
  <pageMargins left="0.7" right="0.7" top="0.75" bottom="0.75" header="0.3" footer="0.3"/>
  <pageSetup paperSize="9" orientation="portrait" horizontalDpi="1200" verticalDpi="12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8E1-C955-4AD0-A20F-F169F60B0416}">
  <dimension ref="A1:L44"/>
  <sheetViews>
    <sheetView zoomScale="80" zoomScaleNormal="80" workbookViewId="0">
      <pane ySplit="1" topLeftCell="A2" activePane="bottomLeft" state="frozen"/>
      <selection pane="bottomLeft" activeCell="G22" sqref="G22"/>
    </sheetView>
  </sheetViews>
  <sheetFormatPr defaultColWidth="71.44140625" defaultRowHeight="21"/>
  <cols>
    <col min="1" max="1" width="33.88671875" style="66" customWidth="1"/>
    <col min="2" max="2" width="9" style="65" bestFit="1" customWidth="1"/>
    <col min="3" max="3" width="77.6640625" style="63" bestFit="1" customWidth="1"/>
    <col min="4" max="4" width="12.33203125" style="64" bestFit="1" customWidth="1"/>
    <col min="5" max="7" width="12.33203125" style="64" customWidth="1"/>
    <col min="8" max="8" width="14.109375" style="64" bestFit="1" customWidth="1"/>
    <col min="9" max="9" width="11.6640625" style="64" bestFit="1" customWidth="1"/>
    <col min="10" max="10" width="9.88671875" style="64" bestFit="1" customWidth="1"/>
    <col min="11" max="11" width="6.109375" style="64" bestFit="1" customWidth="1"/>
    <col min="12" max="12" width="22.33203125" style="64" customWidth="1"/>
    <col min="13" max="16384" width="71.44140625" style="62"/>
  </cols>
  <sheetData>
    <row r="1" spans="1:12">
      <c r="A1" s="384" t="s">
        <v>15</v>
      </c>
      <c r="B1" s="884" t="s">
        <v>17</v>
      </c>
      <c r="C1" s="912" t="s">
        <v>16</v>
      </c>
      <c r="D1" s="895" t="s">
        <v>152</v>
      </c>
      <c r="E1" s="895" t="s">
        <v>153</v>
      </c>
      <c r="F1" s="895" t="s">
        <v>154</v>
      </c>
      <c r="G1" s="895" t="s">
        <v>155</v>
      </c>
      <c r="H1" s="231" t="s">
        <v>26</v>
      </c>
      <c r="I1" s="231" t="s">
        <v>27</v>
      </c>
      <c r="J1" s="231" t="s">
        <v>28</v>
      </c>
      <c r="K1" s="914" t="s">
        <v>29</v>
      </c>
      <c r="L1" s="911" t="s">
        <v>30</v>
      </c>
    </row>
    <row r="2" spans="1:12">
      <c r="A2" s="903" t="s">
        <v>637</v>
      </c>
      <c r="B2" s="880">
        <v>1</v>
      </c>
      <c r="C2" s="73" t="s">
        <v>1723</v>
      </c>
      <c r="D2" s="880">
        <v>1</v>
      </c>
      <c r="E2" s="880">
        <v>1</v>
      </c>
      <c r="F2" s="880">
        <v>0</v>
      </c>
      <c r="G2" s="880"/>
      <c r="H2" s="8">
        <v>0</v>
      </c>
      <c r="I2" s="8">
        <v>0</v>
      </c>
      <c r="J2" s="8">
        <v>0</v>
      </c>
      <c r="K2" s="7">
        <f t="shared" ref="K2:K21" si="0">ROUNDUP(((H2+I2+J2)/3)/D2*100%,2)</f>
        <v>0</v>
      </c>
      <c r="L2" s="378"/>
    </row>
    <row r="3" spans="1:12">
      <c r="A3" s="903" t="s">
        <v>637</v>
      </c>
      <c r="B3" s="880">
        <v>1</v>
      </c>
      <c r="C3" s="73" t="s">
        <v>1724</v>
      </c>
      <c r="D3" s="880">
        <v>1</v>
      </c>
      <c r="E3" s="880">
        <v>1</v>
      </c>
      <c r="F3" s="880">
        <v>0</v>
      </c>
      <c r="G3" s="880"/>
      <c r="H3" s="8">
        <v>0</v>
      </c>
      <c r="I3" s="8">
        <v>0</v>
      </c>
      <c r="J3" s="8">
        <v>0</v>
      </c>
      <c r="K3" s="7">
        <f t="shared" si="0"/>
        <v>0</v>
      </c>
      <c r="L3" s="378"/>
    </row>
    <row r="4" spans="1:12">
      <c r="A4" s="903" t="s">
        <v>637</v>
      </c>
      <c r="B4" s="880">
        <v>1</v>
      </c>
      <c r="C4" s="73" t="s">
        <v>130</v>
      </c>
      <c r="D4" s="880">
        <v>1</v>
      </c>
      <c r="E4" s="880">
        <v>1</v>
      </c>
      <c r="F4" s="880">
        <v>0</v>
      </c>
      <c r="G4" s="880"/>
      <c r="H4" s="8">
        <v>0</v>
      </c>
      <c r="I4" s="8">
        <v>0</v>
      </c>
      <c r="J4" s="8">
        <v>0</v>
      </c>
      <c r="K4" s="7">
        <f t="shared" si="0"/>
        <v>0</v>
      </c>
      <c r="L4" s="378"/>
    </row>
    <row r="5" spans="1:12">
      <c r="A5" s="903" t="s">
        <v>637</v>
      </c>
      <c r="B5" s="880">
        <v>1</v>
      </c>
      <c r="C5" s="73" t="s">
        <v>1725</v>
      </c>
      <c r="D5" s="880">
        <v>1</v>
      </c>
      <c r="E5" s="880">
        <v>1</v>
      </c>
      <c r="F5" s="880">
        <v>0</v>
      </c>
      <c r="G5" s="880"/>
      <c r="H5" s="8">
        <v>0</v>
      </c>
      <c r="I5" s="8">
        <v>0</v>
      </c>
      <c r="J5" s="8">
        <v>0</v>
      </c>
      <c r="K5" s="7">
        <f t="shared" si="0"/>
        <v>0</v>
      </c>
      <c r="L5" s="378"/>
    </row>
    <row r="6" spans="1:12">
      <c r="A6" s="903" t="s">
        <v>637</v>
      </c>
      <c r="B6" s="879">
        <v>2</v>
      </c>
      <c r="C6" s="73" t="s">
        <v>1532</v>
      </c>
      <c r="D6" s="880">
        <v>2</v>
      </c>
      <c r="E6" s="880">
        <v>2</v>
      </c>
      <c r="F6" s="880">
        <v>0</v>
      </c>
      <c r="G6" s="880"/>
      <c r="H6" s="8">
        <v>0</v>
      </c>
      <c r="I6" s="8">
        <v>0</v>
      </c>
      <c r="J6" s="8">
        <v>0</v>
      </c>
      <c r="K6" s="7">
        <f t="shared" si="0"/>
        <v>0</v>
      </c>
      <c r="L6" s="378"/>
    </row>
    <row r="7" spans="1:12">
      <c r="A7" s="903" t="s">
        <v>637</v>
      </c>
      <c r="B7" s="879">
        <v>2</v>
      </c>
      <c r="C7" s="73" t="s">
        <v>1726</v>
      </c>
      <c r="D7" s="880">
        <v>2</v>
      </c>
      <c r="E7" s="880">
        <v>2</v>
      </c>
      <c r="F7" s="880">
        <v>0</v>
      </c>
      <c r="G7" s="880"/>
      <c r="H7" s="8">
        <v>0</v>
      </c>
      <c r="I7" s="8">
        <v>0</v>
      </c>
      <c r="J7" s="8">
        <v>0</v>
      </c>
      <c r="K7" s="7">
        <f t="shared" si="0"/>
        <v>0</v>
      </c>
      <c r="L7" s="378"/>
    </row>
    <row r="8" spans="1:12">
      <c r="A8" s="903" t="s">
        <v>637</v>
      </c>
      <c r="B8" s="879">
        <v>2</v>
      </c>
      <c r="C8" s="73" t="s">
        <v>1727</v>
      </c>
      <c r="D8" s="880">
        <v>1</v>
      </c>
      <c r="E8" s="880">
        <v>1</v>
      </c>
      <c r="F8" s="880">
        <v>0</v>
      </c>
      <c r="G8" s="880"/>
      <c r="H8" s="8">
        <v>0</v>
      </c>
      <c r="I8" s="8">
        <v>0</v>
      </c>
      <c r="J8" s="8">
        <v>0</v>
      </c>
      <c r="K8" s="7">
        <f t="shared" si="0"/>
        <v>0</v>
      </c>
      <c r="L8" s="378"/>
    </row>
    <row r="9" spans="1:12">
      <c r="A9" s="903" t="s">
        <v>637</v>
      </c>
      <c r="B9" s="879">
        <v>2</v>
      </c>
      <c r="C9" s="73" t="s">
        <v>1531</v>
      </c>
      <c r="D9" s="880">
        <v>1</v>
      </c>
      <c r="E9" s="880">
        <v>1</v>
      </c>
      <c r="F9" s="880">
        <v>0</v>
      </c>
      <c r="G9" s="880"/>
      <c r="H9" s="8">
        <v>0</v>
      </c>
      <c r="I9" s="8">
        <v>0</v>
      </c>
      <c r="J9" s="8">
        <v>0</v>
      </c>
      <c r="K9" s="7">
        <f t="shared" si="0"/>
        <v>0</v>
      </c>
      <c r="L9" s="378"/>
    </row>
    <row r="10" spans="1:12">
      <c r="A10" s="903" t="s">
        <v>637</v>
      </c>
      <c r="B10" s="879">
        <v>2</v>
      </c>
      <c r="C10" s="73" t="s">
        <v>1728</v>
      </c>
      <c r="D10" s="880">
        <v>1</v>
      </c>
      <c r="E10" s="880">
        <v>1</v>
      </c>
      <c r="F10" s="880">
        <v>0</v>
      </c>
      <c r="G10" s="880"/>
      <c r="H10" s="8">
        <v>0</v>
      </c>
      <c r="I10" s="8">
        <v>0</v>
      </c>
      <c r="J10" s="8">
        <v>0</v>
      </c>
      <c r="K10" s="7">
        <f t="shared" si="0"/>
        <v>0</v>
      </c>
      <c r="L10" s="378"/>
    </row>
    <row r="11" spans="1:12">
      <c r="A11" s="903" t="s">
        <v>637</v>
      </c>
      <c r="B11" s="879">
        <v>2</v>
      </c>
      <c r="C11" s="73" t="s">
        <v>1729</v>
      </c>
      <c r="D11" s="880">
        <v>2</v>
      </c>
      <c r="E11" s="880">
        <v>2</v>
      </c>
      <c r="F11" s="880">
        <v>0</v>
      </c>
      <c r="G11" s="880"/>
      <c r="H11" s="8">
        <v>0</v>
      </c>
      <c r="I11" s="8">
        <v>0</v>
      </c>
      <c r="J11" s="8">
        <v>0</v>
      </c>
      <c r="K11" s="7">
        <f t="shared" si="0"/>
        <v>0</v>
      </c>
      <c r="L11" s="378"/>
    </row>
    <row r="12" spans="1:12">
      <c r="A12" s="903" t="s">
        <v>637</v>
      </c>
      <c r="B12" s="879">
        <v>2</v>
      </c>
      <c r="C12" s="73" t="s">
        <v>1730</v>
      </c>
      <c r="D12" s="880">
        <v>1</v>
      </c>
      <c r="E12" s="880">
        <v>1</v>
      </c>
      <c r="F12" s="880">
        <v>0</v>
      </c>
      <c r="G12" s="880"/>
      <c r="H12" s="8">
        <v>0</v>
      </c>
      <c r="I12" s="8">
        <v>0</v>
      </c>
      <c r="J12" s="8">
        <v>0</v>
      </c>
      <c r="K12" s="7">
        <f t="shared" si="0"/>
        <v>0</v>
      </c>
      <c r="L12" s="378"/>
    </row>
    <row r="13" spans="1:12">
      <c r="A13" s="903" t="s">
        <v>637</v>
      </c>
      <c r="B13" s="879">
        <v>2</v>
      </c>
      <c r="C13" s="73" t="s">
        <v>1731</v>
      </c>
      <c r="D13" s="880">
        <v>7</v>
      </c>
      <c r="E13" s="880">
        <v>7</v>
      </c>
      <c r="F13" s="880">
        <v>0</v>
      </c>
      <c r="G13" s="880"/>
      <c r="H13" s="8">
        <v>0</v>
      </c>
      <c r="I13" s="8">
        <v>0</v>
      </c>
      <c r="J13" s="8">
        <v>0</v>
      </c>
      <c r="K13" s="7">
        <f t="shared" si="0"/>
        <v>0</v>
      </c>
      <c r="L13" s="378"/>
    </row>
    <row r="14" spans="1:12">
      <c r="A14" s="903" t="s">
        <v>637</v>
      </c>
      <c r="B14" s="879">
        <v>2</v>
      </c>
      <c r="C14" s="73" t="s">
        <v>1732</v>
      </c>
      <c r="D14" s="880">
        <v>1</v>
      </c>
      <c r="E14" s="880">
        <v>1</v>
      </c>
      <c r="F14" s="880">
        <v>0</v>
      </c>
      <c r="G14" s="880"/>
      <c r="H14" s="8">
        <v>0</v>
      </c>
      <c r="I14" s="8">
        <v>0</v>
      </c>
      <c r="J14" s="8">
        <v>0</v>
      </c>
      <c r="K14" s="7">
        <f t="shared" si="0"/>
        <v>0</v>
      </c>
      <c r="L14" s="378"/>
    </row>
    <row r="15" spans="1:12">
      <c r="A15" s="903" t="s">
        <v>1733</v>
      </c>
      <c r="B15" s="880">
        <v>1</v>
      </c>
      <c r="C15" s="73" t="s">
        <v>1734</v>
      </c>
      <c r="D15" s="880">
        <v>1</v>
      </c>
      <c r="E15" s="880">
        <v>1</v>
      </c>
      <c r="F15" s="880">
        <v>0</v>
      </c>
      <c r="G15" s="880"/>
      <c r="H15" s="8">
        <v>0</v>
      </c>
      <c r="I15" s="8">
        <v>0</v>
      </c>
      <c r="J15" s="8">
        <v>0</v>
      </c>
      <c r="K15" s="7">
        <f t="shared" si="0"/>
        <v>0</v>
      </c>
      <c r="L15" s="378"/>
    </row>
    <row r="16" spans="1:12">
      <c r="A16" s="903" t="s">
        <v>1733</v>
      </c>
      <c r="B16" s="880">
        <v>1</v>
      </c>
      <c r="C16" s="73" t="s">
        <v>1735</v>
      </c>
      <c r="D16" s="880">
        <v>2</v>
      </c>
      <c r="E16" s="880">
        <v>2</v>
      </c>
      <c r="F16" s="880">
        <v>0</v>
      </c>
      <c r="G16" s="880"/>
      <c r="H16" s="8">
        <v>0</v>
      </c>
      <c r="I16" s="8">
        <v>0</v>
      </c>
      <c r="J16" s="8">
        <v>0</v>
      </c>
      <c r="K16" s="7">
        <f t="shared" si="0"/>
        <v>0</v>
      </c>
      <c r="L16" s="378"/>
    </row>
    <row r="17" spans="1:12">
      <c r="A17" s="903" t="s">
        <v>1736</v>
      </c>
      <c r="B17" s="8">
        <v>2</v>
      </c>
      <c r="C17" s="67" t="s">
        <v>130</v>
      </c>
      <c r="D17" s="880">
        <v>1</v>
      </c>
      <c r="E17" s="880">
        <v>1</v>
      </c>
      <c r="F17" s="880">
        <v>0</v>
      </c>
      <c r="G17" s="880"/>
      <c r="H17" s="8">
        <v>0</v>
      </c>
      <c r="I17" s="8">
        <v>0</v>
      </c>
      <c r="J17" s="8">
        <v>0</v>
      </c>
      <c r="K17" s="7">
        <f t="shared" si="0"/>
        <v>0</v>
      </c>
      <c r="L17" s="378"/>
    </row>
    <row r="18" spans="1:12">
      <c r="A18" s="903" t="s">
        <v>1737</v>
      </c>
      <c r="B18" s="880">
        <v>1</v>
      </c>
      <c r="C18" s="73" t="s">
        <v>237</v>
      </c>
      <c r="D18" s="880">
        <v>1</v>
      </c>
      <c r="E18" s="880">
        <v>1</v>
      </c>
      <c r="F18" s="880">
        <v>0</v>
      </c>
      <c r="G18" s="880"/>
      <c r="H18" s="8">
        <v>0</v>
      </c>
      <c r="I18" s="8">
        <v>0</v>
      </c>
      <c r="J18" s="8">
        <v>0</v>
      </c>
      <c r="K18" s="7">
        <f t="shared" si="0"/>
        <v>0</v>
      </c>
      <c r="L18" s="378"/>
    </row>
    <row r="19" spans="1:12">
      <c r="A19" s="903" t="s">
        <v>1737</v>
      </c>
      <c r="B19" s="880">
        <v>1</v>
      </c>
      <c r="C19" s="407" t="s">
        <v>1738</v>
      </c>
      <c r="D19" s="880">
        <v>1</v>
      </c>
      <c r="E19" s="880">
        <v>1</v>
      </c>
      <c r="F19" s="880">
        <v>0</v>
      </c>
      <c r="G19" s="880"/>
      <c r="H19" s="8">
        <v>0</v>
      </c>
      <c r="I19" s="8">
        <v>0</v>
      </c>
      <c r="J19" s="8">
        <v>0</v>
      </c>
      <c r="K19" s="7">
        <f t="shared" si="0"/>
        <v>0</v>
      </c>
      <c r="L19" s="378"/>
    </row>
    <row r="20" spans="1:12">
      <c r="A20" s="903" t="s">
        <v>1737</v>
      </c>
      <c r="B20" s="880">
        <v>1</v>
      </c>
      <c r="C20" s="407" t="s">
        <v>1739</v>
      </c>
      <c r="D20" s="880">
        <v>1</v>
      </c>
      <c r="E20" s="880">
        <v>1</v>
      </c>
      <c r="F20" s="880">
        <v>0</v>
      </c>
      <c r="G20" s="880"/>
      <c r="H20" s="8">
        <v>0</v>
      </c>
      <c r="I20" s="8">
        <v>0</v>
      </c>
      <c r="J20" s="8">
        <v>0</v>
      </c>
      <c r="K20" s="7">
        <f t="shared" si="0"/>
        <v>0</v>
      </c>
      <c r="L20" s="378"/>
    </row>
    <row r="21" spans="1:12">
      <c r="A21" s="903" t="s">
        <v>1737</v>
      </c>
      <c r="B21" s="880">
        <v>1</v>
      </c>
      <c r="C21" s="407" t="s">
        <v>1718</v>
      </c>
      <c r="D21" s="880">
        <v>1</v>
      </c>
      <c r="E21" s="880">
        <v>1</v>
      </c>
      <c r="F21" s="880">
        <v>0</v>
      </c>
      <c r="G21" s="880"/>
      <c r="H21" s="8">
        <v>0</v>
      </c>
      <c r="I21" s="8">
        <v>0</v>
      </c>
      <c r="J21" s="8">
        <v>0</v>
      </c>
      <c r="K21" s="7">
        <f t="shared" si="0"/>
        <v>0</v>
      </c>
      <c r="L21" s="378"/>
    </row>
    <row r="22" spans="1:12">
      <c r="A22" s="381"/>
      <c r="B22" s="382"/>
      <c r="C22" s="383" t="s">
        <v>259</v>
      </c>
      <c r="D22" s="68">
        <f>SUM(D2:D21)</f>
        <v>30</v>
      </c>
      <c r="E22" s="68">
        <f>SUM(E2:E21)</f>
        <v>30</v>
      </c>
      <c r="F22" s="68">
        <f>SUM(F2:F21)</f>
        <v>0</v>
      </c>
      <c r="G22" s="68">
        <f>SUMIF(G2:G21,"Done",F2:F21)</f>
        <v>0</v>
      </c>
      <c r="H22" s="68">
        <f>SUM(H2:H21)</f>
        <v>0</v>
      </c>
      <c r="I22" s="68">
        <f>SUM(I2:I21)</f>
        <v>0</v>
      </c>
      <c r="J22" s="68">
        <f>SUM(J2:J21)</f>
        <v>0</v>
      </c>
      <c r="K22" s="68"/>
      <c r="L22" s="6"/>
    </row>
    <row r="23" spans="1:12">
      <c r="A23" s="381"/>
      <c r="B23" s="382"/>
      <c r="C23" s="69" t="s">
        <v>260</v>
      </c>
      <c r="D23" s="70"/>
      <c r="E23" s="70"/>
      <c r="F23" s="70"/>
      <c r="G23" s="70"/>
      <c r="H23" s="71">
        <f>H22/D22</f>
        <v>0</v>
      </c>
      <c r="I23" s="71">
        <f>I22/D22</f>
        <v>0</v>
      </c>
      <c r="J23" s="71">
        <f>J22/D22</f>
        <v>0</v>
      </c>
      <c r="K23" s="72">
        <f>ROUNDUP(AVERAGE(K2:K21),2)</f>
        <v>0</v>
      </c>
      <c r="L23" s="6"/>
    </row>
    <row r="24" spans="1:12">
      <c r="A24" s="381"/>
      <c r="B24" s="382"/>
      <c r="C24" s="396"/>
      <c r="D24" s="6"/>
      <c r="E24" s="6"/>
      <c r="F24" s="6"/>
      <c r="G24" s="70"/>
      <c r="H24" s="6"/>
      <c r="I24" s="6"/>
      <c r="J24" s="6"/>
      <c r="K24" s="6"/>
      <c r="L24" s="6"/>
    </row>
    <row r="25" spans="1:12">
      <c r="A25" s="381"/>
      <c r="B25" s="382"/>
      <c r="C25" s="396"/>
      <c r="D25" s="6"/>
      <c r="E25" s="6"/>
      <c r="F25" s="6"/>
      <c r="G25" s="70"/>
      <c r="H25" s="6"/>
      <c r="I25" s="6"/>
      <c r="J25" s="6"/>
      <c r="K25" s="6"/>
      <c r="L25" s="6"/>
    </row>
    <row r="26" spans="1:12">
      <c r="A26" s="381"/>
      <c r="B26" s="382"/>
      <c r="C26" s="396"/>
      <c r="D26" s="6"/>
      <c r="E26" s="6"/>
      <c r="F26" s="6"/>
      <c r="G26" s="70"/>
      <c r="H26" s="6"/>
      <c r="I26" s="6"/>
      <c r="J26" s="6"/>
      <c r="K26" s="6"/>
      <c r="L26" s="6"/>
    </row>
    <row r="27" spans="1:12">
      <c r="A27" s="381"/>
      <c r="B27" s="382"/>
      <c r="C27" s="396"/>
      <c r="D27" s="6"/>
      <c r="E27" s="6"/>
      <c r="F27" s="6"/>
      <c r="G27" s="70"/>
      <c r="H27" s="6"/>
      <c r="I27" s="6"/>
      <c r="J27" s="6"/>
      <c r="K27" s="6"/>
      <c r="L27" s="6"/>
    </row>
    <row r="28" spans="1:12">
      <c r="A28" s="381"/>
      <c r="B28" s="382"/>
      <c r="C28" s="396"/>
      <c r="D28" s="6"/>
      <c r="E28" s="6"/>
      <c r="F28" s="6"/>
      <c r="G28" s="70"/>
      <c r="H28" s="6"/>
      <c r="I28" s="6"/>
      <c r="J28" s="6"/>
      <c r="K28" s="6"/>
      <c r="L28" s="6"/>
    </row>
    <row r="29" spans="1:12">
      <c r="A29" s="381"/>
      <c r="B29" s="382"/>
      <c r="C29" s="396"/>
      <c r="D29" s="6"/>
      <c r="E29" s="6"/>
      <c r="F29" s="6"/>
      <c r="G29" s="70"/>
      <c r="H29" s="6"/>
      <c r="I29" s="6"/>
      <c r="J29" s="6"/>
      <c r="K29" s="6"/>
      <c r="L29" s="6"/>
    </row>
    <row r="30" spans="1:12">
      <c r="A30" s="381"/>
      <c r="B30" s="382"/>
      <c r="C30" s="396"/>
      <c r="D30" s="6"/>
      <c r="E30" s="6"/>
      <c r="F30" s="6"/>
      <c r="G30" s="70"/>
      <c r="H30" s="6"/>
      <c r="I30" s="6"/>
      <c r="J30" s="6"/>
      <c r="K30" s="6"/>
      <c r="L30" s="6"/>
    </row>
    <row r="31" spans="1:12">
      <c r="A31" s="381"/>
      <c r="B31" s="382"/>
      <c r="C31" s="396"/>
      <c r="D31" s="6"/>
      <c r="E31" s="6"/>
      <c r="F31" s="6"/>
      <c r="G31" s="70"/>
      <c r="H31" s="6"/>
      <c r="I31" s="6"/>
      <c r="J31" s="6"/>
      <c r="K31" s="6"/>
      <c r="L31" s="6"/>
    </row>
    <row r="32" spans="1:12">
      <c r="A32" s="381"/>
      <c r="B32" s="382"/>
      <c r="C32" s="396"/>
      <c r="D32" s="6"/>
      <c r="E32" s="6"/>
      <c r="F32" s="6"/>
      <c r="G32" s="70"/>
      <c r="H32" s="6"/>
      <c r="I32" s="6"/>
      <c r="J32" s="6"/>
      <c r="K32" s="6"/>
      <c r="L32" s="6"/>
    </row>
    <row r="33" spans="2:7">
      <c r="B33" s="382"/>
      <c r="C33" s="396"/>
      <c r="D33" s="6"/>
      <c r="E33" s="6"/>
      <c r="F33" s="6"/>
      <c r="G33" s="70"/>
    </row>
    <row r="34" spans="2:7">
      <c r="B34" s="382"/>
      <c r="C34" s="396"/>
      <c r="D34" s="6"/>
      <c r="E34" s="6"/>
      <c r="F34" s="6"/>
      <c r="G34" s="70"/>
    </row>
    <row r="35" spans="2:7">
      <c r="B35" s="382"/>
      <c r="C35" s="396"/>
      <c r="D35" s="6"/>
      <c r="E35" s="6"/>
      <c r="F35" s="6"/>
      <c r="G35" s="70"/>
    </row>
    <row r="36" spans="2:7">
      <c r="B36" s="382"/>
      <c r="C36" s="396"/>
      <c r="D36" s="6"/>
      <c r="E36" s="6"/>
      <c r="F36" s="6"/>
      <c r="G36" s="70"/>
    </row>
    <row r="37" spans="2:7">
      <c r="B37" s="382"/>
      <c r="C37" s="396"/>
      <c r="D37" s="6"/>
      <c r="E37" s="6"/>
      <c r="F37" s="6"/>
      <c r="G37" s="70"/>
    </row>
    <row r="38" spans="2:7">
      <c r="B38" s="382"/>
      <c r="C38" s="396"/>
      <c r="D38" s="6"/>
      <c r="E38" s="6"/>
      <c r="F38" s="6"/>
      <c r="G38" s="70"/>
    </row>
    <row r="39" spans="2:7">
      <c r="B39" s="382"/>
      <c r="C39" s="396"/>
      <c r="D39" s="6"/>
      <c r="E39" s="6"/>
      <c r="F39" s="6"/>
      <c r="G39" s="70"/>
    </row>
    <row r="40" spans="2:7">
      <c r="B40" s="382"/>
      <c r="C40" s="396"/>
      <c r="D40" s="6"/>
      <c r="E40" s="6"/>
      <c r="F40" s="6"/>
      <c r="G40" s="70"/>
    </row>
    <row r="41" spans="2:7">
      <c r="B41" s="382"/>
      <c r="C41" s="396"/>
      <c r="D41" s="6"/>
      <c r="E41" s="6"/>
      <c r="F41" s="6"/>
      <c r="G41" s="70"/>
    </row>
    <row r="42" spans="2:7">
      <c r="B42" s="382"/>
      <c r="C42" s="396"/>
      <c r="D42" s="6"/>
      <c r="E42" s="6"/>
      <c r="F42" s="6"/>
      <c r="G42" s="70"/>
    </row>
    <row r="43" spans="2:7">
      <c r="B43" s="382"/>
      <c r="C43" s="396"/>
      <c r="D43" s="6"/>
      <c r="E43" s="6"/>
      <c r="F43" s="6"/>
      <c r="G43" s="70"/>
    </row>
    <row r="44" spans="2:7">
      <c r="B44" s="382"/>
      <c r="C44" s="396"/>
      <c r="D44" s="6"/>
      <c r="E44" s="6"/>
      <c r="F44" s="6"/>
      <c r="G44" s="70"/>
    </row>
  </sheetData>
  <autoFilter ref="A1:D1" xr:uid="{EE30FD31-2E01-4AF4-9806-0C27F692DB33}"/>
  <conditionalFormatting sqref="G2:G21">
    <cfRule type="cellIs" dxfId="7" priority="1" operator="equal">
      <formula>"Done"</formula>
    </cfRule>
    <cfRule type="cellIs" dxfId="6" priority="2" operator="equal">
      <formula>"In Progress"</formula>
    </cfRule>
  </conditionalFormatting>
  <dataValidations count="1">
    <dataValidation type="list" allowBlank="1" showInputMessage="1" showErrorMessage="1" sqref="G2:G21 G23:G43" xr:uid="{B5349624-75DD-49AC-BAB5-2ED178B21C3B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22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CA75-A25A-46BF-92FF-FD38B49E78E5}">
  <sheetPr>
    <pageSetUpPr fitToPage="1"/>
  </sheetPr>
  <dimension ref="A1:P51"/>
  <sheetViews>
    <sheetView zoomScale="80" zoomScaleNormal="80" zoomScaleSheetLayoutView="80" workbookViewId="0">
      <pane ySplit="1" topLeftCell="A14" activePane="bottomLeft" state="frozen"/>
      <selection pane="bottomLeft" activeCell="O26" sqref="O26"/>
    </sheetView>
  </sheetViews>
  <sheetFormatPr defaultColWidth="10.88671875" defaultRowHeight="21"/>
  <cols>
    <col min="1" max="1" width="8.6640625" style="76" customWidth="1"/>
    <col min="2" max="2" width="57.33203125" style="76" customWidth="1"/>
    <col min="3" max="3" width="12.5546875" style="76" customWidth="1"/>
    <col min="4" max="4" width="40.109375" style="76" customWidth="1"/>
    <col min="5" max="5" width="17.5546875" style="76" customWidth="1"/>
    <col min="6" max="6" width="13.44140625" style="76" customWidth="1"/>
    <col min="7" max="7" width="12.88671875" style="76" hidden="1" customWidth="1"/>
    <col min="8" max="8" width="11.88671875" style="76" hidden="1" customWidth="1"/>
    <col min="9" max="9" width="18.109375" style="76" customWidth="1"/>
    <col min="10" max="10" width="16.33203125" style="76" customWidth="1"/>
    <col min="11" max="11" width="13.6640625" style="76" customWidth="1"/>
    <col min="12" max="12" width="20.44140625" style="76" customWidth="1"/>
    <col min="13" max="13" width="27.33203125" style="76" customWidth="1"/>
    <col min="14" max="14" width="15.5546875" style="76" customWidth="1"/>
    <col min="15" max="15" width="18.6640625" style="64" customWidth="1"/>
    <col min="16" max="16384" width="10.88671875" style="76"/>
  </cols>
  <sheetData>
    <row r="1" spans="1:15" s="80" customFormat="1" ht="42">
      <c r="A1" s="77" t="s">
        <v>261</v>
      </c>
      <c r="B1" s="78" t="s">
        <v>15</v>
      </c>
      <c r="C1" s="78" t="s">
        <v>17</v>
      </c>
      <c r="D1" s="78" t="s">
        <v>262</v>
      </c>
      <c r="E1" s="78" t="s">
        <v>263</v>
      </c>
      <c r="F1" s="79" t="s">
        <v>264</v>
      </c>
      <c r="G1" s="79" t="s">
        <v>265</v>
      </c>
      <c r="H1" s="79" t="s">
        <v>266</v>
      </c>
      <c r="I1" s="79" t="s">
        <v>267</v>
      </c>
      <c r="J1" s="79" t="s">
        <v>268</v>
      </c>
      <c r="K1" s="79" t="s">
        <v>269</v>
      </c>
      <c r="L1" s="79" t="s">
        <v>270</v>
      </c>
      <c r="M1" s="79" t="s">
        <v>271</v>
      </c>
      <c r="N1" s="79" t="s">
        <v>272</v>
      </c>
      <c r="O1" s="103" t="s">
        <v>273</v>
      </c>
    </row>
    <row r="2" spans="1:15" s="86" customFormat="1">
      <c r="A2" s="81" t="s">
        <v>11</v>
      </c>
      <c r="B2" s="114" t="s">
        <v>637</v>
      </c>
      <c r="C2" s="174">
        <v>2</v>
      </c>
      <c r="D2" s="411" t="s">
        <v>1740</v>
      </c>
      <c r="E2" s="84" t="s">
        <v>41</v>
      </c>
      <c r="F2" s="85" t="b">
        <v>0</v>
      </c>
      <c r="G2" s="85" t="b">
        <v>0</v>
      </c>
      <c r="H2" s="85" t="b">
        <v>0</v>
      </c>
      <c r="I2" s="85" t="b">
        <v>1</v>
      </c>
      <c r="J2" s="85" t="b">
        <v>0</v>
      </c>
      <c r="K2" s="85" t="b">
        <v>0</v>
      </c>
      <c r="L2" s="85" t="b">
        <v>0</v>
      </c>
      <c r="M2" s="85" t="b">
        <v>0</v>
      </c>
      <c r="N2" s="85" t="b">
        <v>1</v>
      </c>
      <c r="O2" s="880" t="s">
        <v>158</v>
      </c>
    </row>
    <row r="3" spans="1:15" s="86" customFormat="1">
      <c r="A3" s="81" t="s">
        <v>11</v>
      </c>
      <c r="B3" s="116" t="s">
        <v>637</v>
      </c>
      <c r="C3" s="175">
        <v>2</v>
      </c>
      <c r="D3" s="124" t="s">
        <v>1741</v>
      </c>
      <c r="E3" s="84" t="s">
        <v>1742</v>
      </c>
      <c r="F3" s="85" t="b">
        <v>1</v>
      </c>
      <c r="G3" s="85" t="b">
        <v>0</v>
      </c>
      <c r="H3" s="85" t="b">
        <v>0</v>
      </c>
      <c r="I3" s="85" t="b">
        <v>0</v>
      </c>
      <c r="J3" s="85" t="b">
        <v>1</v>
      </c>
      <c r="K3" s="85" t="b">
        <v>0</v>
      </c>
      <c r="L3" s="85" t="b">
        <v>0</v>
      </c>
      <c r="M3" s="85" t="b">
        <v>1</v>
      </c>
      <c r="N3" s="85" t="b">
        <v>0</v>
      </c>
      <c r="O3" s="880" t="s">
        <v>158</v>
      </c>
    </row>
    <row r="4" spans="1:15" s="86" customFormat="1">
      <c r="A4" s="81" t="s">
        <v>11</v>
      </c>
      <c r="B4" s="116" t="s">
        <v>637</v>
      </c>
      <c r="C4" s="175">
        <v>1</v>
      </c>
      <c r="D4" s="269" t="s">
        <v>1743</v>
      </c>
      <c r="E4" s="84"/>
      <c r="F4" s="85" t="b">
        <v>0</v>
      </c>
      <c r="G4" s="85" t="b">
        <v>0</v>
      </c>
      <c r="H4" s="85" t="b">
        <v>0</v>
      </c>
      <c r="I4" s="85" t="b">
        <v>1</v>
      </c>
      <c r="J4" s="85" t="b">
        <v>0</v>
      </c>
      <c r="K4" s="85" t="b">
        <v>0</v>
      </c>
      <c r="L4" s="85" t="b">
        <v>0</v>
      </c>
      <c r="M4" s="85" t="b">
        <v>0</v>
      </c>
      <c r="N4" s="85" t="b">
        <v>0</v>
      </c>
      <c r="O4" s="880" t="s">
        <v>158</v>
      </c>
    </row>
    <row r="5" spans="1:15" s="86" customFormat="1">
      <c r="A5" s="81" t="s">
        <v>11</v>
      </c>
      <c r="B5" s="116" t="s">
        <v>637</v>
      </c>
      <c r="C5" s="175">
        <v>2</v>
      </c>
      <c r="D5" s="269" t="s">
        <v>1744</v>
      </c>
      <c r="E5" s="84" t="s">
        <v>1745</v>
      </c>
      <c r="F5" s="85" t="b">
        <v>0</v>
      </c>
      <c r="G5" s="85" t="b">
        <v>0</v>
      </c>
      <c r="H5" s="85" t="b">
        <v>0</v>
      </c>
      <c r="I5" s="85" t="b">
        <v>1</v>
      </c>
      <c r="J5" s="85" t="b">
        <v>0</v>
      </c>
      <c r="K5" s="85" t="b">
        <v>0</v>
      </c>
      <c r="L5" s="85" t="b">
        <v>0</v>
      </c>
      <c r="M5" s="85" t="b">
        <v>0</v>
      </c>
      <c r="N5" s="85" t="b">
        <v>0</v>
      </c>
      <c r="O5" s="880" t="s">
        <v>158</v>
      </c>
    </row>
    <row r="6" spans="1:15" s="86" customFormat="1">
      <c r="A6" s="81" t="s">
        <v>11</v>
      </c>
      <c r="B6" s="116" t="s">
        <v>637</v>
      </c>
      <c r="C6" s="175">
        <v>2</v>
      </c>
      <c r="D6" s="124" t="s">
        <v>1746</v>
      </c>
      <c r="E6" s="84" t="s">
        <v>1747</v>
      </c>
      <c r="F6" s="85" t="b">
        <v>0</v>
      </c>
      <c r="G6" s="85" t="b">
        <v>0</v>
      </c>
      <c r="H6" s="85" t="b">
        <v>0</v>
      </c>
      <c r="I6" s="85" t="b">
        <v>1</v>
      </c>
      <c r="J6" s="85" t="b">
        <v>1</v>
      </c>
      <c r="K6" s="85" t="b">
        <v>0</v>
      </c>
      <c r="L6" s="85" t="b">
        <v>0</v>
      </c>
      <c r="M6" s="85" t="b">
        <v>1</v>
      </c>
      <c r="N6" s="85" t="b">
        <v>0</v>
      </c>
      <c r="O6" s="880" t="s">
        <v>158</v>
      </c>
    </row>
    <row r="7" spans="1:15" s="105" customFormat="1" ht="36">
      <c r="A7" s="119" t="s">
        <v>11</v>
      </c>
      <c r="B7" s="275" t="s">
        <v>637</v>
      </c>
      <c r="C7" s="222">
        <v>2</v>
      </c>
      <c r="D7" s="317" t="s">
        <v>1748</v>
      </c>
      <c r="E7" s="221">
        <v>4</v>
      </c>
      <c r="F7" s="85" t="b">
        <v>0</v>
      </c>
      <c r="G7" s="85" t="b">
        <v>0</v>
      </c>
      <c r="H7" s="85" t="b">
        <v>0</v>
      </c>
      <c r="I7" s="85" t="b">
        <v>0</v>
      </c>
      <c r="J7" s="85" t="b">
        <v>1</v>
      </c>
      <c r="K7" s="85" t="b">
        <v>0</v>
      </c>
      <c r="L7" s="85" t="b">
        <v>0</v>
      </c>
      <c r="M7" s="85" t="b">
        <v>1</v>
      </c>
      <c r="N7" s="85" t="b">
        <v>0</v>
      </c>
      <c r="O7" s="880" t="s">
        <v>158</v>
      </c>
    </row>
    <row r="8" spans="1:15" s="86" customFormat="1">
      <c r="A8" s="81" t="s">
        <v>11</v>
      </c>
      <c r="B8" s="125" t="s">
        <v>1700</v>
      </c>
      <c r="C8" s="179">
        <v>1</v>
      </c>
      <c r="D8" s="124" t="s">
        <v>1701</v>
      </c>
      <c r="E8" s="84" t="s">
        <v>1749</v>
      </c>
      <c r="F8" s="85" t="b">
        <v>1</v>
      </c>
      <c r="G8" s="85" t="b">
        <v>0</v>
      </c>
      <c r="H8" s="85" t="b">
        <v>0</v>
      </c>
      <c r="I8" s="85" t="b">
        <v>0</v>
      </c>
      <c r="J8" s="85" t="b">
        <v>0</v>
      </c>
      <c r="K8" s="85" t="b">
        <v>0</v>
      </c>
      <c r="L8" s="85" t="b">
        <v>0</v>
      </c>
      <c r="M8" s="85" t="b">
        <v>0</v>
      </c>
      <c r="N8" s="85" t="b">
        <v>0</v>
      </c>
      <c r="O8" s="880" t="s">
        <v>158</v>
      </c>
    </row>
    <row r="9" spans="1:15" s="86" customFormat="1">
      <c r="A9" s="81" t="s">
        <v>11</v>
      </c>
      <c r="B9" s="270" t="s">
        <v>1750</v>
      </c>
      <c r="C9" s="179">
        <v>1</v>
      </c>
      <c r="D9" s="117" t="s">
        <v>1703</v>
      </c>
      <c r="E9" s="84" t="s">
        <v>1751</v>
      </c>
      <c r="F9" s="85" t="b">
        <v>1</v>
      </c>
      <c r="G9" s="85" t="b">
        <v>0</v>
      </c>
      <c r="H9" s="85" t="b">
        <v>0</v>
      </c>
      <c r="I9" s="85" t="b">
        <v>0</v>
      </c>
      <c r="J9" s="85" t="b">
        <v>0</v>
      </c>
      <c r="K9" s="85" t="b">
        <v>0</v>
      </c>
      <c r="L9" s="85" t="b">
        <v>0</v>
      </c>
      <c r="M9" s="85" t="b">
        <v>0</v>
      </c>
      <c r="N9" s="85" t="b">
        <v>0</v>
      </c>
      <c r="O9" s="880" t="s">
        <v>158</v>
      </c>
    </row>
    <row r="10" spans="1:15" s="86" customFormat="1">
      <c r="A10" s="81" t="s">
        <v>11</v>
      </c>
      <c r="B10" s="125" t="s">
        <v>1705</v>
      </c>
      <c r="C10" s="179">
        <v>1</v>
      </c>
      <c r="D10" s="124" t="s">
        <v>38</v>
      </c>
      <c r="E10" s="84" t="s">
        <v>1752</v>
      </c>
      <c r="F10" s="85" t="b">
        <v>1</v>
      </c>
      <c r="G10" s="85" t="b">
        <v>0</v>
      </c>
      <c r="H10" s="85" t="b">
        <v>0</v>
      </c>
      <c r="I10" s="85" t="b">
        <v>0</v>
      </c>
      <c r="J10" s="85" t="b">
        <v>1</v>
      </c>
      <c r="K10" s="85" t="b">
        <v>0</v>
      </c>
      <c r="L10" s="85" t="b">
        <v>0</v>
      </c>
      <c r="M10" s="85" t="b">
        <v>0</v>
      </c>
      <c r="N10" s="85" t="b">
        <v>0</v>
      </c>
      <c r="O10" s="880" t="s">
        <v>158</v>
      </c>
    </row>
    <row r="11" spans="1:15" s="86" customFormat="1">
      <c r="A11" s="81" t="s">
        <v>11</v>
      </c>
      <c r="B11" s="125" t="s">
        <v>1706</v>
      </c>
      <c r="C11" s="179">
        <v>2</v>
      </c>
      <c r="D11" s="124" t="s">
        <v>1707</v>
      </c>
      <c r="E11" s="84" t="s">
        <v>1753</v>
      </c>
      <c r="F11" s="85" t="b">
        <v>1</v>
      </c>
      <c r="G11" s="85" t="b">
        <v>0</v>
      </c>
      <c r="H11" s="85" t="b">
        <v>0</v>
      </c>
      <c r="I11" s="85" t="b">
        <v>0</v>
      </c>
      <c r="J11" s="85" t="b">
        <v>1</v>
      </c>
      <c r="K11" s="85" t="b">
        <v>0</v>
      </c>
      <c r="L11" s="85" t="b">
        <v>0</v>
      </c>
      <c r="M11" s="85" t="b">
        <v>0</v>
      </c>
      <c r="N11" s="85" t="b">
        <v>0</v>
      </c>
      <c r="O11" s="880" t="s">
        <v>158</v>
      </c>
    </row>
    <row r="12" spans="1:15" s="86" customFormat="1">
      <c r="A12" s="81" t="s">
        <v>11</v>
      </c>
      <c r="B12" s="276" t="s">
        <v>1754</v>
      </c>
      <c r="C12" s="279">
        <v>1</v>
      </c>
      <c r="D12" s="278" t="s">
        <v>237</v>
      </c>
      <c r="E12" s="84" t="s">
        <v>1755</v>
      </c>
      <c r="F12" s="85" t="b">
        <v>1</v>
      </c>
      <c r="G12" s="85" t="b">
        <v>0</v>
      </c>
      <c r="H12" s="85" t="b">
        <v>0</v>
      </c>
      <c r="I12" s="85" t="b">
        <v>0</v>
      </c>
      <c r="J12" s="85" t="b">
        <v>1</v>
      </c>
      <c r="K12" s="85" t="b">
        <v>0</v>
      </c>
      <c r="L12" s="85" t="b">
        <v>0</v>
      </c>
      <c r="M12" s="85" t="b">
        <v>0</v>
      </c>
      <c r="N12" s="85" t="b">
        <v>0</v>
      </c>
      <c r="O12" s="880" t="s">
        <v>158</v>
      </c>
    </row>
    <row r="13" spans="1:15" s="86" customFormat="1">
      <c r="A13" s="81" t="s">
        <v>11</v>
      </c>
      <c r="B13" s="125" t="s">
        <v>1458</v>
      </c>
      <c r="C13" s="179">
        <v>2</v>
      </c>
      <c r="D13" s="124" t="s">
        <v>1710</v>
      </c>
      <c r="E13" s="84">
        <v>14</v>
      </c>
      <c r="F13" s="85" t="b">
        <v>1</v>
      </c>
      <c r="G13" s="85" t="b">
        <v>0</v>
      </c>
      <c r="H13" s="85" t="b">
        <v>0</v>
      </c>
      <c r="I13" s="85" t="b">
        <v>0</v>
      </c>
      <c r="J13" s="85" t="b">
        <v>0</v>
      </c>
      <c r="K13" s="85" t="b">
        <v>0</v>
      </c>
      <c r="L13" s="85" t="b">
        <v>0</v>
      </c>
      <c r="M13" s="85" t="b">
        <v>0</v>
      </c>
      <c r="N13" s="85" t="b">
        <v>0</v>
      </c>
      <c r="O13" s="880" t="s">
        <v>158</v>
      </c>
    </row>
    <row r="14" spans="1:15" s="86" customFormat="1">
      <c r="A14" s="81" t="s">
        <v>11</v>
      </c>
      <c r="B14" s="125" t="s">
        <v>1711</v>
      </c>
      <c r="C14" s="179">
        <v>3</v>
      </c>
      <c r="D14" s="124" t="s">
        <v>1712</v>
      </c>
      <c r="E14" s="84">
        <v>11</v>
      </c>
      <c r="F14" s="85" t="b">
        <v>1</v>
      </c>
      <c r="G14" s="85" t="b">
        <v>0</v>
      </c>
      <c r="H14" s="85" t="b">
        <v>0</v>
      </c>
      <c r="I14" s="85" t="b">
        <v>0</v>
      </c>
      <c r="J14" s="85" t="b">
        <v>0</v>
      </c>
      <c r="K14" s="85" t="b">
        <v>0</v>
      </c>
      <c r="L14" s="85" t="b">
        <v>0</v>
      </c>
      <c r="M14" s="85" t="b">
        <v>0</v>
      </c>
      <c r="N14" s="85" t="b">
        <v>0</v>
      </c>
      <c r="O14" s="880" t="s">
        <v>158</v>
      </c>
    </row>
    <row r="15" spans="1:15" s="86" customFormat="1">
      <c r="A15" s="81" t="s">
        <v>11</v>
      </c>
      <c r="B15" s="146" t="s">
        <v>1756</v>
      </c>
      <c r="C15" s="179">
        <v>1</v>
      </c>
      <c r="D15" s="124" t="s">
        <v>38</v>
      </c>
      <c r="E15" s="84">
        <v>13</v>
      </c>
      <c r="F15" s="85" t="b">
        <v>1</v>
      </c>
      <c r="G15" s="85" t="b">
        <v>0</v>
      </c>
      <c r="H15" s="85" t="b">
        <v>0</v>
      </c>
      <c r="I15" s="85" t="b">
        <v>0</v>
      </c>
      <c r="J15" s="85" t="b">
        <v>0</v>
      </c>
      <c r="K15" s="85" t="b">
        <v>0</v>
      </c>
      <c r="L15" s="85" t="b">
        <v>0</v>
      </c>
      <c r="M15" s="85" t="b">
        <v>0</v>
      </c>
      <c r="N15" s="85" t="b">
        <v>0</v>
      </c>
      <c r="O15" s="880" t="s">
        <v>158</v>
      </c>
    </row>
    <row r="16" spans="1:15" s="86" customFormat="1">
      <c r="A16" s="81" t="s">
        <v>11</v>
      </c>
      <c r="B16" s="125" t="s">
        <v>1715</v>
      </c>
      <c r="C16" s="179">
        <v>1</v>
      </c>
      <c r="D16" s="124" t="s">
        <v>1381</v>
      </c>
      <c r="E16" s="84">
        <v>10</v>
      </c>
      <c r="F16" s="85" t="b">
        <v>1</v>
      </c>
      <c r="G16" s="85" t="b">
        <v>0</v>
      </c>
      <c r="H16" s="85" t="b">
        <v>0</v>
      </c>
      <c r="I16" s="85" t="b">
        <v>0</v>
      </c>
      <c r="J16" s="85" t="b">
        <v>0</v>
      </c>
      <c r="K16" s="85" t="b">
        <v>0</v>
      </c>
      <c r="L16" s="85" t="b">
        <v>0</v>
      </c>
      <c r="M16" s="85" t="b">
        <v>0</v>
      </c>
      <c r="N16" s="85" t="b">
        <v>0</v>
      </c>
      <c r="O16" s="880" t="s">
        <v>158</v>
      </c>
    </row>
    <row r="17" spans="1:16" s="86" customFormat="1">
      <c r="A17" s="81" t="s">
        <v>11</v>
      </c>
      <c r="B17" s="125" t="s">
        <v>1716</v>
      </c>
      <c r="C17" s="179">
        <v>1</v>
      </c>
      <c r="D17" s="124" t="s">
        <v>1717</v>
      </c>
      <c r="E17" s="84">
        <v>12</v>
      </c>
      <c r="F17" s="85" t="b">
        <v>1</v>
      </c>
      <c r="G17" s="85" t="b">
        <v>0</v>
      </c>
      <c r="H17" s="85" t="b">
        <v>0</v>
      </c>
      <c r="I17" s="85" t="b">
        <v>0</v>
      </c>
      <c r="J17" s="85" t="b">
        <v>0</v>
      </c>
      <c r="K17" s="85" t="b">
        <v>0</v>
      </c>
      <c r="L17" s="85" t="b">
        <v>0</v>
      </c>
      <c r="M17" s="85" t="b">
        <v>0</v>
      </c>
      <c r="N17" s="85" t="b">
        <v>0</v>
      </c>
      <c r="O17" s="880" t="s">
        <v>158</v>
      </c>
    </row>
    <row r="18" spans="1:16" s="86" customFormat="1">
      <c r="B18" s="86">
        <f>COUNTIF(Table224567[สถานที่],"*")</f>
        <v>16</v>
      </c>
      <c r="E18" s="87" t="s">
        <v>293</v>
      </c>
      <c r="F18" s="88">
        <f>(COUNTIF(F2:F17, TRUE))</f>
        <v>11</v>
      </c>
      <c r="G18" s="88">
        <f>COUNTIF(G2:G17, TRUE)</f>
        <v>0</v>
      </c>
      <c r="H18" s="88">
        <f>COUNTIF(H2:H17, TRUE)</f>
        <v>0</v>
      </c>
      <c r="I18" s="88">
        <f>(COUNTIF(I2:I17, TRUE))</f>
        <v>4</v>
      </c>
      <c r="J18" s="88">
        <f>(COUNTIF(J2:J17,TRUE))</f>
        <v>6</v>
      </c>
      <c r="K18" s="88">
        <f>COUNTIF(K2:K17, TRUE)</f>
        <v>0</v>
      </c>
      <c r="L18" s="88">
        <f>COUNTIF(L2:L17, TRUE)</f>
        <v>0</v>
      </c>
      <c r="M18" s="88">
        <f>COUNTIF(M2:M17, TRUE)</f>
        <v>3</v>
      </c>
      <c r="N18" s="88">
        <f>COUNTIF(N2:N17, TRUE)</f>
        <v>1</v>
      </c>
      <c r="O18" s="88">
        <f>COUNTIF(Table224567[Pregress],"Done")</f>
        <v>16</v>
      </c>
    </row>
    <row r="19" spans="1:16" s="86" customFormat="1">
      <c r="E19" s="89"/>
      <c r="F19" s="90"/>
      <c r="G19" s="90"/>
      <c r="H19" s="90"/>
      <c r="I19" s="90"/>
      <c r="J19" s="90"/>
      <c r="K19" s="90"/>
      <c r="L19" s="90"/>
      <c r="M19" s="90"/>
      <c r="N19" s="90"/>
    </row>
    <row r="20" spans="1:16" ht="23.4">
      <c r="A20" s="91"/>
      <c r="O20" s="86"/>
      <c r="P20" s="86"/>
    </row>
    <row r="21" spans="1:16">
      <c r="O21" s="86"/>
      <c r="P21" s="86"/>
    </row>
    <row r="22" spans="1:16">
      <c r="O22" s="86"/>
      <c r="P22" s="86"/>
    </row>
    <row r="23" spans="1:16">
      <c r="O23" s="86"/>
      <c r="P23" s="86"/>
    </row>
    <row r="24" spans="1:16">
      <c r="O24" s="86"/>
      <c r="P24" s="86"/>
    </row>
    <row r="25" spans="1:16">
      <c r="O25" s="86"/>
      <c r="P25" s="86"/>
    </row>
    <row r="26" spans="1:16">
      <c r="O26" s="86"/>
      <c r="P26" s="86"/>
    </row>
    <row r="27" spans="1:16">
      <c r="O27" s="86"/>
      <c r="P27" s="86"/>
    </row>
    <row r="28" spans="1:16">
      <c r="O28" s="86"/>
      <c r="P28" s="86"/>
    </row>
    <row r="29" spans="1:16">
      <c r="O29" s="86"/>
      <c r="P29" s="86"/>
    </row>
    <row r="30" spans="1:16">
      <c r="O30" s="86"/>
      <c r="P30" s="86"/>
    </row>
    <row r="31" spans="1:16">
      <c r="O31" s="86"/>
      <c r="P31" s="86"/>
    </row>
    <row r="32" spans="1:16">
      <c r="O32" s="86"/>
      <c r="P32" s="86"/>
    </row>
    <row r="33" spans="15:16">
      <c r="O33" s="86"/>
      <c r="P33" s="86"/>
    </row>
    <row r="34" spans="15:16">
      <c r="O34" s="86"/>
      <c r="P34" s="86"/>
    </row>
    <row r="35" spans="15:16">
      <c r="O35" s="86"/>
      <c r="P35" s="86"/>
    </row>
    <row r="36" spans="15:16">
      <c r="O36" s="86"/>
      <c r="P36" s="86"/>
    </row>
    <row r="37" spans="15:16">
      <c r="O37" s="86"/>
      <c r="P37" s="86"/>
    </row>
    <row r="38" spans="15:16">
      <c r="O38" s="86"/>
      <c r="P38" s="86"/>
    </row>
    <row r="39" spans="15:16">
      <c r="O39" s="86"/>
      <c r="P39" s="86"/>
    </row>
    <row r="40" spans="15:16">
      <c r="O40" s="86"/>
      <c r="P40" s="86"/>
    </row>
    <row r="41" spans="15:16">
      <c r="O41" s="86"/>
      <c r="P41" s="86"/>
    </row>
    <row r="42" spans="15:16">
      <c r="O42" s="86"/>
      <c r="P42" s="86"/>
    </row>
    <row r="43" spans="15:16">
      <c r="O43" s="86"/>
      <c r="P43" s="86"/>
    </row>
    <row r="44" spans="15:16">
      <c r="O44" s="86"/>
      <c r="P44" s="86"/>
    </row>
    <row r="45" spans="15:16">
      <c r="O45" s="86"/>
      <c r="P45" s="86"/>
    </row>
    <row r="46" spans="15:16">
      <c r="O46" s="86"/>
    </row>
    <row r="47" spans="15:16">
      <c r="O47" s="86"/>
    </row>
    <row r="48" spans="15:16">
      <c r="O48" s="86"/>
    </row>
    <row r="49" spans="15:15">
      <c r="O49" s="86"/>
    </row>
    <row r="50" spans="15:15">
      <c r="O50" s="86"/>
    </row>
    <row r="51" spans="15:15">
      <c r="O51" s="86"/>
    </row>
  </sheetData>
  <conditionalFormatting sqref="O2:O17">
    <cfRule type="cellIs" dxfId="5" priority="1" operator="equal">
      <formula>"Done"</formula>
    </cfRule>
    <cfRule type="cellIs" dxfId="4" priority="2" operator="equal">
      <formula>"In Progress"</formula>
    </cfRule>
  </conditionalFormatting>
  <dataValidations count="1">
    <dataValidation type="list" allowBlank="1" showInputMessage="1" showErrorMessage="1" sqref="O46:O49 O2:O17" xr:uid="{CDA66F14-0A52-4B1E-9243-D8B46D83C3D1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horizontalDpi="1200" verticalDpi="120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E10C-93A3-4182-BAAF-0B6C08B377F1}">
  <dimension ref="A1:M47"/>
  <sheetViews>
    <sheetView zoomScale="80" zoomScaleNormal="80" workbookViewId="0">
      <pane ySplit="1" topLeftCell="A35" activePane="bottomLeft" state="frozen"/>
      <selection pane="bottomLeft" activeCell="F47" sqref="F47:G47"/>
    </sheetView>
  </sheetViews>
  <sheetFormatPr defaultColWidth="8.88671875" defaultRowHeight="21.75" customHeight="1"/>
  <cols>
    <col min="1" max="1" width="55.44140625" style="931" customWidth="1"/>
    <col min="2" max="2" width="23.6640625" style="197" bestFit="1" customWidth="1"/>
    <col min="3" max="3" width="49.6640625" style="197" customWidth="1"/>
    <col min="4" max="4" width="25.5546875" style="197" customWidth="1"/>
    <col min="5" max="5" width="14.6640625" style="197" customWidth="1"/>
    <col min="6" max="6" width="23.44140625" style="197" customWidth="1"/>
    <col min="7" max="7" width="22.5546875" style="197" customWidth="1"/>
    <col min="8" max="8" width="13.6640625" style="197" bestFit="1" customWidth="1"/>
    <col min="9" max="9" width="11.5546875" style="197" bestFit="1" customWidth="1"/>
    <col min="10" max="10" width="14" style="197" customWidth="1"/>
    <col min="11" max="11" width="15" style="197" customWidth="1"/>
    <col min="12" max="12" width="13.6640625" style="197" hidden="1" customWidth="1"/>
    <col min="13" max="13" width="44.109375" style="197" customWidth="1"/>
    <col min="14" max="16384" width="8.88671875" style="214"/>
  </cols>
  <sheetData>
    <row r="1" spans="1:13" s="220" customFormat="1" ht="42">
      <c r="A1" s="932" t="s">
        <v>15</v>
      </c>
      <c r="B1" s="942" t="s">
        <v>16</v>
      </c>
      <c r="C1" s="943" t="s">
        <v>18</v>
      </c>
      <c r="D1" s="944" t="s">
        <v>1688</v>
      </c>
      <c r="E1" s="945" t="s">
        <v>152</v>
      </c>
      <c r="F1" s="946" t="s">
        <v>1689</v>
      </c>
      <c r="G1" s="946" t="s">
        <v>1757</v>
      </c>
      <c r="H1" s="947" t="s">
        <v>26</v>
      </c>
      <c r="I1" s="947" t="s">
        <v>27</v>
      </c>
      <c r="J1" s="947" t="s">
        <v>28</v>
      </c>
      <c r="K1" s="948" t="s">
        <v>29</v>
      </c>
      <c r="L1" s="949" t="s">
        <v>30</v>
      </c>
      <c r="M1" s="950" t="s">
        <v>30</v>
      </c>
    </row>
    <row r="2" spans="1:13" ht="21">
      <c r="A2" s="933" t="s">
        <v>1580</v>
      </c>
      <c r="B2" s="951" t="s">
        <v>237</v>
      </c>
      <c r="C2" s="952" t="s">
        <v>43</v>
      </c>
      <c r="D2" s="953" t="s">
        <v>1382</v>
      </c>
      <c r="E2" s="953">
        <v>2</v>
      </c>
      <c r="F2" s="954">
        <v>46195</v>
      </c>
      <c r="G2" s="954">
        <v>46197</v>
      </c>
      <c r="H2" s="955">
        <v>0</v>
      </c>
      <c r="I2" s="955">
        <v>0</v>
      </c>
      <c r="J2" s="955">
        <v>0</v>
      </c>
      <c r="K2" s="956">
        <v>0</v>
      </c>
      <c r="L2" s="957" t="s">
        <v>1383</v>
      </c>
      <c r="M2" s="958" t="s">
        <v>1383</v>
      </c>
    </row>
    <row r="3" spans="1:13" s="931" customFormat="1" ht="21">
      <c r="A3" s="934" t="s">
        <v>1758</v>
      </c>
      <c r="B3" s="959" t="s">
        <v>127</v>
      </c>
      <c r="C3" s="960" t="s">
        <v>39</v>
      </c>
      <c r="D3" s="955" t="s">
        <v>1386</v>
      </c>
      <c r="E3" s="955">
        <v>1</v>
      </c>
      <c r="F3" s="954">
        <v>46195</v>
      </c>
      <c r="G3" s="954">
        <v>46197</v>
      </c>
      <c r="H3" s="955">
        <v>0</v>
      </c>
      <c r="I3" s="955">
        <v>0</v>
      </c>
      <c r="J3" s="955">
        <v>0</v>
      </c>
      <c r="K3" s="955">
        <v>0</v>
      </c>
      <c r="L3" s="957" t="s">
        <v>1383</v>
      </c>
      <c r="M3" s="958" t="s">
        <v>1759</v>
      </c>
    </row>
    <row r="4" spans="1:13" ht="21">
      <c r="A4" s="930" t="s">
        <v>1580</v>
      </c>
      <c r="B4" s="959" t="s">
        <v>127</v>
      </c>
      <c r="C4" s="960" t="s">
        <v>39</v>
      </c>
      <c r="D4" s="955" t="s">
        <v>1386</v>
      </c>
      <c r="E4" s="955">
        <v>1</v>
      </c>
      <c r="F4" s="954">
        <v>46195</v>
      </c>
      <c r="G4" s="954">
        <v>46197</v>
      </c>
      <c r="H4" s="955">
        <v>0</v>
      </c>
      <c r="I4" s="955">
        <v>0</v>
      </c>
      <c r="J4" s="955">
        <v>0</v>
      </c>
      <c r="K4" s="956">
        <v>0</v>
      </c>
      <c r="L4" s="957" t="s">
        <v>1383</v>
      </c>
      <c r="M4" s="958" t="s">
        <v>1760</v>
      </c>
    </row>
    <row r="5" spans="1:13" ht="21">
      <c r="A5" s="930" t="s">
        <v>1761</v>
      </c>
      <c r="B5" s="959" t="s">
        <v>1762</v>
      </c>
      <c r="C5" s="960" t="s">
        <v>43</v>
      </c>
      <c r="D5" s="955" t="s">
        <v>1382</v>
      </c>
      <c r="E5" s="955">
        <v>1</v>
      </c>
      <c r="F5" s="954">
        <v>46195</v>
      </c>
      <c r="G5" s="954">
        <v>46197</v>
      </c>
      <c r="H5" s="955">
        <v>0</v>
      </c>
      <c r="I5" s="955">
        <v>0</v>
      </c>
      <c r="J5" s="955">
        <v>0</v>
      </c>
      <c r="K5" s="956">
        <v>0</v>
      </c>
      <c r="L5" s="957" t="s">
        <v>1383</v>
      </c>
      <c r="M5" s="958" t="s">
        <v>1763</v>
      </c>
    </row>
    <row r="6" spans="1:13" s="197" customFormat="1" ht="36">
      <c r="A6" s="930" t="s">
        <v>1764</v>
      </c>
      <c r="B6" s="961" t="s">
        <v>108</v>
      </c>
      <c r="C6" s="960" t="s">
        <v>43</v>
      </c>
      <c r="D6" s="955" t="s">
        <v>1382</v>
      </c>
      <c r="E6" s="955">
        <v>1</v>
      </c>
      <c r="F6" s="954">
        <v>46195</v>
      </c>
      <c r="G6" s="954">
        <v>46197</v>
      </c>
      <c r="H6" s="955">
        <v>0</v>
      </c>
      <c r="I6" s="955">
        <v>0</v>
      </c>
      <c r="J6" s="955">
        <v>0</v>
      </c>
      <c r="K6" s="956">
        <v>0</v>
      </c>
      <c r="L6" s="957" t="s">
        <v>1383</v>
      </c>
      <c r="M6" s="958" t="s">
        <v>1765</v>
      </c>
    </row>
    <row r="7" spans="1:13" ht="36">
      <c r="A7" s="930" t="s">
        <v>1766</v>
      </c>
      <c r="B7" s="962" t="s">
        <v>1767</v>
      </c>
      <c r="C7" s="960" t="s">
        <v>43</v>
      </c>
      <c r="D7" s="955" t="s">
        <v>1382</v>
      </c>
      <c r="E7" s="955">
        <v>1</v>
      </c>
      <c r="F7" s="954">
        <v>46195</v>
      </c>
      <c r="G7" s="954">
        <v>46197</v>
      </c>
      <c r="H7" s="955">
        <v>0</v>
      </c>
      <c r="I7" s="955">
        <v>0</v>
      </c>
      <c r="J7" s="955">
        <v>0</v>
      </c>
      <c r="K7" s="956">
        <v>0</v>
      </c>
      <c r="L7" s="957" t="s">
        <v>1383</v>
      </c>
      <c r="M7" s="958" t="s">
        <v>1768</v>
      </c>
    </row>
    <row r="8" spans="1:13" ht="21">
      <c r="A8" s="930" t="s">
        <v>1458</v>
      </c>
      <c r="B8" s="962" t="s">
        <v>1769</v>
      </c>
      <c r="C8" s="960" t="s">
        <v>43</v>
      </c>
      <c r="D8" s="955" t="s">
        <v>1382</v>
      </c>
      <c r="E8" s="955">
        <v>1</v>
      </c>
      <c r="F8" s="954">
        <v>46196</v>
      </c>
      <c r="G8" s="954">
        <v>46198</v>
      </c>
      <c r="H8" s="955">
        <v>0</v>
      </c>
      <c r="I8" s="955">
        <v>0</v>
      </c>
      <c r="J8" s="955">
        <v>0</v>
      </c>
      <c r="K8" s="956">
        <v>0</v>
      </c>
      <c r="L8" s="957" t="s">
        <v>1383</v>
      </c>
      <c r="M8" s="958" t="s">
        <v>1763</v>
      </c>
    </row>
    <row r="9" spans="1:13" s="931" customFormat="1" ht="36">
      <c r="A9" s="930" t="s">
        <v>1770</v>
      </c>
      <c r="B9" s="962" t="s">
        <v>1477</v>
      </c>
      <c r="C9" s="960" t="s">
        <v>43</v>
      </c>
      <c r="D9" s="955" t="s">
        <v>1382</v>
      </c>
      <c r="E9" s="955">
        <v>1</v>
      </c>
      <c r="F9" s="954">
        <v>46196</v>
      </c>
      <c r="G9" s="954">
        <v>46198</v>
      </c>
      <c r="H9" s="955">
        <v>0</v>
      </c>
      <c r="I9" s="955">
        <v>0</v>
      </c>
      <c r="J9" s="955">
        <v>0</v>
      </c>
      <c r="K9" s="956">
        <v>0</v>
      </c>
      <c r="L9" s="957" t="s">
        <v>1383</v>
      </c>
      <c r="M9" s="958" t="s">
        <v>1771</v>
      </c>
    </row>
    <row r="10" spans="1:13" ht="21">
      <c r="A10" s="930" t="s">
        <v>1772</v>
      </c>
      <c r="B10" s="959" t="s">
        <v>1773</v>
      </c>
      <c r="C10" s="960" t="s">
        <v>43</v>
      </c>
      <c r="D10" s="955" t="s">
        <v>1382</v>
      </c>
      <c r="E10" s="955">
        <v>2</v>
      </c>
      <c r="F10" s="954">
        <v>46197</v>
      </c>
      <c r="G10" s="954">
        <v>46199</v>
      </c>
      <c r="H10" s="955">
        <v>0</v>
      </c>
      <c r="I10" s="955">
        <v>0</v>
      </c>
      <c r="J10" s="955">
        <v>0</v>
      </c>
      <c r="K10" s="956">
        <v>0</v>
      </c>
      <c r="L10" s="957" t="s">
        <v>1383</v>
      </c>
      <c r="M10" s="958" t="s">
        <v>1383</v>
      </c>
    </row>
    <row r="11" spans="1:13" ht="21">
      <c r="A11" s="1008" t="s">
        <v>1772</v>
      </c>
      <c r="B11" s="1228" t="s">
        <v>1774</v>
      </c>
      <c r="C11" s="960" t="s">
        <v>39</v>
      </c>
      <c r="D11" s="955" t="s">
        <v>1386</v>
      </c>
      <c r="E11" s="955">
        <v>5</v>
      </c>
      <c r="F11" s="954">
        <v>46200</v>
      </c>
      <c r="G11" s="954">
        <v>46202</v>
      </c>
      <c r="H11" s="955">
        <v>5</v>
      </c>
      <c r="I11" s="955">
        <v>5</v>
      </c>
      <c r="J11" s="955">
        <v>0</v>
      </c>
      <c r="K11" s="956">
        <v>0.67</v>
      </c>
      <c r="L11" s="957" t="s">
        <v>1383</v>
      </c>
      <c r="M11" s="958" t="s">
        <v>1383</v>
      </c>
    </row>
    <row r="12" spans="1:13" ht="21">
      <c r="A12" s="1008"/>
      <c r="B12" s="1228"/>
      <c r="C12" s="960" t="s">
        <v>43</v>
      </c>
      <c r="D12" s="955" t="s">
        <v>1382</v>
      </c>
      <c r="E12" s="955">
        <v>5</v>
      </c>
      <c r="F12" s="954">
        <v>46200</v>
      </c>
      <c r="G12" s="954">
        <v>46202</v>
      </c>
      <c r="H12" s="955">
        <v>5</v>
      </c>
      <c r="I12" s="955">
        <v>5</v>
      </c>
      <c r="J12" s="955">
        <v>0</v>
      </c>
      <c r="K12" s="956">
        <v>0.67</v>
      </c>
      <c r="L12" s="957" t="s">
        <v>1383</v>
      </c>
      <c r="M12" s="958" t="s">
        <v>1383</v>
      </c>
    </row>
    <row r="13" spans="1:13" ht="36">
      <c r="A13" s="1008"/>
      <c r="B13" s="1228"/>
      <c r="C13" s="960" t="s">
        <v>1387</v>
      </c>
      <c r="D13" s="955" t="s">
        <v>1388</v>
      </c>
      <c r="E13" s="955">
        <v>2</v>
      </c>
      <c r="F13" s="954">
        <v>46200</v>
      </c>
      <c r="G13" s="954">
        <v>46202</v>
      </c>
      <c r="H13" s="955">
        <v>2</v>
      </c>
      <c r="I13" s="955">
        <v>2</v>
      </c>
      <c r="J13" s="955">
        <v>0</v>
      </c>
      <c r="K13" s="956">
        <v>0.67</v>
      </c>
      <c r="L13" s="957" t="s">
        <v>1383</v>
      </c>
      <c r="M13" s="958" t="s">
        <v>1383</v>
      </c>
    </row>
    <row r="14" spans="1:13" ht="36">
      <c r="A14" s="1008"/>
      <c r="B14" s="1228"/>
      <c r="C14" s="960" t="s">
        <v>53</v>
      </c>
      <c r="D14" s="955" t="s">
        <v>1389</v>
      </c>
      <c r="E14" s="955">
        <v>2</v>
      </c>
      <c r="F14" s="954">
        <v>46200</v>
      </c>
      <c r="G14" s="954">
        <v>46202</v>
      </c>
      <c r="H14" s="955">
        <v>2</v>
      </c>
      <c r="I14" s="955">
        <v>2</v>
      </c>
      <c r="J14" s="955">
        <v>0</v>
      </c>
      <c r="K14" s="956">
        <v>0.67</v>
      </c>
      <c r="L14" s="957" t="s">
        <v>1383</v>
      </c>
      <c r="M14" s="958" t="s">
        <v>1383</v>
      </c>
    </row>
    <row r="15" spans="1:13" ht="36">
      <c r="A15" s="1008"/>
      <c r="B15" s="1228"/>
      <c r="C15" s="960" t="s">
        <v>59</v>
      </c>
      <c r="D15" s="955" t="s">
        <v>60</v>
      </c>
      <c r="E15" s="955">
        <v>2</v>
      </c>
      <c r="F15" s="954">
        <v>46200</v>
      </c>
      <c r="G15" s="954">
        <v>46202</v>
      </c>
      <c r="H15" s="955">
        <v>2</v>
      </c>
      <c r="I15" s="955">
        <v>2</v>
      </c>
      <c r="J15" s="955">
        <v>0</v>
      </c>
      <c r="K15" s="956">
        <v>0.67</v>
      </c>
      <c r="L15" s="957" t="s">
        <v>1383</v>
      </c>
      <c r="M15" s="958" t="s">
        <v>1383</v>
      </c>
    </row>
    <row r="16" spans="1:13" ht="36">
      <c r="A16" s="1008"/>
      <c r="B16" s="1228"/>
      <c r="C16" s="960" t="s">
        <v>1390</v>
      </c>
      <c r="D16" s="955" t="s">
        <v>1391</v>
      </c>
      <c r="E16" s="955">
        <v>2</v>
      </c>
      <c r="F16" s="954">
        <v>46200</v>
      </c>
      <c r="G16" s="954">
        <v>46202</v>
      </c>
      <c r="H16" s="955">
        <v>2</v>
      </c>
      <c r="I16" s="955">
        <v>2</v>
      </c>
      <c r="J16" s="955">
        <v>0</v>
      </c>
      <c r="K16" s="956">
        <v>0.67</v>
      </c>
      <c r="L16" s="957" t="s">
        <v>1383</v>
      </c>
      <c r="M16" s="958" t="s">
        <v>1383</v>
      </c>
    </row>
    <row r="17" spans="1:13" ht="36">
      <c r="A17" s="1008"/>
      <c r="B17" s="1228"/>
      <c r="C17" s="960" t="s">
        <v>1392</v>
      </c>
      <c r="D17" s="955" t="s">
        <v>1393</v>
      </c>
      <c r="E17" s="955">
        <v>2</v>
      </c>
      <c r="F17" s="954">
        <v>46200</v>
      </c>
      <c r="G17" s="954">
        <v>46202</v>
      </c>
      <c r="H17" s="955">
        <v>2</v>
      </c>
      <c r="I17" s="955">
        <v>2</v>
      </c>
      <c r="J17" s="955">
        <v>0</v>
      </c>
      <c r="K17" s="956">
        <v>0.67</v>
      </c>
      <c r="L17" s="957" t="s">
        <v>1383</v>
      </c>
      <c r="M17" s="958" t="s">
        <v>1383</v>
      </c>
    </row>
    <row r="18" spans="1:13" ht="36">
      <c r="A18" s="1008"/>
      <c r="B18" s="1228"/>
      <c r="C18" s="960" t="s">
        <v>1394</v>
      </c>
      <c r="D18" s="955" t="s">
        <v>1393</v>
      </c>
      <c r="E18" s="955">
        <v>2</v>
      </c>
      <c r="F18" s="954">
        <v>46200</v>
      </c>
      <c r="G18" s="954">
        <v>46202</v>
      </c>
      <c r="H18" s="955">
        <v>2</v>
      </c>
      <c r="I18" s="955">
        <v>2</v>
      </c>
      <c r="J18" s="955">
        <v>0</v>
      </c>
      <c r="K18" s="956">
        <v>0.67</v>
      </c>
      <c r="L18" s="957" t="s">
        <v>1383</v>
      </c>
      <c r="M18" s="958" t="s">
        <v>1383</v>
      </c>
    </row>
    <row r="19" spans="1:13" ht="36">
      <c r="A19" s="1008"/>
      <c r="B19" s="1228"/>
      <c r="C19" s="960" t="s">
        <v>1395</v>
      </c>
      <c r="D19" s="955" t="s">
        <v>1396</v>
      </c>
      <c r="E19" s="955">
        <v>2</v>
      </c>
      <c r="F19" s="954">
        <v>46200</v>
      </c>
      <c r="G19" s="954">
        <v>46202</v>
      </c>
      <c r="H19" s="955">
        <v>2</v>
      </c>
      <c r="I19" s="955">
        <v>2</v>
      </c>
      <c r="J19" s="955">
        <v>0</v>
      </c>
      <c r="K19" s="956">
        <v>0.67</v>
      </c>
      <c r="L19" s="957" t="s">
        <v>1383</v>
      </c>
      <c r="M19" s="958" t="s">
        <v>1383</v>
      </c>
    </row>
    <row r="20" spans="1:13" ht="36">
      <c r="A20" s="1227"/>
      <c r="B20" s="1229"/>
      <c r="C20" s="960" t="s">
        <v>77</v>
      </c>
      <c r="D20" s="955" t="s">
        <v>1396</v>
      </c>
      <c r="E20" s="955">
        <v>2</v>
      </c>
      <c r="F20" s="954">
        <v>46200</v>
      </c>
      <c r="G20" s="954">
        <v>46202</v>
      </c>
      <c r="H20" s="955">
        <v>2</v>
      </c>
      <c r="I20" s="955">
        <v>2</v>
      </c>
      <c r="J20" s="955">
        <v>0</v>
      </c>
      <c r="K20" s="956">
        <v>0.67</v>
      </c>
      <c r="L20" s="957" t="s">
        <v>1383</v>
      </c>
      <c r="M20" s="958" t="s">
        <v>1383</v>
      </c>
    </row>
    <row r="21" spans="1:13" ht="21">
      <c r="A21" s="930" t="s">
        <v>1772</v>
      </c>
      <c r="B21" s="959" t="s">
        <v>1775</v>
      </c>
      <c r="C21" s="960" t="s">
        <v>39</v>
      </c>
      <c r="D21" s="955" t="s">
        <v>1386</v>
      </c>
      <c r="E21" s="955">
        <v>1</v>
      </c>
      <c r="F21" s="954">
        <v>46197</v>
      </c>
      <c r="G21" s="954">
        <v>46199</v>
      </c>
      <c r="H21" s="955">
        <v>0</v>
      </c>
      <c r="I21" s="955">
        <v>0</v>
      </c>
      <c r="J21" s="955">
        <v>0</v>
      </c>
      <c r="K21" s="956">
        <v>0</v>
      </c>
      <c r="L21" s="957" t="s">
        <v>1383</v>
      </c>
      <c r="M21" s="958" t="s">
        <v>1383</v>
      </c>
    </row>
    <row r="22" spans="1:13" ht="36">
      <c r="A22" s="930" t="s">
        <v>1772</v>
      </c>
      <c r="B22" s="963" t="s">
        <v>1776</v>
      </c>
      <c r="C22" s="960" t="s">
        <v>39</v>
      </c>
      <c r="D22" s="955" t="s">
        <v>1386</v>
      </c>
      <c r="E22" s="955">
        <v>2</v>
      </c>
      <c r="F22" s="954">
        <v>46197</v>
      </c>
      <c r="G22" s="954">
        <v>46199</v>
      </c>
      <c r="H22" s="955">
        <v>0</v>
      </c>
      <c r="I22" s="955">
        <v>0</v>
      </c>
      <c r="J22" s="955">
        <v>0</v>
      </c>
      <c r="K22" s="956">
        <v>0</v>
      </c>
      <c r="L22" s="957" t="s">
        <v>1383</v>
      </c>
      <c r="M22" s="958" t="s">
        <v>1777</v>
      </c>
    </row>
    <row r="23" spans="1:13" ht="21">
      <c r="A23" s="930" t="s">
        <v>1772</v>
      </c>
      <c r="B23" s="959" t="s">
        <v>1775</v>
      </c>
      <c r="C23" s="960" t="s">
        <v>39</v>
      </c>
      <c r="D23" s="955" t="s">
        <v>1386</v>
      </c>
      <c r="E23" s="955">
        <v>1</v>
      </c>
      <c r="F23" s="954">
        <v>46197</v>
      </c>
      <c r="G23" s="954">
        <v>46199</v>
      </c>
      <c r="H23" s="955">
        <v>0</v>
      </c>
      <c r="I23" s="955">
        <v>0</v>
      </c>
      <c r="J23" s="955">
        <v>0</v>
      </c>
      <c r="K23" s="956">
        <v>0</v>
      </c>
      <c r="L23" s="957" t="s">
        <v>1383</v>
      </c>
      <c r="M23" s="958" t="s">
        <v>1778</v>
      </c>
    </row>
    <row r="24" spans="1:13" ht="21">
      <c r="A24" s="930" t="s">
        <v>1772</v>
      </c>
      <c r="B24" s="959" t="s">
        <v>1779</v>
      </c>
      <c r="C24" s="960" t="s">
        <v>39</v>
      </c>
      <c r="D24" s="955" t="s">
        <v>1386</v>
      </c>
      <c r="E24" s="955">
        <v>2</v>
      </c>
      <c r="F24" s="954">
        <v>46197</v>
      </c>
      <c r="G24" s="954">
        <v>46199</v>
      </c>
      <c r="H24" s="955">
        <v>0</v>
      </c>
      <c r="I24" s="955">
        <v>0</v>
      </c>
      <c r="J24" s="955">
        <v>0</v>
      </c>
      <c r="K24" s="956">
        <v>0</v>
      </c>
      <c r="L24" s="957" t="s">
        <v>1383</v>
      </c>
      <c r="M24" s="958" t="s">
        <v>1780</v>
      </c>
    </row>
    <row r="25" spans="1:13" ht="21">
      <c r="A25" s="930" t="s">
        <v>1772</v>
      </c>
      <c r="B25" s="959" t="s">
        <v>1781</v>
      </c>
      <c r="C25" s="960" t="s">
        <v>39</v>
      </c>
      <c r="D25" s="955" t="s">
        <v>1386</v>
      </c>
      <c r="E25" s="955">
        <v>2</v>
      </c>
      <c r="F25" s="954">
        <v>46197</v>
      </c>
      <c r="G25" s="954">
        <v>46199</v>
      </c>
      <c r="H25" s="955">
        <v>0</v>
      </c>
      <c r="I25" s="955">
        <v>0</v>
      </c>
      <c r="J25" s="955">
        <v>0</v>
      </c>
      <c r="K25" s="956">
        <v>0</v>
      </c>
      <c r="L25" s="957" t="s">
        <v>1383</v>
      </c>
      <c r="M25" s="958" t="s">
        <v>1383</v>
      </c>
    </row>
    <row r="26" spans="1:13" ht="21">
      <c r="A26" s="930" t="s">
        <v>1772</v>
      </c>
      <c r="B26" s="959" t="s">
        <v>1782</v>
      </c>
      <c r="C26" s="960" t="s">
        <v>43</v>
      </c>
      <c r="D26" s="955" t="s">
        <v>1382</v>
      </c>
      <c r="E26" s="955">
        <v>4</v>
      </c>
      <c r="F26" s="954">
        <v>46197</v>
      </c>
      <c r="G26" s="954">
        <v>46199</v>
      </c>
      <c r="H26" s="955">
        <v>0</v>
      </c>
      <c r="I26" s="955">
        <v>0</v>
      </c>
      <c r="J26" s="955">
        <v>0</v>
      </c>
      <c r="K26" s="956">
        <v>0</v>
      </c>
      <c r="L26" s="957" t="s">
        <v>1383</v>
      </c>
      <c r="M26" s="958" t="s">
        <v>1383</v>
      </c>
    </row>
    <row r="27" spans="1:13" ht="21">
      <c r="A27" s="930" t="s">
        <v>1772</v>
      </c>
      <c r="B27" s="959" t="s">
        <v>1783</v>
      </c>
      <c r="C27" s="960" t="s">
        <v>43</v>
      </c>
      <c r="D27" s="955" t="s">
        <v>1382</v>
      </c>
      <c r="E27" s="955">
        <v>2</v>
      </c>
      <c r="F27" s="954">
        <v>46198</v>
      </c>
      <c r="G27" s="954">
        <v>46200</v>
      </c>
      <c r="H27" s="955">
        <v>0</v>
      </c>
      <c r="I27" s="955">
        <v>0</v>
      </c>
      <c r="J27" s="955">
        <v>0</v>
      </c>
      <c r="K27" s="956">
        <v>0</v>
      </c>
      <c r="L27" s="957" t="s">
        <v>1383</v>
      </c>
      <c r="M27" s="958" t="s">
        <v>1383</v>
      </c>
    </row>
    <row r="28" spans="1:13" ht="21">
      <c r="A28" s="930" t="s">
        <v>1772</v>
      </c>
      <c r="B28" s="959" t="s">
        <v>1784</v>
      </c>
      <c r="C28" s="960" t="s">
        <v>43</v>
      </c>
      <c r="D28" s="955" t="s">
        <v>1382</v>
      </c>
      <c r="E28" s="955">
        <v>1</v>
      </c>
      <c r="F28" s="954">
        <v>46199</v>
      </c>
      <c r="G28" s="954">
        <v>46201</v>
      </c>
      <c r="H28" s="955">
        <v>0</v>
      </c>
      <c r="I28" s="955">
        <v>0</v>
      </c>
      <c r="J28" s="955">
        <v>0</v>
      </c>
      <c r="K28" s="956">
        <v>0</v>
      </c>
      <c r="L28" s="957" t="s">
        <v>1383</v>
      </c>
      <c r="M28" s="958" t="s">
        <v>1383</v>
      </c>
    </row>
    <row r="29" spans="1:13" ht="21">
      <c r="A29" s="930" t="s">
        <v>1772</v>
      </c>
      <c r="B29" s="959" t="s">
        <v>1785</v>
      </c>
      <c r="C29" s="960" t="s">
        <v>43</v>
      </c>
      <c r="D29" s="955" t="s">
        <v>1382</v>
      </c>
      <c r="E29" s="955">
        <v>2</v>
      </c>
      <c r="F29" s="954">
        <v>46199</v>
      </c>
      <c r="G29" s="954">
        <v>46201</v>
      </c>
      <c r="H29" s="955">
        <v>0</v>
      </c>
      <c r="I29" s="955">
        <v>0</v>
      </c>
      <c r="J29" s="955">
        <v>0</v>
      </c>
      <c r="K29" s="956">
        <v>0</v>
      </c>
      <c r="L29" s="957" t="s">
        <v>1383</v>
      </c>
      <c r="M29" s="958" t="s">
        <v>1383</v>
      </c>
    </row>
    <row r="30" spans="1:13" ht="36">
      <c r="A30" s="930" t="s">
        <v>1786</v>
      </c>
      <c r="B30" s="962" t="s">
        <v>1787</v>
      </c>
      <c r="C30" s="960" t="s">
        <v>43</v>
      </c>
      <c r="D30" s="955" t="s">
        <v>1382</v>
      </c>
      <c r="E30" s="955">
        <v>1</v>
      </c>
      <c r="F30" s="954">
        <v>46198</v>
      </c>
      <c r="G30" s="954">
        <v>46200</v>
      </c>
      <c r="H30" s="955">
        <v>0</v>
      </c>
      <c r="I30" s="955">
        <v>0</v>
      </c>
      <c r="J30" s="955">
        <v>0</v>
      </c>
      <c r="K30" s="956">
        <v>0</v>
      </c>
      <c r="L30" s="957" t="s">
        <v>1383</v>
      </c>
      <c r="M30" s="958" t="s">
        <v>1788</v>
      </c>
    </row>
    <row r="31" spans="1:13" ht="21">
      <c r="A31" s="930" t="s">
        <v>1772</v>
      </c>
      <c r="B31" s="959" t="s">
        <v>1789</v>
      </c>
      <c r="C31" s="960" t="s">
        <v>43</v>
      </c>
      <c r="D31" s="955" t="s">
        <v>1382</v>
      </c>
      <c r="E31" s="955">
        <v>1</v>
      </c>
      <c r="F31" s="954">
        <v>46198</v>
      </c>
      <c r="G31" s="954">
        <v>46200</v>
      </c>
      <c r="H31" s="955">
        <v>0</v>
      </c>
      <c r="I31" s="955">
        <v>0</v>
      </c>
      <c r="J31" s="955">
        <v>0</v>
      </c>
      <c r="K31" s="956">
        <v>0</v>
      </c>
      <c r="L31" s="957" t="s">
        <v>1383</v>
      </c>
      <c r="M31" s="958" t="s">
        <v>1383</v>
      </c>
    </row>
    <row r="32" spans="1:13" ht="21">
      <c r="A32" s="928" t="s">
        <v>1772</v>
      </c>
      <c r="B32" s="959" t="s">
        <v>1783</v>
      </c>
      <c r="C32" s="960" t="s">
        <v>43</v>
      </c>
      <c r="D32" s="955" t="s">
        <v>1382</v>
      </c>
      <c r="E32" s="955">
        <v>1</v>
      </c>
      <c r="F32" s="954">
        <v>46198</v>
      </c>
      <c r="G32" s="954">
        <v>46200</v>
      </c>
      <c r="H32" s="955">
        <v>0</v>
      </c>
      <c r="I32" s="955">
        <v>0</v>
      </c>
      <c r="J32" s="955">
        <v>0</v>
      </c>
      <c r="K32" s="956">
        <v>0</v>
      </c>
      <c r="L32" s="957" t="s">
        <v>1383</v>
      </c>
      <c r="M32" s="958" t="s">
        <v>1790</v>
      </c>
    </row>
    <row r="33" spans="1:13" ht="21">
      <c r="A33" s="928" t="s">
        <v>1772</v>
      </c>
      <c r="B33" s="959" t="s">
        <v>1783</v>
      </c>
      <c r="C33" s="960" t="s">
        <v>43</v>
      </c>
      <c r="D33" s="955" t="s">
        <v>1382</v>
      </c>
      <c r="E33" s="955">
        <v>1</v>
      </c>
      <c r="F33" s="954">
        <v>46198</v>
      </c>
      <c r="G33" s="954">
        <v>46200</v>
      </c>
      <c r="H33" s="955">
        <v>0</v>
      </c>
      <c r="I33" s="955">
        <v>0</v>
      </c>
      <c r="J33" s="955">
        <v>0</v>
      </c>
      <c r="K33" s="956">
        <v>0</v>
      </c>
      <c r="L33" s="957" t="s">
        <v>1383</v>
      </c>
      <c r="M33" s="958" t="s">
        <v>1791</v>
      </c>
    </row>
    <row r="34" spans="1:13" ht="36">
      <c r="A34" s="930" t="s">
        <v>1792</v>
      </c>
      <c r="B34" s="959" t="s">
        <v>1477</v>
      </c>
      <c r="C34" s="960" t="s">
        <v>43</v>
      </c>
      <c r="D34" s="955" t="s">
        <v>1382</v>
      </c>
      <c r="E34" s="955">
        <v>1</v>
      </c>
      <c r="F34" s="954">
        <v>46198</v>
      </c>
      <c r="G34" s="954">
        <v>46200</v>
      </c>
      <c r="H34" s="955">
        <v>0</v>
      </c>
      <c r="I34" s="955">
        <v>0</v>
      </c>
      <c r="J34" s="955">
        <v>0</v>
      </c>
      <c r="K34" s="956">
        <v>0</v>
      </c>
      <c r="L34" s="957" t="s">
        <v>1383</v>
      </c>
      <c r="M34" s="958" t="s">
        <v>1793</v>
      </c>
    </row>
    <row r="35" spans="1:13" ht="21">
      <c r="A35" s="930" t="s">
        <v>1794</v>
      </c>
      <c r="B35" s="959" t="s">
        <v>1477</v>
      </c>
      <c r="C35" s="960" t="s">
        <v>43</v>
      </c>
      <c r="D35" s="955" t="s">
        <v>1382</v>
      </c>
      <c r="E35" s="955">
        <v>1</v>
      </c>
      <c r="F35" s="954">
        <v>46198</v>
      </c>
      <c r="G35" s="954">
        <v>46200</v>
      </c>
      <c r="H35" s="955">
        <v>0</v>
      </c>
      <c r="I35" s="955">
        <v>0</v>
      </c>
      <c r="J35" s="955">
        <v>0</v>
      </c>
      <c r="K35" s="956">
        <v>0</v>
      </c>
      <c r="L35" s="957" t="s">
        <v>1383</v>
      </c>
      <c r="M35" s="958" t="s">
        <v>1383</v>
      </c>
    </row>
    <row r="36" spans="1:13" ht="21">
      <c r="A36" s="930" t="s">
        <v>1795</v>
      </c>
      <c r="B36" s="959" t="s">
        <v>1728</v>
      </c>
      <c r="C36" s="960" t="s">
        <v>43</v>
      </c>
      <c r="D36" s="955" t="s">
        <v>1382</v>
      </c>
      <c r="E36" s="955">
        <v>1</v>
      </c>
      <c r="F36" s="954">
        <v>46199</v>
      </c>
      <c r="G36" s="954">
        <v>46201</v>
      </c>
      <c r="H36" s="955">
        <v>0</v>
      </c>
      <c r="I36" s="955">
        <v>0</v>
      </c>
      <c r="J36" s="955">
        <v>0</v>
      </c>
      <c r="K36" s="956">
        <v>0</v>
      </c>
      <c r="L36" s="957" t="s">
        <v>1383</v>
      </c>
      <c r="M36" s="958" t="s">
        <v>1383</v>
      </c>
    </row>
    <row r="37" spans="1:13" ht="21">
      <c r="A37" s="930" t="s">
        <v>1796</v>
      </c>
      <c r="B37" s="959" t="s">
        <v>1797</v>
      </c>
      <c r="C37" s="960" t="s">
        <v>43</v>
      </c>
      <c r="D37" s="955" t="s">
        <v>1382</v>
      </c>
      <c r="E37" s="955">
        <v>1</v>
      </c>
      <c r="F37" s="954">
        <v>46199</v>
      </c>
      <c r="G37" s="954">
        <v>46201</v>
      </c>
      <c r="H37" s="964">
        <v>0</v>
      </c>
      <c r="I37" s="964">
        <v>0</v>
      </c>
      <c r="J37" s="964">
        <v>0</v>
      </c>
      <c r="K37" s="965">
        <v>0</v>
      </c>
      <c r="L37" s="966" t="s">
        <v>1383</v>
      </c>
      <c r="M37" s="958" t="s">
        <v>1383</v>
      </c>
    </row>
    <row r="38" spans="1:13" ht="18" customHeight="1">
      <c r="A38" s="1008" t="s">
        <v>1798</v>
      </c>
      <c r="B38" s="962" t="s">
        <v>1799</v>
      </c>
      <c r="C38" s="960" t="s">
        <v>43</v>
      </c>
      <c r="D38" s="955" t="s">
        <v>1382</v>
      </c>
      <c r="E38" s="955">
        <v>2</v>
      </c>
      <c r="F38" s="954">
        <v>46202</v>
      </c>
      <c r="G38" s="954">
        <v>46204</v>
      </c>
      <c r="H38" s="964">
        <v>0</v>
      </c>
      <c r="I38" s="964">
        <v>0</v>
      </c>
      <c r="J38" s="964">
        <v>0</v>
      </c>
      <c r="K38" s="965">
        <v>0</v>
      </c>
      <c r="L38" s="967" t="s">
        <v>1383</v>
      </c>
      <c r="M38" s="958" t="s">
        <v>1800</v>
      </c>
    </row>
    <row r="39" spans="1:13" ht="18" customHeight="1">
      <c r="A39" s="1008"/>
      <c r="B39" s="959" t="s">
        <v>1774</v>
      </c>
      <c r="C39" s="960" t="s">
        <v>43</v>
      </c>
      <c r="D39" s="955" t="s">
        <v>1382</v>
      </c>
      <c r="E39" s="955">
        <v>2</v>
      </c>
      <c r="F39" s="954">
        <v>46202</v>
      </c>
      <c r="G39" s="954">
        <v>46204</v>
      </c>
      <c r="H39" s="955">
        <v>0</v>
      </c>
      <c r="I39" s="955">
        <v>0</v>
      </c>
      <c r="J39" s="955">
        <v>0</v>
      </c>
      <c r="K39" s="956">
        <v>0</v>
      </c>
      <c r="L39" s="957" t="s">
        <v>1383</v>
      </c>
      <c r="M39" s="958" t="s">
        <v>1383</v>
      </c>
    </row>
    <row r="40" spans="1:13" ht="18" customHeight="1">
      <c r="A40" s="1008"/>
      <c r="B40" s="959" t="s">
        <v>1801</v>
      </c>
      <c r="C40" s="960" t="s">
        <v>43</v>
      </c>
      <c r="D40" s="955" t="s">
        <v>1382</v>
      </c>
      <c r="E40" s="955">
        <v>1</v>
      </c>
      <c r="F40" s="954">
        <v>46181</v>
      </c>
      <c r="G40" s="954">
        <v>46183</v>
      </c>
      <c r="H40" s="955">
        <v>1</v>
      </c>
      <c r="I40" s="955">
        <v>1</v>
      </c>
      <c r="J40" s="955">
        <v>0</v>
      </c>
      <c r="K40" s="956">
        <v>0.67</v>
      </c>
      <c r="L40" s="957" t="s">
        <v>1383</v>
      </c>
      <c r="M40" s="958" t="s">
        <v>1802</v>
      </c>
    </row>
    <row r="41" spans="1:13" ht="18" customHeight="1">
      <c r="A41" s="1008"/>
      <c r="B41" s="959" t="s">
        <v>1801</v>
      </c>
      <c r="C41" s="960" t="s">
        <v>1803</v>
      </c>
      <c r="D41" s="955" t="s">
        <v>1393</v>
      </c>
      <c r="E41" s="955">
        <v>2</v>
      </c>
      <c r="F41" s="954">
        <v>46181</v>
      </c>
      <c r="G41" s="954">
        <v>46183</v>
      </c>
      <c r="H41" s="955">
        <v>2</v>
      </c>
      <c r="I41" s="955">
        <v>2</v>
      </c>
      <c r="J41" s="955">
        <v>0</v>
      </c>
      <c r="K41" s="956">
        <v>0.67</v>
      </c>
      <c r="L41" s="957" t="s">
        <v>1383</v>
      </c>
      <c r="M41" s="958" t="s">
        <v>1802</v>
      </c>
    </row>
    <row r="42" spans="1:13" ht="18" customHeight="1">
      <c r="A42" s="1008"/>
      <c r="B42" s="959" t="s">
        <v>1804</v>
      </c>
      <c r="C42" s="960" t="s">
        <v>43</v>
      </c>
      <c r="D42" s="955" t="s">
        <v>1382</v>
      </c>
      <c r="E42" s="955">
        <v>7</v>
      </c>
      <c r="F42" s="954">
        <v>46203</v>
      </c>
      <c r="G42" s="954">
        <v>46205</v>
      </c>
      <c r="H42" s="955">
        <v>0</v>
      </c>
      <c r="I42" s="955">
        <v>0</v>
      </c>
      <c r="J42" s="955">
        <v>0</v>
      </c>
      <c r="K42" s="956">
        <v>0</v>
      </c>
      <c r="L42" s="957" t="s">
        <v>1383</v>
      </c>
      <c r="M42" s="958" t="s">
        <v>1383</v>
      </c>
    </row>
    <row r="43" spans="1:13" ht="18" customHeight="1">
      <c r="A43" s="1008"/>
      <c r="B43" s="959" t="s">
        <v>1805</v>
      </c>
      <c r="C43" s="960" t="s">
        <v>43</v>
      </c>
      <c r="D43" s="955" t="s">
        <v>1382</v>
      </c>
      <c r="E43" s="955">
        <v>6</v>
      </c>
      <c r="F43" s="954">
        <v>46203</v>
      </c>
      <c r="G43" s="954">
        <v>46205</v>
      </c>
      <c r="H43" s="955">
        <v>0</v>
      </c>
      <c r="I43" s="955">
        <v>0</v>
      </c>
      <c r="J43" s="955">
        <v>0</v>
      </c>
      <c r="K43" s="956">
        <v>0</v>
      </c>
      <c r="L43" s="957" t="s">
        <v>1383</v>
      </c>
      <c r="M43" s="958" t="s">
        <v>1383</v>
      </c>
    </row>
    <row r="44" spans="1:13" ht="18" customHeight="1">
      <c r="A44" s="1227"/>
      <c r="B44" s="959" t="s">
        <v>1806</v>
      </c>
      <c r="C44" s="960" t="s">
        <v>43</v>
      </c>
      <c r="D44" s="955" t="s">
        <v>1382</v>
      </c>
      <c r="E44" s="955">
        <v>4</v>
      </c>
      <c r="F44" s="954">
        <v>46204</v>
      </c>
      <c r="G44" s="954">
        <v>46206</v>
      </c>
      <c r="H44" s="955">
        <v>0</v>
      </c>
      <c r="I44" s="955">
        <v>0</v>
      </c>
      <c r="J44" s="955">
        <v>0</v>
      </c>
      <c r="K44" s="956">
        <v>0</v>
      </c>
      <c r="L44" s="957" t="s">
        <v>1383</v>
      </c>
      <c r="M44" s="958" t="s">
        <v>1383</v>
      </c>
    </row>
    <row r="45" spans="1:13" ht="21">
      <c r="A45" s="930" t="s">
        <v>1807</v>
      </c>
      <c r="B45" s="963" t="s">
        <v>349</v>
      </c>
      <c r="C45" s="960" t="s">
        <v>1721</v>
      </c>
      <c r="D45" s="955" t="s">
        <v>1722</v>
      </c>
      <c r="E45" s="955">
        <v>45</v>
      </c>
      <c r="F45" s="954">
        <v>46195</v>
      </c>
      <c r="G45" s="954">
        <v>46204</v>
      </c>
      <c r="H45" s="968">
        <v>0</v>
      </c>
      <c r="I45" s="968">
        <v>0</v>
      </c>
      <c r="J45" s="968">
        <v>0</v>
      </c>
      <c r="K45" s="969">
        <v>0</v>
      </c>
      <c r="L45" s="970" t="s">
        <v>1383</v>
      </c>
      <c r="M45" s="958" t="s">
        <v>1383</v>
      </c>
    </row>
    <row r="46" spans="1:13" ht="18">
      <c r="A46" s="935"/>
      <c r="B46" s="971"/>
      <c r="C46" s="971"/>
      <c r="D46" s="966"/>
      <c r="E46" s="972"/>
      <c r="F46" s="972"/>
      <c r="G46" s="972"/>
      <c r="H46" s="973">
        <v>0</v>
      </c>
      <c r="I46" s="973">
        <v>0</v>
      </c>
      <c r="J46" s="973">
        <v>0</v>
      </c>
      <c r="K46" s="974">
        <v>0</v>
      </c>
      <c r="L46" s="966"/>
      <c r="M46" s="971"/>
    </row>
    <row r="47" spans="1:13" ht="18">
      <c r="F47" s="1007"/>
      <c r="G47" s="1007"/>
    </row>
  </sheetData>
  <mergeCells count="3">
    <mergeCell ref="A38:A44"/>
    <mergeCell ref="A11:A20"/>
    <mergeCell ref="B11:B20"/>
  </mergeCells>
  <pageMargins left="0.7" right="0.7" top="0.75" bottom="0.75" header="0.3" footer="0.3"/>
  <pageSetup paperSize="9" orientation="portrait" horizontalDpi="1200" verticalDpi="12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FB08-6779-4EE2-B1FF-5E8F459E350E}">
  <dimension ref="A1:L45"/>
  <sheetViews>
    <sheetView zoomScale="80" zoomScaleNormal="80" workbookViewId="0">
      <pane ySplit="1" topLeftCell="A37" activePane="bottomLeft" state="frozen"/>
      <selection pane="bottomLeft" activeCell="G38" sqref="G38"/>
    </sheetView>
  </sheetViews>
  <sheetFormatPr defaultColWidth="71.44140625" defaultRowHeight="21"/>
  <cols>
    <col min="1" max="1" width="33.88671875" style="66" customWidth="1"/>
    <col min="2" max="2" width="9" style="65" bestFit="1" customWidth="1"/>
    <col min="3" max="3" width="48.5546875" style="63" customWidth="1"/>
    <col min="4" max="4" width="12.33203125" style="64" bestFit="1" customWidth="1"/>
    <col min="5" max="6" width="12.33203125" style="64" customWidth="1"/>
    <col min="7" max="7" width="14" style="64" customWidth="1"/>
    <col min="8" max="8" width="14.109375" style="64" bestFit="1" customWidth="1"/>
    <col min="9" max="9" width="11.6640625" style="64" bestFit="1" customWidth="1"/>
    <col min="10" max="10" width="9.88671875" style="64" bestFit="1" customWidth="1"/>
    <col min="11" max="11" width="10.6640625" style="64" customWidth="1"/>
    <col min="12" max="12" width="22.33203125" style="64" customWidth="1"/>
    <col min="13" max="16384" width="71.44140625" style="62"/>
  </cols>
  <sheetData>
    <row r="1" spans="1:12">
      <c r="A1" s="912" t="s">
        <v>15</v>
      </c>
      <c r="B1" s="884" t="s">
        <v>17</v>
      </c>
      <c r="C1" s="912" t="s">
        <v>16</v>
      </c>
      <c r="D1" s="895" t="s">
        <v>152</v>
      </c>
      <c r="E1" s="895" t="s">
        <v>153</v>
      </c>
      <c r="F1" s="895" t="s">
        <v>154</v>
      </c>
      <c r="G1" s="895" t="s">
        <v>155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940" t="s">
        <v>1808</v>
      </c>
      <c r="B2" s="918">
        <v>1</v>
      </c>
      <c r="C2" s="407" t="s">
        <v>243</v>
      </c>
      <c r="D2" s="879">
        <v>1</v>
      </c>
      <c r="E2" s="879">
        <v>1</v>
      </c>
      <c r="F2" s="880">
        <v>0</v>
      </c>
      <c r="G2" s="880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78"/>
    </row>
    <row r="3" spans="1:12">
      <c r="A3" s="940" t="s">
        <v>1808</v>
      </c>
      <c r="B3" s="918">
        <v>1</v>
      </c>
      <c r="C3" s="407" t="s">
        <v>1809</v>
      </c>
      <c r="D3" s="879">
        <v>1</v>
      </c>
      <c r="E3" s="879">
        <v>1</v>
      </c>
      <c r="F3" s="880">
        <v>0</v>
      </c>
      <c r="G3" s="880"/>
      <c r="H3" s="8">
        <v>0</v>
      </c>
      <c r="I3" s="8">
        <v>0</v>
      </c>
      <c r="J3" s="8">
        <v>0</v>
      </c>
      <c r="K3" s="7">
        <f t="shared" si="0"/>
        <v>0</v>
      </c>
      <c r="L3" s="378"/>
    </row>
    <row r="4" spans="1:12">
      <c r="A4" s="940" t="s">
        <v>1808</v>
      </c>
      <c r="B4" s="918">
        <v>2</v>
      </c>
      <c r="C4" s="407" t="s">
        <v>1810</v>
      </c>
      <c r="D4" s="879">
        <v>1</v>
      </c>
      <c r="E4" s="879">
        <v>1</v>
      </c>
      <c r="F4" s="880">
        <v>0</v>
      </c>
      <c r="G4" s="880"/>
      <c r="H4" s="8">
        <v>0</v>
      </c>
      <c r="I4" s="8">
        <v>0</v>
      </c>
      <c r="J4" s="8">
        <v>0</v>
      </c>
      <c r="K4" s="7">
        <f t="shared" si="0"/>
        <v>0</v>
      </c>
      <c r="L4" s="378"/>
    </row>
    <row r="5" spans="1:12">
      <c r="A5" s="940" t="s">
        <v>1808</v>
      </c>
      <c r="B5" s="918">
        <v>2</v>
      </c>
      <c r="C5" s="407" t="s">
        <v>783</v>
      </c>
      <c r="D5" s="879">
        <v>1</v>
      </c>
      <c r="E5" s="879">
        <v>1</v>
      </c>
      <c r="F5" s="880">
        <v>0</v>
      </c>
      <c r="G5" s="880"/>
      <c r="H5" s="8">
        <v>0</v>
      </c>
      <c r="I5" s="8">
        <v>0</v>
      </c>
      <c r="J5" s="8">
        <v>0</v>
      </c>
      <c r="K5" s="7">
        <f t="shared" si="0"/>
        <v>0</v>
      </c>
      <c r="L5" s="378"/>
    </row>
    <row r="6" spans="1:12">
      <c r="A6" s="940" t="s">
        <v>1808</v>
      </c>
      <c r="B6" s="918">
        <v>2</v>
      </c>
      <c r="C6" s="407" t="s">
        <v>1811</v>
      </c>
      <c r="D6" s="879">
        <v>1</v>
      </c>
      <c r="E6" s="879">
        <v>1</v>
      </c>
      <c r="F6" s="880">
        <v>0</v>
      </c>
      <c r="G6" s="880"/>
      <c r="H6" s="8">
        <v>0</v>
      </c>
      <c r="I6" s="8">
        <v>0</v>
      </c>
      <c r="J6" s="8">
        <v>0</v>
      </c>
      <c r="K6" s="7">
        <f t="shared" si="0"/>
        <v>0</v>
      </c>
      <c r="L6" s="378"/>
    </row>
    <row r="7" spans="1:12">
      <c r="A7" s="940" t="s">
        <v>1808</v>
      </c>
      <c r="B7" s="918">
        <v>2</v>
      </c>
      <c r="C7" s="407" t="s">
        <v>130</v>
      </c>
      <c r="D7" s="879">
        <v>1</v>
      </c>
      <c r="E7" s="879">
        <v>1</v>
      </c>
      <c r="F7" s="880">
        <v>0</v>
      </c>
      <c r="G7" s="880"/>
      <c r="H7" s="8">
        <v>0</v>
      </c>
      <c r="I7" s="8">
        <v>0</v>
      </c>
      <c r="J7" s="8">
        <v>0</v>
      </c>
      <c r="K7" s="7">
        <f t="shared" si="0"/>
        <v>0</v>
      </c>
      <c r="L7" s="378"/>
    </row>
    <row r="8" spans="1:12">
      <c r="A8" s="940" t="s">
        <v>1808</v>
      </c>
      <c r="B8" s="918">
        <v>3</v>
      </c>
      <c r="C8" s="407" t="s">
        <v>1812</v>
      </c>
      <c r="D8" s="879">
        <v>1</v>
      </c>
      <c r="E8" s="879">
        <v>1</v>
      </c>
      <c r="F8" s="880">
        <v>0</v>
      </c>
      <c r="G8" s="880"/>
      <c r="H8" s="8">
        <v>0</v>
      </c>
      <c r="I8" s="8">
        <v>0</v>
      </c>
      <c r="J8" s="8">
        <v>0</v>
      </c>
      <c r="K8" s="7">
        <f t="shared" si="0"/>
        <v>0</v>
      </c>
      <c r="L8" s="378"/>
    </row>
    <row r="9" spans="1:12">
      <c r="A9" s="940" t="s">
        <v>1808</v>
      </c>
      <c r="B9" s="918">
        <v>3</v>
      </c>
      <c r="C9" s="407" t="s">
        <v>1813</v>
      </c>
      <c r="D9" s="879">
        <v>1</v>
      </c>
      <c r="E9" s="879">
        <v>1</v>
      </c>
      <c r="F9" s="880">
        <v>0</v>
      </c>
      <c r="G9" s="880"/>
      <c r="H9" s="8">
        <v>0</v>
      </c>
      <c r="I9" s="8">
        <v>0</v>
      </c>
      <c r="J9" s="8">
        <v>0</v>
      </c>
      <c r="K9" s="7">
        <f t="shared" si="0"/>
        <v>0</v>
      </c>
      <c r="L9" s="378"/>
    </row>
    <row r="10" spans="1:12">
      <c r="A10" s="940" t="s">
        <v>1808</v>
      </c>
      <c r="B10" s="918">
        <v>3</v>
      </c>
      <c r="C10" s="407" t="s">
        <v>1814</v>
      </c>
      <c r="D10" s="879">
        <v>1</v>
      </c>
      <c r="E10" s="879">
        <v>1</v>
      </c>
      <c r="F10" s="880">
        <v>0</v>
      </c>
      <c r="G10" s="880"/>
      <c r="H10" s="8">
        <v>0</v>
      </c>
      <c r="I10" s="8">
        <v>0</v>
      </c>
      <c r="J10" s="8">
        <v>0</v>
      </c>
      <c r="K10" s="7">
        <f t="shared" si="0"/>
        <v>0</v>
      </c>
      <c r="L10" s="378"/>
    </row>
    <row r="11" spans="1:12">
      <c r="A11" s="940" t="s">
        <v>1808</v>
      </c>
      <c r="B11" s="918">
        <v>3</v>
      </c>
      <c r="C11" s="407" t="s">
        <v>1815</v>
      </c>
      <c r="D11" s="879">
        <v>1</v>
      </c>
      <c r="E11" s="879">
        <v>0</v>
      </c>
      <c r="F11" s="880">
        <v>1</v>
      </c>
      <c r="G11" s="880" t="s">
        <v>158</v>
      </c>
      <c r="H11" s="8">
        <v>0</v>
      </c>
      <c r="I11" s="8">
        <v>0</v>
      </c>
      <c r="J11" s="8">
        <v>0</v>
      </c>
      <c r="K11" s="7">
        <f t="shared" si="0"/>
        <v>0</v>
      </c>
      <c r="L11" s="378"/>
    </row>
    <row r="12" spans="1:12">
      <c r="A12" s="940" t="s">
        <v>1808</v>
      </c>
      <c r="B12" s="879">
        <v>4</v>
      </c>
      <c r="C12" s="407" t="s">
        <v>1816</v>
      </c>
      <c r="D12" s="879">
        <v>1</v>
      </c>
      <c r="E12" s="879">
        <v>1</v>
      </c>
      <c r="F12" s="880">
        <v>0</v>
      </c>
      <c r="G12" s="880"/>
      <c r="H12" s="8">
        <v>0</v>
      </c>
      <c r="I12" s="8">
        <v>0</v>
      </c>
      <c r="J12" s="8">
        <v>0</v>
      </c>
      <c r="K12" s="7">
        <f t="shared" si="0"/>
        <v>0</v>
      </c>
      <c r="L12" s="378"/>
    </row>
    <row r="13" spans="1:12">
      <c r="A13" s="940" t="s">
        <v>1808</v>
      </c>
      <c r="B13" s="879">
        <v>4</v>
      </c>
      <c r="C13" s="407" t="s">
        <v>1817</v>
      </c>
      <c r="D13" s="879">
        <v>1</v>
      </c>
      <c r="E13" s="879">
        <v>1</v>
      </c>
      <c r="F13" s="880">
        <v>0</v>
      </c>
      <c r="G13" s="880"/>
      <c r="H13" s="8">
        <v>0</v>
      </c>
      <c r="I13" s="8">
        <v>0</v>
      </c>
      <c r="J13" s="8">
        <v>0</v>
      </c>
      <c r="K13" s="7">
        <f t="shared" si="0"/>
        <v>0</v>
      </c>
      <c r="L13" s="378"/>
    </row>
    <row r="14" spans="1:12">
      <c r="A14" s="940" t="s">
        <v>1808</v>
      </c>
      <c r="B14" s="879">
        <v>4</v>
      </c>
      <c r="C14" s="407" t="s">
        <v>1818</v>
      </c>
      <c r="D14" s="879">
        <v>1</v>
      </c>
      <c r="E14" s="879">
        <v>1</v>
      </c>
      <c r="F14" s="880">
        <v>0</v>
      </c>
      <c r="G14" s="880"/>
      <c r="H14" s="8">
        <v>0</v>
      </c>
      <c r="I14" s="8">
        <v>0</v>
      </c>
      <c r="J14" s="8">
        <v>0</v>
      </c>
      <c r="K14" s="7">
        <f t="shared" si="0"/>
        <v>0</v>
      </c>
      <c r="L14" s="378"/>
    </row>
    <row r="15" spans="1:12">
      <c r="A15" s="940" t="s">
        <v>1808</v>
      </c>
      <c r="B15" s="879">
        <v>5</v>
      </c>
      <c r="C15" s="407" t="s">
        <v>1819</v>
      </c>
      <c r="D15" s="879">
        <v>1</v>
      </c>
      <c r="E15" s="879">
        <v>1</v>
      </c>
      <c r="F15" s="880">
        <v>0</v>
      </c>
      <c r="G15" s="880"/>
      <c r="H15" s="8">
        <v>0</v>
      </c>
      <c r="I15" s="8">
        <v>0</v>
      </c>
      <c r="J15" s="8">
        <v>0</v>
      </c>
      <c r="K15" s="7">
        <f t="shared" si="0"/>
        <v>0</v>
      </c>
      <c r="L15" s="378"/>
    </row>
    <row r="16" spans="1:12">
      <c r="A16" s="940" t="s">
        <v>1808</v>
      </c>
      <c r="B16" s="879">
        <v>5</v>
      </c>
      <c r="C16" s="407" t="s">
        <v>1820</v>
      </c>
      <c r="D16" s="879">
        <v>1</v>
      </c>
      <c r="E16" s="879">
        <v>1</v>
      </c>
      <c r="F16" s="880">
        <v>0</v>
      </c>
      <c r="G16" s="880"/>
      <c r="H16" s="8">
        <v>0</v>
      </c>
      <c r="I16" s="8">
        <v>0</v>
      </c>
      <c r="J16" s="8">
        <v>0</v>
      </c>
      <c r="K16" s="7">
        <f t="shared" si="0"/>
        <v>0</v>
      </c>
      <c r="L16" s="378"/>
    </row>
    <row r="17" spans="1:12">
      <c r="A17" s="940" t="s">
        <v>1808</v>
      </c>
      <c r="B17" s="879">
        <v>5</v>
      </c>
      <c r="C17" s="407" t="s">
        <v>1682</v>
      </c>
      <c r="D17" s="879">
        <v>1</v>
      </c>
      <c r="E17" s="879">
        <v>1</v>
      </c>
      <c r="F17" s="880">
        <v>0</v>
      </c>
      <c r="G17" s="880"/>
      <c r="H17" s="8">
        <v>0</v>
      </c>
      <c r="I17" s="8">
        <v>0</v>
      </c>
      <c r="J17" s="8">
        <v>0</v>
      </c>
      <c r="K17" s="7">
        <f t="shared" si="0"/>
        <v>0</v>
      </c>
      <c r="L17" s="378"/>
    </row>
    <row r="18" spans="1:12">
      <c r="A18" s="940" t="s">
        <v>637</v>
      </c>
      <c r="B18" s="879">
        <v>1</v>
      </c>
      <c r="C18" s="75" t="s">
        <v>1821</v>
      </c>
      <c r="D18" s="879">
        <v>1</v>
      </c>
      <c r="E18" s="879">
        <v>1</v>
      </c>
      <c r="F18" s="880">
        <v>0</v>
      </c>
      <c r="G18" s="880"/>
      <c r="H18" s="8">
        <v>0</v>
      </c>
      <c r="I18" s="8">
        <v>0</v>
      </c>
      <c r="J18" s="8">
        <v>0</v>
      </c>
      <c r="K18" s="7">
        <f t="shared" si="0"/>
        <v>0</v>
      </c>
      <c r="L18" s="378"/>
    </row>
    <row r="19" spans="1:12">
      <c r="A19" s="940" t="s">
        <v>637</v>
      </c>
      <c r="B19" s="879">
        <v>1</v>
      </c>
      <c r="C19" s="75" t="s">
        <v>1822</v>
      </c>
      <c r="D19" s="879">
        <v>1</v>
      </c>
      <c r="E19" s="879">
        <v>1</v>
      </c>
      <c r="F19" s="880">
        <v>0</v>
      </c>
      <c r="G19" s="880"/>
      <c r="H19" s="8">
        <v>0</v>
      </c>
      <c r="I19" s="8">
        <v>0</v>
      </c>
      <c r="J19" s="8">
        <v>0</v>
      </c>
      <c r="K19" s="7">
        <f t="shared" si="0"/>
        <v>0</v>
      </c>
      <c r="L19" s="378"/>
    </row>
    <row r="20" spans="1:12">
      <c r="A20" s="940" t="s">
        <v>637</v>
      </c>
      <c r="B20" s="879">
        <v>1</v>
      </c>
      <c r="C20" s="75" t="s">
        <v>1823</v>
      </c>
      <c r="D20" s="879">
        <v>1</v>
      </c>
      <c r="E20" s="879">
        <v>1</v>
      </c>
      <c r="F20" s="880">
        <v>0</v>
      </c>
      <c r="G20" s="880"/>
      <c r="H20" s="8">
        <v>0</v>
      </c>
      <c r="I20" s="8">
        <v>0</v>
      </c>
      <c r="J20" s="8">
        <v>0</v>
      </c>
      <c r="K20" s="7">
        <f t="shared" si="0"/>
        <v>0</v>
      </c>
      <c r="L20" s="378"/>
    </row>
    <row r="21" spans="1:12">
      <c r="A21" s="940" t="s">
        <v>637</v>
      </c>
      <c r="B21" s="879">
        <v>1</v>
      </c>
      <c r="C21" s="75" t="s">
        <v>130</v>
      </c>
      <c r="D21" s="879">
        <v>2</v>
      </c>
      <c r="E21" s="879">
        <v>2</v>
      </c>
      <c r="F21" s="880">
        <v>0</v>
      </c>
      <c r="G21" s="880"/>
      <c r="H21" s="8">
        <v>0</v>
      </c>
      <c r="I21" s="8">
        <v>0</v>
      </c>
      <c r="J21" s="8">
        <v>0</v>
      </c>
      <c r="K21" s="7">
        <f t="shared" si="0"/>
        <v>0</v>
      </c>
      <c r="L21" s="378"/>
    </row>
    <row r="22" spans="1:12">
      <c r="A22" s="940" t="s">
        <v>637</v>
      </c>
      <c r="B22" s="879">
        <v>1</v>
      </c>
      <c r="C22" s="75" t="s">
        <v>1824</v>
      </c>
      <c r="D22" s="879">
        <v>1</v>
      </c>
      <c r="E22" s="879">
        <v>1</v>
      </c>
      <c r="F22" s="880">
        <v>0</v>
      </c>
      <c r="G22" s="880"/>
      <c r="H22" s="8">
        <v>0</v>
      </c>
      <c r="I22" s="8">
        <v>0</v>
      </c>
      <c r="J22" s="8">
        <v>0</v>
      </c>
      <c r="K22" s="7">
        <f t="shared" si="0"/>
        <v>0</v>
      </c>
      <c r="L22" s="378"/>
    </row>
    <row r="23" spans="1:12">
      <c r="A23" s="940" t="s">
        <v>637</v>
      </c>
      <c r="B23" s="879">
        <v>2</v>
      </c>
      <c r="C23" s="75" t="s">
        <v>1825</v>
      </c>
      <c r="D23" s="879">
        <v>1</v>
      </c>
      <c r="E23" s="879">
        <v>1</v>
      </c>
      <c r="F23" s="880">
        <v>0</v>
      </c>
      <c r="G23" s="880"/>
      <c r="H23" s="8">
        <v>0</v>
      </c>
      <c r="I23" s="8">
        <v>0</v>
      </c>
      <c r="J23" s="8">
        <v>0</v>
      </c>
      <c r="K23" s="7">
        <f t="shared" si="0"/>
        <v>0</v>
      </c>
      <c r="L23" s="378"/>
    </row>
    <row r="24" spans="1:12">
      <c r="A24" s="940" t="s">
        <v>637</v>
      </c>
      <c r="B24" s="879">
        <v>2</v>
      </c>
      <c r="C24" s="75" t="s">
        <v>1826</v>
      </c>
      <c r="D24" s="879">
        <v>1</v>
      </c>
      <c r="E24" s="879">
        <v>1</v>
      </c>
      <c r="F24" s="880">
        <v>0</v>
      </c>
      <c r="G24" s="880"/>
      <c r="H24" s="8">
        <v>0</v>
      </c>
      <c r="I24" s="8">
        <v>0</v>
      </c>
      <c r="J24" s="8">
        <v>0</v>
      </c>
      <c r="K24" s="7">
        <f t="shared" si="0"/>
        <v>0</v>
      </c>
      <c r="L24" s="378"/>
    </row>
    <row r="25" spans="1:12">
      <c r="A25" s="940" t="s">
        <v>637</v>
      </c>
      <c r="B25" s="879">
        <v>2</v>
      </c>
      <c r="C25" s="75" t="s">
        <v>130</v>
      </c>
      <c r="D25" s="879">
        <v>2</v>
      </c>
      <c r="E25" s="879">
        <v>2</v>
      </c>
      <c r="F25" s="880">
        <v>0</v>
      </c>
      <c r="G25" s="880"/>
      <c r="H25" s="8">
        <v>0</v>
      </c>
      <c r="I25" s="8">
        <v>0</v>
      </c>
      <c r="J25" s="8">
        <v>0</v>
      </c>
      <c r="K25" s="7">
        <f t="shared" si="0"/>
        <v>0</v>
      </c>
      <c r="L25" s="378"/>
    </row>
    <row r="26" spans="1:12">
      <c r="A26" s="940" t="s">
        <v>637</v>
      </c>
      <c r="B26" s="879">
        <v>2</v>
      </c>
      <c r="C26" s="75" t="s">
        <v>1827</v>
      </c>
      <c r="D26" s="879">
        <v>2</v>
      </c>
      <c r="E26" s="879">
        <v>2</v>
      </c>
      <c r="F26" s="880">
        <v>0</v>
      </c>
      <c r="G26" s="880"/>
      <c r="H26" s="8">
        <v>0</v>
      </c>
      <c r="I26" s="8">
        <v>0</v>
      </c>
      <c r="J26" s="8">
        <v>0</v>
      </c>
      <c r="K26" s="7">
        <f t="shared" si="0"/>
        <v>0</v>
      </c>
      <c r="L26" s="378"/>
    </row>
    <row r="27" spans="1:12">
      <c r="A27" s="940" t="s">
        <v>637</v>
      </c>
      <c r="B27" s="879">
        <v>2</v>
      </c>
      <c r="C27" s="75" t="s">
        <v>1828</v>
      </c>
      <c r="D27" s="879">
        <v>1</v>
      </c>
      <c r="E27" s="879">
        <v>1</v>
      </c>
      <c r="F27" s="880">
        <v>0</v>
      </c>
      <c r="G27" s="880"/>
      <c r="H27" s="8">
        <v>0</v>
      </c>
      <c r="I27" s="8">
        <v>0</v>
      </c>
      <c r="J27" s="8">
        <v>0</v>
      </c>
      <c r="K27" s="7">
        <f t="shared" si="0"/>
        <v>0</v>
      </c>
      <c r="L27" s="378"/>
    </row>
    <row r="28" spans="1:12">
      <c r="A28" s="940" t="s">
        <v>637</v>
      </c>
      <c r="B28" s="879">
        <v>2</v>
      </c>
      <c r="C28" s="75" t="s">
        <v>1829</v>
      </c>
      <c r="D28" s="879">
        <v>1</v>
      </c>
      <c r="E28" s="879">
        <v>1</v>
      </c>
      <c r="F28" s="880">
        <v>0</v>
      </c>
      <c r="G28" s="880"/>
      <c r="H28" s="8">
        <v>0</v>
      </c>
      <c r="I28" s="8">
        <v>0</v>
      </c>
      <c r="J28" s="8">
        <v>0</v>
      </c>
      <c r="K28" s="7">
        <f t="shared" si="0"/>
        <v>0</v>
      </c>
      <c r="L28" s="378"/>
    </row>
    <row r="29" spans="1:12">
      <c r="A29" s="940" t="s">
        <v>637</v>
      </c>
      <c r="B29" s="879">
        <v>2</v>
      </c>
      <c r="C29" s="75" t="s">
        <v>1830</v>
      </c>
      <c r="D29" s="879">
        <v>1</v>
      </c>
      <c r="E29" s="879">
        <v>1</v>
      </c>
      <c r="F29" s="880">
        <v>0</v>
      </c>
      <c r="G29" s="880"/>
      <c r="H29" s="8">
        <v>0</v>
      </c>
      <c r="I29" s="8">
        <v>0</v>
      </c>
      <c r="J29" s="8">
        <v>0</v>
      </c>
      <c r="K29" s="7">
        <f t="shared" si="0"/>
        <v>0</v>
      </c>
      <c r="L29" s="378"/>
    </row>
    <row r="30" spans="1:12">
      <c r="A30" s="940" t="s">
        <v>637</v>
      </c>
      <c r="B30" s="879">
        <v>2</v>
      </c>
      <c r="C30" s="75" t="s">
        <v>1831</v>
      </c>
      <c r="D30" s="879">
        <v>1</v>
      </c>
      <c r="E30" s="879">
        <v>1</v>
      </c>
      <c r="F30" s="880">
        <v>0</v>
      </c>
      <c r="G30" s="880"/>
      <c r="H30" s="8">
        <v>0</v>
      </c>
      <c r="I30" s="8">
        <v>0</v>
      </c>
      <c r="J30" s="8">
        <v>0</v>
      </c>
      <c r="K30" s="7">
        <f t="shared" si="0"/>
        <v>0</v>
      </c>
      <c r="L30" s="378"/>
    </row>
    <row r="31" spans="1:12">
      <c r="A31" s="763" t="s">
        <v>1832</v>
      </c>
      <c r="B31" s="879">
        <v>1</v>
      </c>
      <c r="C31" s="75" t="s">
        <v>1655</v>
      </c>
      <c r="D31" s="879">
        <v>1</v>
      </c>
      <c r="E31" s="879">
        <v>1</v>
      </c>
      <c r="F31" s="880">
        <v>0</v>
      </c>
      <c r="G31" s="880"/>
      <c r="H31" s="8">
        <v>0</v>
      </c>
      <c r="I31" s="8">
        <v>0</v>
      </c>
      <c r="J31" s="8">
        <v>0</v>
      </c>
      <c r="K31" s="7">
        <f t="shared" si="0"/>
        <v>0</v>
      </c>
      <c r="L31" s="378"/>
    </row>
    <row r="32" spans="1:12">
      <c r="A32" s="763" t="s">
        <v>1832</v>
      </c>
      <c r="B32" s="879">
        <v>2</v>
      </c>
      <c r="C32" s="75" t="s">
        <v>1833</v>
      </c>
      <c r="D32" s="879">
        <v>1</v>
      </c>
      <c r="E32" s="879">
        <v>1</v>
      </c>
      <c r="F32" s="880">
        <v>0</v>
      </c>
      <c r="G32" s="880"/>
      <c r="H32" s="8">
        <v>0</v>
      </c>
      <c r="I32" s="8">
        <v>0</v>
      </c>
      <c r="J32" s="8">
        <v>0</v>
      </c>
      <c r="K32" s="7">
        <f t="shared" si="0"/>
        <v>0</v>
      </c>
      <c r="L32" s="378"/>
    </row>
    <row r="33" spans="1:12">
      <c r="A33" s="763" t="s">
        <v>1832</v>
      </c>
      <c r="B33" s="879">
        <v>2</v>
      </c>
      <c r="C33" s="75" t="s">
        <v>1834</v>
      </c>
      <c r="D33" s="879">
        <v>1</v>
      </c>
      <c r="E33" s="879">
        <v>1</v>
      </c>
      <c r="F33" s="880">
        <v>0</v>
      </c>
      <c r="G33" s="880"/>
      <c r="H33" s="8">
        <v>0</v>
      </c>
      <c r="I33" s="8">
        <v>0</v>
      </c>
      <c r="J33" s="8">
        <v>0</v>
      </c>
      <c r="K33" s="7">
        <f t="shared" si="0"/>
        <v>0</v>
      </c>
      <c r="L33" s="378"/>
    </row>
    <row r="34" spans="1:12">
      <c r="A34" s="940" t="s">
        <v>1835</v>
      </c>
      <c r="B34" s="879">
        <v>1</v>
      </c>
      <c r="C34" s="75" t="s">
        <v>1836</v>
      </c>
      <c r="D34" s="879">
        <v>1</v>
      </c>
      <c r="E34" s="879">
        <v>1</v>
      </c>
      <c r="F34" s="880">
        <v>0</v>
      </c>
      <c r="G34" s="880"/>
      <c r="H34" s="8">
        <v>0</v>
      </c>
      <c r="I34" s="8">
        <v>0</v>
      </c>
      <c r="J34" s="8">
        <v>0</v>
      </c>
      <c r="K34" s="7">
        <f t="shared" si="0"/>
        <v>0</v>
      </c>
      <c r="L34" s="378"/>
    </row>
    <row r="35" spans="1:12">
      <c r="A35" s="940" t="s">
        <v>1835</v>
      </c>
      <c r="B35" s="879">
        <v>1</v>
      </c>
      <c r="C35" s="75" t="s">
        <v>1837</v>
      </c>
      <c r="D35" s="879">
        <v>1</v>
      </c>
      <c r="E35" s="879">
        <v>1</v>
      </c>
      <c r="F35" s="880">
        <v>0</v>
      </c>
      <c r="G35" s="880"/>
      <c r="H35" s="8">
        <v>0</v>
      </c>
      <c r="I35" s="8">
        <v>0</v>
      </c>
      <c r="J35" s="8">
        <v>0</v>
      </c>
      <c r="K35" s="7">
        <f t="shared" si="0"/>
        <v>0</v>
      </c>
      <c r="L35" s="378"/>
    </row>
    <row r="36" spans="1:12">
      <c r="A36" s="878" t="s">
        <v>1838</v>
      </c>
      <c r="B36" s="879">
        <v>1</v>
      </c>
      <c r="C36" s="75" t="s">
        <v>1839</v>
      </c>
      <c r="D36" s="879">
        <v>1</v>
      </c>
      <c r="E36" s="879">
        <v>1</v>
      </c>
      <c r="F36" s="880">
        <v>0</v>
      </c>
      <c r="G36" s="880"/>
      <c r="H36" s="8">
        <v>0</v>
      </c>
      <c r="I36" s="8">
        <v>0</v>
      </c>
      <c r="J36" s="8">
        <v>0</v>
      </c>
      <c r="K36" s="7">
        <f t="shared" si="0"/>
        <v>0</v>
      </c>
      <c r="L36" s="378"/>
    </row>
    <row r="37" spans="1:12">
      <c r="A37" s="878" t="s">
        <v>1840</v>
      </c>
      <c r="B37" s="879">
        <v>1</v>
      </c>
      <c r="C37" s="75" t="s">
        <v>1841</v>
      </c>
      <c r="D37" s="879">
        <v>1</v>
      </c>
      <c r="E37" s="879">
        <v>1</v>
      </c>
      <c r="F37" s="880">
        <v>0</v>
      </c>
      <c r="G37" s="880"/>
      <c r="H37" s="8">
        <v>0</v>
      </c>
      <c r="I37" s="8">
        <v>0</v>
      </c>
      <c r="J37" s="8">
        <v>0</v>
      </c>
      <c r="K37" s="7">
        <f t="shared" si="0"/>
        <v>0</v>
      </c>
      <c r="L37" s="378"/>
    </row>
    <row r="38" spans="1:12">
      <c r="A38" s="878" t="s">
        <v>1842</v>
      </c>
      <c r="B38" s="879">
        <v>1</v>
      </c>
      <c r="C38" s="75" t="s">
        <v>1843</v>
      </c>
      <c r="D38" s="879">
        <v>1</v>
      </c>
      <c r="E38" s="879">
        <v>0</v>
      </c>
      <c r="F38" s="880">
        <v>1</v>
      </c>
      <c r="G38" s="880" t="s">
        <v>158</v>
      </c>
      <c r="H38" s="8">
        <v>0</v>
      </c>
      <c r="I38" s="8">
        <v>0</v>
      </c>
      <c r="J38" s="8">
        <v>0</v>
      </c>
      <c r="K38" s="7">
        <f t="shared" si="0"/>
        <v>0</v>
      </c>
      <c r="L38" s="378"/>
    </row>
    <row r="39" spans="1:12">
      <c r="A39" s="763" t="s">
        <v>1580</v>
      </c>
      <c r="B39" s="879">
        <v>1</v>
      </c>
      <c r="C39" s="75" t="s">
        <v>1674</v>
      </c>
      <c r="D39" s="879">
        <v>1</v>
      </c>
      <c r="E39" s="879">
        <v>1</v>
      </c>
      <c r="F39" s="880">
        <v>0</v>
      </c>
      <c r="G39" s="880"/>
      <c r="H39" s="8">
        <v>0</v>
      </c>
      <c r="I39" s="8">
        <v>0</v>
      </c>
      <c r="J39" s="8">
        <v>0</v>
      </c>
      <c r="K39" s="7">
        <f t="shared" si="0"/>
        <v>0</v>
      </c>
      <c r="L39" s="378"/>
    </row>
    <row r="40" spans="1:12">
      <c r="A40" s="763" t="s">
        <v>1580</v>
      </c>
      <c r="B40" s="879">
        <v>1</v>
      </c>
      <c r="C40" s="75" t="s">
        <v>1844</v>
      </c>
      <c r="D40" s="879">
        <v>1</v>
      </c>
      <c r="E40" s="879">
        <v>1</v>
      </c>
      <c r="F40" s="880">
        <v>0</v>
      </c>
      <c r="G40" s="880"/>
      <c r="H40" s="8">
        <v>0</v>
      </c>
      <c r="I40" s="8">
        <v>0</v>
      </c>
      <c r="J40" s="8">
        <v>0</v>
      </c>
      <c r="K40" s="7">
        <f t="shared" si="0"/>
        <v>0</v>
      </c>
      <c r="L40" s="378"/>
    </row>
    <row r="41" spans="1:12">
      <c r="A41" s="763" t="s">
        <v>1580</v>
      </c>
      <c r="B41" s="879">
        <v>1</v>
      </c>
      <c r="C41" s="75" t="s">
        <v>1655</v>
      </c>
      <c r="D41" s="879">
        <v>1</v>
      </c>
      <c r="E41" s="879">
        <v>1</v>
      </c>
      <c r="F41" s="880">
        <v>0</v>
      </c>
      <c r="G41" s="880"/>
      <c r="H41" s="8">
        <v>0</v>
      </c>
      <c r="I41" s="8">
        <v>0</v>
      </c>
      <c r="J41" s="8">
        <v>0</v>
      </c>
      <c r="K41" s="7">
        <f t="shared" si="0"/>
        <v>0</v>
      </c>
      <c r="L41" s="378"/>
    </row>
    <row r="42" spans="1:12">
      <c r="A42" s="763" t="s">
        <v>1580</v>
      </c>
      <c r="B42" s="879">
        <v>1</v>
      </c>
      <c r="C42" s="75" t="s">
        <v>1845</v>
      </c>
      <c r="D42" s="879">
        <v>1</v>
      </c>
      <c r="E42" s="879">
        <v>1</v>
      </c>
      <c r="F42" s="880">
        <v>0</v>
      </c>
      <c r="G42" s="880"/>
      <c r="H42" s="8">
        <v>0</v>
      </c>
      <c r="I42" s="8">
        <v>0</v>
      </c>
      <c r="J42" s="8">
        <v>0</v>
      </c>
      <c r="K42" s="7">
        <f t="shared" si="0"/>
        <v>0</v>
      </c>
      <c r="L42" s="378"/>
    </row>
    <row r="43" spans="1:12">
      <c r="A43" s="763" t="s">
        <v>1580</v>
      </c>
      <c r="B43" s="879">
        <v>1</v>
      </c>
      <c r="C43" s="75" t="s">
        <v>1846</v>
      </c>
      <c r="D43" s="879">
        <v>1</v>
      </c>
      <c r="E43" s="879">
        <v>1</v>
      </c>
      <c r="F43" s="880">
        <v>0</v>
      </c>
      <c r="G43" s="880"/>
      <c r="H43" s="8">
        <v>0</v>
      </c>
      <c r="I43" s="8">
        <v>0</v>
      </c>
      <c r="J43" s="8">
        <v>0</v>
      </c>
      <c r="K43" s="7">
        <f t="shared" si="0"/>
        <v>0</v>
      </c>
      <c r="L43" s="378"/>
    </row>
    <row r="44" spans="1:12">
      <c r="A44" s="381"/>
      <c r="B44" s="382"/>
      <c r="C44" s="383" t="s">
        <v>259</v>
      </c>
      <c r="D44" s="68">
        <f>SUM(D2:D43)</f>
        <v>45</v>
      </c>
      <c r="E44" s="68">
        <f t="shared" ref="E44:F44" si="1">SUM(E2:E43)</f>
        <v>43</v>
      </c>
      <c r="F44" s="68">
        <f t="shared" si="1"/>
        <v>2</v>
      </c>
      <c r="G44" s="68">
        <f>SUMIF(G2:G43,"Done",F2:F43)</f>
        <v>2</v>
      </c>
      <c r="H44" s="68">
        <f>SUM(H2:H43)</f>
        <v>0</v>
      </c>
      <c r="I44" s="68">
        <f>SUM(I2:I43)</f>
        <v>0</v>
      </c>
      <c r="J44" s="68">
        <f>SUM(J2:J43)</f>
        <v>0</v>
      </c>
      <c r="K44" s="68"/>
      <c r="L44" s="6"/>
    </row>
    <row r="45" spans="1:12">
      <c r="A45" s="381"/>
      <c r="B45" s="382"/>
      <c r="C45" s="69" t="s">
        <v>260</v>
      </c>
      <c r="D45" s="70"/>
      <c r="E45" s="6"/>
      <c r="F45" s="6"/>
      <c r="G45" s="6"/>
      <c r="H45" s="71">
        <f>H44/D44</f>
        <v>0</v>
      </c>
      <c r="I45" s="71">
        <f>I44/D44</f>
        <v>0</v>
      </c>
      <c r="J45" s="71">
        <f>J44/D44</f>
        <v>0</v>
      </c>
      <c r="K45" s="72">
        <f>ROUNDUP(AVERAGE(K2:K43),2)</f>
        <v>0</v>
      </c>
      <c r="L45" s="6"/>
    </row>
  </sheetData>
  <autoFilter ref="A1:D1" xr:uid="{EE30FD31-2E01-4AF4-9806-0C27F692DB33}"/>
  <dataConsolidate/>
  <conditionalFormatting sqref="G2:G43">
    <cfRule type="cellIs" dxfId="3" priority="1" operator="equal">
      <formula>"Done"</formula>
    </cfRule>
    <cfRule type="cellIs" dxfId="2" priority="2" operator="equal">
      <formula>"In Progress"</formula>
    </cfRule>
  </conditionalFormatting>
  <dataValidations count="1">
    <dataValidation type="list" allowBlank="1" showInputMessage="1" showErrorMessage="1" sqref="G2:G43" xr:uid="{7CA02B58-98BF-414F-8053-91018AA08630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44" 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1FE5-9E83-4981-A3E4-F3154EE8AACE}">
  <sheetPr>
    <pageSetUpPr fitToPage="1"/>
  </sheetPr>
  <dimension ref="A1:P58"/>
  <sheetViews>
    <sheetView zoomScale="80" zoomScaleNormal="80" zoomScaleSheetLayoutView="80" workbookViewId="0">
      <pane ySplit="1" topLeftCell="A18" activePane="bottomLeft" state="frozen"/>
      <selection pane="bottomLeft" activeCell="O2" sqref="O2:O24"/>
    </sheetView>
  </sheetViews>
  <sheetFormatPr defaultColWidth="10.88671875" defaultRowHeight="21"/>
  <cols>
    <col min="1" max="1" width="8.6640625" style="106" customWidth="1"/>
    <col min="2" max="2" width="46.109375" style="76" customWidth="1"/>
    <col min="3" max="3" width="12.109375" style="76" customWidth="1"/>
    <col min="4" max="4" width="40.88671875" style="76" customWidth="1"/>
    <col min="5" max="5" width="22.33203125" style="76" customWidth="1"/>
    <col min="6" max="6" width="18.33203125" style="76" bestFit="1" customWidth="1"/>
    <col min="7" max="7" width="10.33203125" style="76" hidden="1" customWidth="1"/>
    <col min="8" max="8" width="12.109375" style="76" hidden="1" customWidth="1"/>
    <col min="9" max="9" width="18.33203125" style="76" bestFit="1" customWidth="1"/>
    <col min="10" max="10" width="18" style="76" customWidth="1"/>
    <col min="11" max="11" width="13" style="76" customWidth="1"/>
    <col min="12" max="13" width="14.88671875" style="76" customWidth="1"/>
    <col min="14" max="14" width="15.5546875" style="76" customWidth="1"/>
    <col min="15" max="15" width="18.5546875" style="64" customWidth="1"/>
    <col min="16" max="16384" width="10.88671875" style="76"/>
  </cols>
  <sheetData>
    <row r="1" spans="1:15" s="123" customFormat="1" ht="63">
      <c r="A1" s="118" t="s">
        <v>261</v>
      </c>
      <c r="B1" s="104" t="s">
        <v>15</v>
      </c>
      <c r="C1" s="104" t="s">
        <v>17</v>
      </c>
      <c r="D1" s="104" t="s">
        <v>262</v>
      </c>
      <c r="E1" s="104" t="s">
        <v>263</v>
      </c>
      <c r="F1" s="121" t="s">
        <v>264</v>
      </c>
      <c r="G1" s="121" t="s">
        <v>265</v>
      </c>
      <c r="H1" s="121" t="s">
        <v>266</v>
      </c>
      <c r="I1" s="121" t="s">
        <v>267</v>
      </c>
      <c r="J1" s="121" t="s">
        <v>268</v>
      </c>
      <c r="K1" s="121" t="s">
        <v>269</v>
      </c>
      <c r="L1" s="121" t="s">
        <v>270</v>
      </c>
      <c r="M1" s="121" t="s">
        <v>271</v>
      </c>
      <c r="N1" s="121" t="s">
        <v>272</v>
      </c>
      <c r="O1" s="122" t="s">
        <v>273</v>
      </c>
    </row>
    <row r="2" spans="1:15" s="86" customFormat="1">
      <c r="A2" s="119" t="s">
        <v>10</v>
      </c>
      <c r="B2" s="114" t="s">
        <v>1580</v>
      </c>
      <c r="C2" s="174">
        <v>1</v>
      </c>
      <c r="D2" s="115" t="s">
        <v>237</v>
      </c>
      <c r="E2" s="84" t="s">
        <v>1847</v>
      </c>
      <c r="F2" s="85" t="b">
        <v>1</v>
      </c>
      <c r="G2" s="85" t="b">
        <v>0</v>
      </c>
      <c r="H2" s="85" t="b">
        <v>0</v>
      </c>
      <c r="I2" s="85" t="b">
        <v>0</v>
      </c>
      <c r="J2" s="85" t="b">
        <v>0</v>
      </c>
      <c r="K2" s="85" t="b">
        <v>0</v>
      </c>
      <c r="L2" s="85" t="b">
        <v>0</v>
      </c>
      <c r="M2" s="85" t="b">
        <v>0</v>
      </c>
      <c r="N2" s="85" t="b">
        <v>0</v>
      </c>
      <c r="O2" s="113" t="s">
        <v>158</v>
      </c>
    </row>
    <row r="3" spans="1:15" s="86" customFormat="1">
      <c r="A3" s="119" t="s">
        <v>10</v>
      </c>
      <c r="B3" s="146" t="s">
        <v>1848</v>
      </c>
      <c r="C3" s="175">
        <v>1</v>
      </c>
      <c r="D3" s="117" t="s">
        <v>1762</v>
      </c>
      <c r="E3" s="84">
        <v>12</v>
      </c>
      <c r="F3" s="85" t="b">
        <v>1</v>
      </c>
      <c r="G3" s="85" t="b">
        <v>0</v>
      </c>
      <c r="H3" s="85" t="b">
        <v>0</v>
      </c>
      <c r="I3" s="85" t="b">
        <v>0</v>
      </c>
      <c r="J3" s="85" t="b">
        <v>0</v>
      </c>
      <c r="K3" s="85" t="b">
        <v>0</v>
      </c>
      <c r="L3" s="85" t="b">
        <v>1</v>
      </c>
      <c r="M3" s="85" t="b">
        <v>0</v>
      </c>
      <c r="N3" s="85" t="b">
        <v>1</v>
      </c>
      <c r="O3" s="113" t="s">
        <v>158</v>
      </c>
    </row>
    <row r="4" spans="1:15" s="86" customFormat="1">
      <c r="A4" s="119" t="s">
        <v>10</v>
      </c>
      <c r="B4" s="146" t="s">
        <v>1849</v>
      </c>
      <c r="C4" s="175">
        <v>1</v>
      </c>
      <c r="D4" s="131" t="s">
        <v>1850</v>
      </c>
      <c r="E4" s="84" t="s">
        <v>1851</v>
      </c>
      <c r="F4" s="85" t="b">
        <v>1</v>
      </c>
      <c r="G4" s="85" t="b">
        <v>0</v>
      </c>
      <c r="H4" s="85" t="b">
        <v>0</v>
      </c>
      <c r="I4" s="85" t="b">
        <v>0</v>
      </c>
      <c r="J4" s="85" t="b">
        <v>0</v>
      </c>
      <c r="K4" s="85" t="b">
        <v>0</v>
      </c>
      <c r="L4" s="85" t="b">
        <v>0</v>
      </c>
      <c r="M4" s="85" t="b">
        <v>0</v>
      </c>
      <c r="N4" s="85" t="b">
        <v>0</v>
      </c>
      <c r="O4" s="113" t="s">
        <v>158</v>
      </c>
    </row>
    <row r="5" spans="1:15" s="86" customFormat="1">
      <c r="A5" s="119" t="s">
        <v>10</v>
      </c>
      <c r="B5" s="146" t="s">
        <v>1852</v>
      </c>
      <c r="C5" s="175">
        <v>1</v>
      </c>
      <c r="D5" s="117" t="s">
        <v>1769</v>
      </c>
      <c r="E5" s="84">
        <v>11</v>
      </c>
      <c r="F5" s="85" t="b">
        <v>1</v>
      </c>
      <c r="G5" s="85" t="b">
        <v>0</v>
      </c>
      <c r="H5" s="85" t="b">
        <v>0</v>
      </c>
      <c r="I5" s="85" t="b">
        <v>0</v>
      </c>
      <c r="J5" s="85" t="b">
        <v>0</v>
      </c>
      <c r="K5" s="85" t="b">
        <v>0</v>
      </c>
      <c r="L5" s="85" t="b">
        <v>1</v>
      </c>
      <c r="M5" s="85" t="b">
        <v>0</v>
      </c>
      <c r="N5" s="85" t="b">
        <v>0</v>
      </c>
      <c r="O5" s="113" t="s">
        <v>158</v>
      </c>
    </row>
    <row r="6" spans="1:15" s="86" customFormat="1">
      <c r="A6" s="119" t="s">
        <v>10</v>
      </c>
      <c r="B6" s="146" t="s">
        <v>1853</v>
      </c>
      <c r="C6" s="175">
        <v>1</v>
      </c>
      <c r="D6" s="131" t="s">
        <v>1854</v>
      </c>
      <c r="E6" s="84">
        <v>14</v>
      </c>
      <c r="F6" s="85" t="b">
        <v>1</v>
      </c>
      <c r="G6" s="85" t="b">
        <v>0</v>
      </c>
      <c r="H6" s="85" t="b">
        <v>0</v>
      </c>
      <c r="I6" s="85" t="b">
        <v>0</v>
      </c>
      <c r="J6" s="85" t="b">
        <v>0</v>
      </c>
      <c r="K6" s="85" t="b">
        <v>0</v>
      </c>
      <c r="L6" s="85" t="b">
        <v>0</v>
      </c>
      <c r="M6" s="85" t="b">
        <v>0</v>
      </c>
      <c r="N6" s="85" t="b">
        <v>0</v>
      </c>
      <c r="O6" s="113" t="s">
        <v>158</v>
      </c>
    </row>
    <row r="7" spans="1:15" s="86" customFormat="1">
      <c r="A7" s="119" t="s">
        <v>10</v>
      </c>
      <c r="B7" s="116" t="s">
        <v>1772</v>
      </c>
      <c r="C7" s="175">
        <v>1</v>
      </c>
      <c r="D7" s="273" t="s">
        <v>1773</v>
      </c>
      <c r="E7" s="84" t="s">
        <v>1745</v>
      </c>
      <c r="F7" s="85" t="b">
        <v>1</v>
      </c>
      <c r="G7" s="85" t="b">
        <v>0</v>
      </c>
      <c r="H7" s="85" t="b">
        <v>0</v>
      </c>
      <c r="I7" s="85" t="b">
        <v>0</v>
      </c>
      <c r="J7" s="85" t="b">
        <v>0</v>
      </c>
      <c r="K7" s="85" t="b">
        <v>0</v>
      </c>
      <c r="L7" s="85" t="b">
        <v>1</v>
      </c>
      <c r="M7" s="85" t="b">
        <v>0</v>
      </c>
      <c r="N7" s="85" t="b">
        <v>0</v>
      </c>
      <c r="O7" s="113" t="s">
        <v>158</v>
      </c>
    </row>
    <row r="8" spans="1:15" s="86" customFormat="1">
      <c r="A8" s="119" t="s">
        <v>10</v>
      </c>
      <c r="B8" s="116" t="s">
        <v>1772</v>
      </c>
      <c r="C8" s="175">
        <v>2</v>
      </c>
      <c r="D8" s="117" t="s">
        <v>1855</v>
      </c>
      <c r="E8" s="84" t="s">
        <v>1856</v>
      </c>
      <c r="F8" s="85" t="b">
        <v>0</v>
      </c>
      <c r="G8" s="85" t="b">
        <v>0</v>
      </c>
      <c r="H8" s="85" t="b">
        <v>0</v>
      </c>
      <c r="I8" s="85" t="b">
        <v>1</v>
      </c>
      <c r="J8" s="85" t="b">
        <v>0</v>
      </c>
      <c r="K8" s="85" t="b">
        <v>0</v>
      </c>
      <c r="L8" s="85" t="b">
        <v>0</v>
      </c>
      <c r="M8" s="85" t="b">
        <v>0</v>
      </c>
      <c r="N8" s="85" t="b">
        <v>1</v>
      </c>
      <c r="O8" s="113" t="s">
        <v>158</v>
      </c>
    </row>
    <row r="9" spans="1:15" s="86" customFormat="1">
      <c r="A9" s="119" t="s">
        <v>10</v>
      </c>
      <c r="B9" s="116" t="s">
        <v>1772</v>
      </c>
      <c r="C9" s="175">
        <v>2</v>
      </c>
      <c r="D9" s="274" t="s">
        <v>1857</v>
      </c>
      <c r="E9" s="84" t="s">
        <v>1858</v>
      </c>
      <c r="F9" s="85" t="b">
        <v>0</v>
      </c>
      <c r="G9" s="85" t="b">
        <v>0</v>
      </c>
      <c r="H9" s="85" t="b">
        <v>0</v>
      </c>
      <c r="I9" s="85" t="b">
        <v>1</v>
      </c>
      <c r="J9" s="85" t="b">
        <v>0</v>
      </c>
      <c r="K9" s="85" t="b">
        <v>0</v>
      </c>
      <c r="L9" s="85" t="b">
        <v>0</v>
      </c>
      <c r="M9" s="85" t="b">
        <v>0</v>
      </c>
      <c r="N9" s="85" t="b">
        <v>0</v>
      </c>
      <c r="O9" s="113" t="s">
        <v>158</v>
      </c>
    </row>
    <row r="10" spans="1:15" s="86" customFormat="1">
      <c r="A10" s="119" t="s">
        <v>10</v>
      </c>
      <c r="B10" s="116" t="s">
        <v>1772</v>
      </c>
      <c r="C10" s="175">
        <v>1</v>
      </c>
      <c r="D10" s="273" t="s">
        <v>1781</v>
      </c>
      <c r="E10" s="176" t="s">
        <v>41</v>
      </c>
      <c r="F10" s="85" t="b">
        <v>0</v>
      </c>
      <c r="G10" s="85" t="b">
        <v>0</v>
      </c>
      <c r="H10" s="85" t="b">
        <v>0</v>
      </c>
      <c r="I10" s="85" t="b">
        <v>1</v>
      </c>
      <c r="J10" s="85" t="b">
        <v>0</v>
      </c>
      <c r="K10" s="85" t="b">
        <v>0</v>
      </c>
      <c r="L10" s="85" t="b">
        <v>0</v>
      </c>
      <c r="M10" s="85" t="b">
        <v>0</v>
      </c>
      <c r="N10" s="85" t="b">
        <v>0</v>
      </c>
      <c r="O10" s="113" t="s">
        <v>158</v>
      </c>
    </row>
    <row r="11" spans="1:15" s="86" customFormat="1">
      <c r="A11" s="119" t="s">
        <v>10</v>
      </c>
      <c r="B11" s="116" t="s">
        <v>1772</v>
      </c>
      <c r="C11" s="175">
        <v>1</v>
      </c>
      <c r="D11" s="274" t="s">
        <v>1782</v>
      </c>
      <c r="E11" s="84" t="s">
        <v>1859</v>
      </c>
      <c r="F11" s="85" t="b">
        <v>0</v>
      </c>
      <c r="G11" s="85" t="b">
        <v>0</v>
      </c>
      <c r="H11" s="85" t="b">
        <v>0</v>
      </c>
      <c r="I11" s="85" t="b">
        <v>1</v>
      </c>
      <c r="J11" s="85" t="b">
        <v>0</v>
      </c>
      <c r="K11" s="85" t="b">
        <v>0</v>
      </c>
      <c r="L11" s="85" t="b">
        <v>0</v>
      </c>
      <c r="M11" s="85" t="b">
        <v>0</v>
      </c>
      <c r="N11" s="85" t="b">
        <v>0</v>
      </c>
      <c r="O11" s="113" t="s">
        <v>158</v>
      </c>
    </row>
    <row r="12" spans="1:15" s="86" customFormat="1">
      <c r="A12" s="119" t="s">
        <v>10</v>
      </c>
      <c r="B12" s="116" t="s">
        <v>1772</v>
      </c>
      <c r="C12" s="175">
        <v>1</v>
      </c>
      <c r="D12" s="273" t="s">
        <v>1783</v>
      </c>
      <c r="E12" s="84" t="s">
        <v>1860</v>
      </c>
      <c r="F12" s="85" t="b">
        <v>1</v>
      </c>
      <c r="G12" s="85" t="b">
        <v>0</v>
      </c>
      <c r="H12" s="85" t="b">
        <v>0</v>
      </c>
      <c r="I12" s="85" t="b">
        <v>0</v>
      </c>
      <c r="J12" s="85" t="b">
        <v>0</v>
      </c>
      <c r="K12" s="85" t="b">
        <v>0</v>
      </c>
      <c r="L12" s="85" t="b">
        <v>1</v>
      </c>
      <c r="M12" s="85" t="b">
        <v>0</v>
      </c>
      <c r="N12" s="85" t="b">
        <v>0</v>
      </c>
      <c r="O12" s="113" t="s">
        <v>158</v>
      </c>
    </row>
    <row r="13" spans="1:15" s="86" customFormat="1">
      <c r="A13" s="119" t="s">
        <v>10</v>
      </c>
      <c r="B13" s="130" t="s">
        <v>1861</v>
      </c>
      <c r="C13" s="175">
        <v>1</v>
      </c>
      <c r="D13" s="131" t="s">
        <v>1862</v>
      </c>
      <c r="E13" s="84">
        <v>13</v>
      </c>
      <c r="F13" s="85" t="b">
        <v>1</v>
      </c>
      <c r="G13" s="85" t="b">
        <v>0</v>
      </c>
      <c r="H13" s="85" t="b">
        <v>0</v>
      </c>
      <c r="I13" s="85" t="b">
        <v>0</v>
      </c>
      <c r="J13" s="85" t="b">
        <v>0</v>
      </c>
      <c r="K13" s="85" t="b">
        <v>0</v>
      </c>
      <c r="L13" s="85" t="b">
        <v>1</v>
      </c>
      <c r="M13" s="85" t="b">
        <v>0</v>
      </c>
      <c r="N13" s="85" t="b">
        <v>0</v>
      </c>
      <c r="O13" s="113" t="s">
        <v>158</v>
      </c>
    </row>
    <row r="14" spans="1:15" s="86" customFormat="1">
      <c r="A14" s="119" t="s">
        <v>10</v>
      </c>
      <c r="B14" s="116" t="s">
        <v>1772</v>
      </c>
      <c r="C14" s="175">
        <v>1</v>
      </c>
      <c r="D14" s="273" t="s">
        <v>1789</v>
      </c>
      <c r="E14" s="84" t="s">
        <v>1863</v>
      </c>
      <c r="F14" s="85" t="b">
        <v>0</v>
      </c>
      <c r="G14" s="85" t="b">
        <v>0</v>
      </c>
      <c r="H14" s="85" t="b">
        <v>0</v>
      </c>
      <c r="I14" s="85" t="b">
        <v>1</v>
      </c>
      <c r="J14" s="85" t="b">
        <v>0</v>
      </c>
      <c r="K14" s="85" t="b">
        <v>0</v>
      </c>
      <c r="L14" s="85" t="b">
        <v>0</v>
      </c>
      <c r="M14" s="85" t="b">
        <v>0</v>
      </c>
      <c r="N14" s="85" t="b">
        <v>0</v>
      </c>
      <c r="O14" s="113" t="s">
        <v>158</v>
      </c>
    </row>
    <row r="15" spans="1:15" s="86" customFormat="1">
      <c r="A15" s="119" t="s">
        <v>10</v>
      </c>
      <c r="B15" s="276" t="s">
        <v>1864</v>
      </c>
      <c r="C15" s="222">
        <v>1</v>
      </c>
      <c r="D15" s="408" t="s">
        <v>1865</v>
      </c>
      <c r="E15" s="84"/>
      <c r="F15" s="85" t="b">
        <v>1</v>
      </c>
      <c r="G15" s="85" t="b">
        <v>0</v>
      </c>
      <c r="H15" s="85" t="b">
        <v>0</v>
      </c>
      <c r="I15" s="85" t="b">
        <v>0</v>
      </c>
      <c r="J15" s="85" t="b">
        <v>0</v>
      </c>
      <c r="K15" s="85" t="b">
        <v>0</v>
      </c>
      <c r="L15" s="85" t="b">
        <v>0</v>
      </c>
      <c r="M15" s="85" t="b">
        <v>0</v>
      </c>
      <c r="N15" s="85" t="b">
        <v>0</v>
      </c>
      <c r="O15" s="113" t="s">
        <v>158</v>
      </c>
    </row>
    <row r="16" spans="1:15" s="86" customFormat="1">
      <c r="A16" s="119" t="s">
        <v>10</v>
      </c>
      <c r="B16" s="116" t="s">
        <v>1794</v>
      </c>
      <c r="C16" s="175">
        <v>1</v>
      </c>
      <c r="D16" s="117" t="s">
        <v>1477</v>
      </c>
      <c r="E16" s="84">
        <v>10</v>
      </c>
      <c r="F16" s="85" t="b">
        <v>1</v>
      </c>
      <c r="G16" s="85" t="b">
        <v>0</v>
      </c>
      <c r="H16" s="85" t="b">
        <v>0</v>
      </c>
      <c r="I16" s="85" t="b">
        <v>0</v>
      </c>
      <c r="J16" s="85" t="b">
        <v>0</v>
      </c>
      <c r="K16" s="85" t="b">
        <v>0</v>
      </c>
      <c r="L16" s="85" t="b">
        <v>1</v>
      </c>
      <c r="M16" s="85" t="b">
        <v>0</v>
      </c>
      <c r="N16" s="85" t="b">
        <v>0</v>
      </c>
      <c r="O16" s="113" t="s">
        <v>158</v>
      </c>
    </row>
    <row r="17" spans="1:16" s="86" customFormat="1">
      <c r="A17" s="119" t="s">
        <v>10</v>
      </c>
      <c r="B17" s="116" t="s">
        <v>1795</v>
      </c>
      <c r="C17" s="175">
        <v>1</v>
      </c>
      <c r="D17" s="117" t="s">
        <v>1728</v>
      </c>
      <c r="E17" s="84">
        <v>15</v>
      </c>
      <c r="F17" s="85" t="b">
        <v>1</v>
      </c>
      <c r="G17" s="85" t="b">
        <v>0</v>
      </c>
      <c r="H17" s="85" t="b">
        <v>0</v>
      </c>
      <c r="I17" s="85" t="b">
        <v>0</v>
      </c>
      <c r="J17" s="85" t="b">
        <v>0</v>
      </c>
      <c r="K17" s="85" t="b">
        <v>0</v>
      </c>
      <c r="L17" s="85" t="b">
        <v>1</v>
      </c>
      <c r="M17" s="85" t="b">
        <v>0</v>
      </c>
      <c r="N17" s="85" t="b">
        <v>0</v>
      </c>
      <c r="O17" s="113" t="s">
        <v>158</v>
      </c>
    </row>
    <row r="18" spans="1:16" s="86" customFormat="1">
      <c r="A18" s="119" t="s">
        <v>10</v>
      </c>
      <c r="B18" s="116" t="s">
        <v>1758</v>
      </c>
      <c r="C18" s="175">
        <v>2</v>
      </c>
      <c r="D18" s="117" t="s">
        <v>1797</v>
      </c>
      <c r="E18" s="84"/>
      <c r="F18" s="85" t="b">
        <v>1</v>
      </c>
      <c r="G18" s="85" t="b">
        <v>0</v>
      </c>
      <c r="H18" s="85" t="b">
        <v>0</v>
      </c>
      <c r="I18" s="85" t="b">
        <v>0</v>
      </c>
      <c r="J18" s="85" t="b">
        <v>0</v>
      </c>
      <c r="K18" s="85" t="b">
        <v>0</v>
      </c>
      <c r="L18" s="85" t="b">
        <v>0</v>
      </c>
      <c r="M18" s="85" t="b">
        <v>0</v>
      </c>
      <c r="N18" s="85" t="b">
        <v>0</v>
      </c>
      <c r="O18" s="113" t="s">
        <v>158</v>
      </c>
    </row>
    <row r="19" spans="1:16" s="86" customFormat="1">
      <c r="A19" s="119" t="s">
        <v>10</v>
      </c>
      <c r="B19" s="130" t="s">
        <v>1798</v>
      </c>
      <c r="C19" s="175">
        <v>1</v>
      </c>
      <c r="D19" s="131" t="s">
        <v>1799</v>
      </c>
      <c r="E19" s="84"/>
      <c r="F19" s="85"/>
      <c r="G19" s="85"/>
      <c r="H19" s="85"/>
      <c r="I19" s="85" t="b">
        <v>1</v>
      </c>
      <c r="J19" s="85"/>
      <c r="K19" s="85"/>
      <c r="L19" s="85"/>
      <c r="M19" s="85"/>
      <c r="N19" s="85"/>
      <c r="O19" s="113" t="s">
        <v>158</v>
      </c>
    </row>
    <row r="20" spans="1:16" s="86" customFormat="1">
      <c r="A20" s="119" t="s">
        <v>10</v>
      </c>
      <c r="B20" s="116" t="s">
        <v>1798</v>
      </c>
      <c r="C20" s="175">
        <v>2</v>
      </c>
      <c r="D20" s="117" t="s">
        <v>1866</v>
      </c>
      <c r="E20" s="84"/>
      <c r="F20" s="85" t="b">
        <v>0</v>
      </c>
      <c r="G20" s="85" t="b">
        <v>0</v>
      </c>
      <c r="H20" s="85" t="b">
        <v>0</v>
      </c>
      <c r="I20" s="85" t="b">
        <v>1</v>
      </c>
      <c r="J20" s="85" t="b">
        <v>0</v>
      </c>
      <c r="K20" s="85" t="b">
        <v>0</v>
      </c>
      <c r="L20" s="85" t="b">
        <v>0</v>
      </c>
      <c r="M20" s="85" t="b">
        <v>0</v>
      </c>
      <c r="N20" s="85" t="b">
        <v>0</v>
      </c>
      <c r="O20" s="113" t="s">
        <v>158</v>
      </c>
    </row>
    <row r="21" spans="1:16" s="86" customFormat="1">
      <c r="A21" s="119" t="s">
        <v>10</v>
      </c>
      <c r="B21" s="116" t="s">
        <v>1798</v>
      </c>
      <c r="C21" s="277">
        <v>2</v>
      </c>
      <c r="D21" s="131" t="s">
        <v>1867</v>
      </c>
      <c r="E21" s="84"/>
      <c r="F21" s="85" t="b">
        <v>0</v>
      </c>
      <c r="G21" s="85" t="b">
        <v>0</v>
      </c>
      <c r="H21" s="85" t="b">
        <v>0</v>
      </c>
      <c r="I21" s="85" t="b">
        <v>1</v>
      </c>
      <c r="J21" s="85" t="b">
        <v>1</v>
      </c>
      <c r="K21" s="85" t="b">
        <v>0</v>
      </c>
      <c r="L21" s="85" t="b">
        <v>0</v>
      </c>
      <c r="M21" s="85" t="b">
        <v>1</v>
      </c>
      <c r="N21" s="85" t="b">
        <v>0</v>
      </c>
      <c r="O21" s="113" t="s">
        <v>158</v>
      </c>
    </row>
    <row r="22" spans="1:16" s="86" customFormat="1">
      <c r="A22" s="119" t="s">
        <v>10</v>
      </c>
      <c r="B22" s="116" t="s">
        <v>1798</v>
      </c>
      <c r="C22" s="175">
        <v>3</v>
      </c>
      <c r="D22" s="117" t="s">
        <v>1804</v>
      </c>
      <c r="E22" s="84" t="s">
        <v>1868</v>
      </c>
      <c r="F22" s="85" t="b">
        <v>0</v>
      </c>
      <c r="G22" s="85" t="b">
        <v>0</v>
      </c>
      <c r="H22" s="85" t="b">
        <v>0</v>
      </c>
      <c r="I22" s="85" t="b">
        <v>1</v>
      </c>
      <c r="J22" s="85" t="b">
        <v>0</v>
      </c>
      <c r="K22" s="85" t="b">
        <v>0</v>
      </c>
      <c r="L22" s="85" t="b">
        <v>0</v>
      </c>
      <c r="M22" s="85" t="b">
        <v>0</v>
      </c>
      <c r="N22" s="85" t="b">
        <v>0</v>
      </c>
      <c r="O22" s="113" t="s">
        <v>158</v>
      </c>
    </row>
    <row r="23" spans="1:16" s="86" customFormat="1">
      <c r="A23" s="119" t="s">
        <v>10</v>
      </c>
      <c r="B23" s="116" t="s">
        <v>1798</v>
      </c>
      <c r="C23" s="175">
        <v>4</v>
      </c>
      <c r="D23" s="117" t="s">
        <v>1805</v>
      </c>
      <c r="E23" s="84" t="s">
        <v>1869</v>
      </c>
      <c r="F23" s="85" t="b">
        <v>0</v>
      </c>
      <c r="G23" s="85" t="b">
        <v>0</v>
      </c>
      <c r="H23" s="85" t="b">
        <v>0</v>
      </c>
      <c r="I23" s="85" t="b">
        <v>1</v>
      </c>
      <c r="J23" s="85" t="b">
        <v>0</v>
      </c>
      <c r="K23" s="85" t="b">
        <v>0</v>
      </c>
      <c r="L23" s="85" t="b">
        <v>0</v>
      </c>
      <c r="M23" s="85" t="b">
        <v>0</v>
      </c>
      <c r="N23" s="85" t="b">
        <v>0</v>
      </c>
      <c r="O23" s="113" t="s">
        <v>158</v>
      </c>
    </row>
    <row r="24" spans="1:16" s="86" customFormat="1">
      <c r="A24" s="119" t="s">
        <v>10</v>
      </c>
      <c r="B24" s="116" t="s">
        <v>1798</v>
      </c>
      <c r="C24" s="175">
        <v>5</v>
      </c>
      <c r="D24" s="117" t="s">
        <v>1806</v>
      </c>
      <c r="E24" s="84" t="s">
        <v>1870</v>
      </c>
      <c r="F24" s="85" t="b">
        <v>0</v>
      </c>
      <c r="G24" s="85" t="b">
        <v>0</v>
      </c>
      <c r="H24" s="85" t="b">
        <v>0</v>
      </c>
      <c r="I24" s="85" t="b">
        <v>1</v>
      </c>
      <c r="J24" s="85" t="b">
        <v>0</v>
      </c>
      <c r="K24" s="85" t="b">
        <v>0</v>
      </c>
      <c r="L24" s="85" t="b">
        <v>0</v>
      </c>
      <c r="M24" s="85" t="b">
        <v>0</v>
      </c>
      <c r="N24" s="85" t="b">
        <v>0</v>
      </c>
      <c r="O24" s="113" t="s">
        <v>158</v>
      </c>
    </row>
    <row r="25" spans="1:16" s="86" customFormat="1">
      <c r="A25" s="105"/>
      <c r="B25" s="86">
        <f>COUNTIF(Table22456[สถานที่],"*")</f>
        <v>23</v>
      </c>
      <c r="C25" s="86">
        <f>COUNTIF(Table22456[ชั้น],"*")</f>
        <v>0</v>
      </c>
      <c r="D25" s="86">
        <f>COUNTIF(Table22456[ชื่อห้อง],"*")</f>
        <v>23</v>
      </c>
      <c r="E25" s="177" t="s">
        <v>293</v>
      </c>
      <c r="F25" s="88">
        <f>(COUNTIF(F2:F24, TRUE))</f>
        <v>12</v>
      </c>
      <c r="G25" s="88">
        <f>COUNTIF(G2:G24, TRUE)</f>
        <v>0</v>
      </c>
      <c r="H25" s="88">
        <f>COUNTIF(H2:H24, TRUE)</f>
        <v>0</v>
      </c>
      <c r="I25" s="88">
        <f>(COUNTIF(I2:I24, TRUE))</f>
        <v>11</v>
      </c>
      <c r="J25" s="88">
        <f>(COUNTIF(J2:J24,TRUE))</f>
        <v>1</v>
      </c>
      <c r="K25" s="88">
        <f>COUNTIF(K2:K24, TRUE)</f>
        <v>0</v>
      </c>
      <c r="L25" s="88">
        <f>COUNTIF(L2:L24, TRUE)</f>
        <v>7</v>
      </c>
      <c r="M25" s="88">
        <f>COUNTIF(M2:M24, TRUE)</f>
        <v>1</v>
      </c>
      <c r="N25" s="88">
        <f>COUNTIF(N2:N24, TRUE)</f>
        <v>2</v>
      </c>
      <c r="O25" s="88">
        <f>COUNTIF(Table22456[Pregress],"Done")</f>
        <v>23</v>
      </c>
    </row>
    <row r="26" spans="1:16" s="86" customFormat="1">
      <c r="A26" s="105"/>
      <c r="E26" s="178"/>
      <c r="F26" s="90"/>
      <c r="G26" s="90"/>
      <c r="H26" s="90"/>
      <c r="I26" s="90"/>
      <c r="J26" s="90"/>
      <c r="K26" s="90"/>
      <c r="L26" s="90"/>
      <c r="M26" s="90"/>
      <c r="N26" s="90"/>
    </row>
    <row r="27" spans="1:16" ht="23.4">
      <c r="A27" s="120"/>
      <c r="O27" s="86"/>
      <c r="P27" s="86"/>
    </row>
    <row r="28" spans="1:16">
      <c r="O28" s="86"/>
      <c r="P28" s="86"/>
    </row>
    <row r="29" spans="1:16">
      <c r="O29" s="86"/>
      <c r="P29" s="86"/>
    </row>
    <row r="30" spans="1:16">
      <c r="O30" s="86"/>
      <c r="P30" s="86"/>
    </row>
    <row r="31" spans="1:16">
      <c r="O31" s="86"/>
      <c r="P31" s="86"/>
    </row>
    <row r="32" spans="1:16">
      <c r="O32" s="86"/>
      <c r="P32" s="86"/>
    </row>
    <row r="33" spans="15:16">
      <c r="O33" s="86"/>
      <c r="P33" s="86"/>
    </row>
    <row r="34" spans="15:16">
      <c r="O34" s="86"/>
      <c r="P34" s="86"/>
    </row>
    <row r="35" spans="15:16">
      <c r="O35" s="86"/>
      <c r="P35" s="86"/>
    </row>
    <row r="36" spans="15:16">
      <c r="O36" s="86"/>
      <c r="P36" s="86"/>
    </row>
    <row r="37" spans="15:16">
      <c r="O37" s="86"/>
      <c r="P37" s="86"/>
    </row>
    <row r="38" spans="15:16">
      <c r="O38" s="86"/>
      <c r="P38" s="86"/>
    </row>
    <row r="39" spans="15:16">
      <c r="O39" s="86"/>
      <c r="P39" s="86"/>
    </row>
    <row r="40" spans="15:16">
      <c r="O40" s="86"/>
      <c r="P40" s="86"/>
    </row>
    <row r="41" spans="15:16">
      <c r="O41" s="86"/>
      <c r="P41" s="86"/>
    </row>
    <row r="42" spans="15:16">
      <c r="O42" s="86"/>
      <c r="P42" s="86"/>
    </row>
    <row r="43" spans="15:16">
      <c r="O43" s="86"/>
      <c r="P43" s="86"/>
    </row>
    <row r="44" spans="15:16">
      <c r="O44" s="86"/>
      <c r="P44" s="86"/>
    </row>
    <row r="45" spans="15:16">
      <c r="O45" s="86"/>
      <c r="P45" s="86"/>
    </row>
    <row r="46" spans="15:16">
      <c r="O46" s="86"/>
      <c r="P46" s="86"/>
    </row>
    <row r="47" spans="15:16">
      <c r="O47" s="86"/>
      <c r="P47" s="86"/>
    </row>
    <row r="48" spans="15:16">
      <c r="O48" s="86"/>
      <c r="P48" s="86"/>
    </row>
    <row r="49" spans="15:16">
      <c r="O49" s="86"/>
      <c r="P49" s="86"/>
    </row>
    <row r="50" spans="15:16">
      <c r="O50" s="86"/>
      <c r="P50" s="86"/>
    </row>
    <row r="51" spans="15:16">
      <c r="O51" s="86"/>
      <c r="P51" s="86"/>
    </row>
    <row r="52" spans="15:16">
      <c r="O52" s="86"/>
      <c r="P52" s="86"/>
    </row>
    <row r="53" spans="15:16">
      <c r="O53" s="86"/>
    </row>
    <row r="54" spans="15:16">
      <c r="O54" s="86"/>
    </row>
    <row r="55" spans="15:16">
      <c r="O55" s="86"/>
    </row>
    <row r="56" spans="15:16">
      <c r="O56" s="86"/>
    </row>
    <row r="57" spans="15:16">
      <c r="O57" s="86"/>
    </row>
    <row r="58" spans="15:16">
      <c r="O58" s="86"/>
    </row>
  </sheetData>
  <conditionalFormatting sqref="O2:O24">
    <cfRule type="cellIs" dxfId="1" priority="1" operator="equal">
      <formula>"Done"</formula>
    </cfRule>
    <cfRule type="cellIs" dxfId="0" priority="2" operator="equal">
      <formula>"In Progress"</formula>
    </cfRule>
  </conditionalFormatting>
  <dataValidations count="1">
    <dataValidation type="list" allowBlank="1" showInputMessage="1" showErrorMessage="1" sqref="O53:O56 O2:O24" xr:uid="{6BD7F7E6-8CF6-4759-B190-960A9A8E398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0CDD-507D-4871-9FF6-B1318F106AF1}">
  <dimension ref="A1:AL8"/>
  <sheetViews>
    <sheetView zoomScale="90" zoomScaleNormal="90" workbookViewId="0">
      <selection activeCell="G12" sqref="G12"/>
    </sheetView>
  </sheetViews>
  <sheetFormatPr defaultRowHeight="14.4"/>
  <cols>
    <col min="1" max="1" width="26.33203125" bestFit="1" customWidth="1"/>
    <col min="2" max="2" width="30.6640625" bestFit="1" customWidth="1"/>
    <col min="3" max="3" width="12.33203125" bestFit="1" customWidth="1"/>
    <col min="4" max="4" width="35.6640625" bestFit="1" customWidth="1"/>
    <col min="5" max="6" width="4.6640625" bestFit="1" customWidth="1"/>
    <col min="7" max="7" width="13.44140625" bestFit="1" customWidth="1"/>
    <col min="8" max="8" width="12.33203125" bestFit="1" customWidth="1"/>
    <col min="9" max="9" width="8.109375" bestFit="1" customWidth="1"/>
    <col min="10" max="11" width="5.88671875" bestFit="1" customWidth="1"/>
    <col min="12" max="12" width="6.44140625" bestFit="1" customWidth="1"/>
    <col min="13" max="14" width="5.88671875" bestFit="1" customWidth="1"/>
    <col min="15" max="15" width="6.44140625" bestFit="1" customWidth="1"/>
    <col min="16" max="16" width="5.109375" bestFit="1" customWidth="1"/>
    <col min="17" max="17" width="5.33203125" bestFit="1" customWidth="1"/>
    <col min="18" max="18" width="22.5546875" bestFit="1" customWidth="1"/>
  </cols>
  <sheetData>
    <row r="1" spans="1:38" ht="23.4">
      <c r="A1" s="356" t="s">
        <v>1871</v>
      </c>
    </row>
    <row r="2" spans="1:38" s="334" customFormat="1" ht="21">
      <c r="A2" s="1230" t="s">
        <v>0</v>
      </c>
      <c r="B2" s="1230" t="s">
        <v>1872</v>
      </c>
      <c r="C2" s="1230" t="s">
        <v>1873</v>
      </c>
      <c r="D2" s="1230" t="s">
        <v>1874</v>
      </c>
      <c r="E2" s="1232" t="s">
        <v>1875</v>
      </c>
      <c r="F2" s="1232" t="s">
        <v>1876</v>
      </c>
      <c r="G2" s="1232" t="s">
        <v>1877</v>
      </c>
      <c r="H2" s="1232" t="s">
        <v>1878</v>
      </c>
      <c r="I2" s="1232" t="s">
        <v>1879</v>
      </c>
      <c r="J2" s="1235" t="s">
        <v>1880</v>
      </c>
      <c r="K2" s="1235"/>
      <c r="L2" s="1235"/>
      <c r="M2" s="1235" t="s">
        <v>1881</v>
      </c>
      <c r="N2" s="1235"/>
      <c r="O2" s="1235"/>
      <c r="P2" s="1235" t="s">
        <v>1882</v>
      </c>
      <c r="Q2" s="1235"/>
      <c r="R2" s="1230" t="s">
        <v>360</v>
      </c>
    </row>
    <row r="3" spans="1:38" s="338" customFormat="1" ht="99.6">
      <c r="A3" s="1231"/>
      <c r="B3" s="1231"/>
      <c r="C3" s="1231"/>
      <c r="D3" s="1231"/>
      <c r="E3" s="1233"/>
      <c r="F3" s="1233"/>
      <c r="G3" s="1233"/>
      <c r="H3" s="1233"/>
      <c r="I3" s="1233"/>
      <c r="J3" s="335" t="s">
        <v>1883</v>
      </c>
      <c r="K3" s="335" t="s">
        <v>1884</v>
      </c>
      <c r="L3" s="335" t="s">
        <v>1885</v>
      </c>
      <c r="M3" s="335" t="s">
        <v>1883</v>
      </c>
      <c r="N3" s="335" t="s">
        <v>1884</v>
      </c>
      <c r="O3" s="335" t="s">
        <v>1885</v>
      </c>
      <c r="P3" s="336" t="s">
        <v>1886</v>
      </c>
      <c r="Q3" s="337" t="s">
        <v>1887</v>
      </c>
      <c r="R3" s="1231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4"/>
      <c r="AJ3" s="334"/>
      <c r="AK3" s="334"/>
      <c r="AL3" s="334"/>
    </row>
    <row r="4" spans="1:38" s="333" customFormat="1" ht="23.4">
      <c r="A4" s="1234" t="s">
        <v>1888</v>
      </c>
      <c r="B4" s="1234"/>
      <c r="C4" s="1234"/>
      <c r="D4" s="1234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40"/>
      <c r="S4" s="341"/>
      <c r="T4" s="341"/>
      <c r="U4" s="341"/>
      <c r="V4" s="341"/>
      <c r="W4" s="341"/>
      <c r="X4" s="341"/>
      <c r="Y4" s="341"/>
      <c r="Z4" s="341"/>
      <c r="AA4" s="341"/>
      <c r="AB4" s="341"/>
      <c r="AC4" s="341"/>
      <c r="AD4" s="341"/>
      <c r="AE4" s="341"/>
      <c r="AF4" s="341"/>
      <c r="AG4" s="341"/>
      <c r="AH4" s="341"/>
      <c r="AI4" s="341"/>
      <c r="AJ4" s="341"/>
      <c r="AK4" s="341"/>
      <c r="AL4" s="341"/>
    </row>
    <row r="5" spans="1:38" s="333" customFormat="1" ht="23.4">
      <c r="A5" s="1236" t="s">
        <v>1889</v>
      </c>
      <c r="B5" s="1237"/>
      <c r="C5" s="1237"/>
      <c r="D5" s="1238"/>
      <c r="E5" s="1239"/>
      <c r="F5" s="1240"/>
      <c r="G5" s="1240"/>
      <c r="H5" s="1240"/>
      <c r="I5" s="1240"/>
      <c r="J5" s="1240"/>
      <c r="K5" s="1240"/>
      <c r="L5" s="1240"/>
      <c r="M5" s="1240"/>
      <c r="N5" s="1240"/>
      <c r="O5" s="1240"/>
      <c r="P5" s="1240"/>
      <c r="Q5" s="1240"/>
      <c r="R5" s="1241"/>
      <c r="S5" s="341"/>
      <c r="T5" s="341"/>
      <c r="U5" s="341"/>
      <c r="V5" s="341"/>
      <c r="W5" s="341"/>
      <c r="X5" s="341"/>
      <c r="Y5" s="341"/>
      <c r="Z5" s="341"/>
      <c r="AA5" s="341"/>
      <c r="AB5" s="341"/>
      <c r="AC5" s="341"/>
      <c r="AD5" s="341"/>
      <c r="AE5" s="341"/>
      <c r="AF5" s="341"/>
      <c r="AG5" s="341"/>
      <c r="AH5" s="341"/>
      <c r="AI5" s="341"/>
      <c r="AJ5" s="341"/>
      <c r="AK5" s="341"/>
      <c r="AL5" s="341"/>
    </row>
    <row r="6" spans="1:38" s="35" customFormat="1" ht="21">
      <c r="A6" s="342">
        <v>1</v>
      </c>
      <c r="B6" s="343" t="s">
        <v>1890</v>
      </c>
      <c r="C6" s="344"/>
      <c r="D6" s="345" t="s">
        <v>1891</v>
      </c>
      <c r="E6" s="346"/>
      <c r="F6" s="347" t="s">
        <v>1892</v>
      </c>
      <c r="G6" s="346" t="s">
        <v>1893</v>
      </c>
      <c r="H6" s="346"/>
      <c r="I6" s="348">
        <v>45964</v>
      </c>
      <c r="J6" s="349">
        <v>0.54166666666666663</v>
      </c>
      <c r="K6" s="349">
        <v>0.5625</v>
      </c>
      <c r="L6" s="349">
        <f>K6-J6</f>
        <v>2.083333333333337E-2</v>
      </c>
      <c r="M6" s="349">
        <v>0.54861111111111116</v>
      </c>
      <c r="N6" s="349">
        <v>0.5541666666666667</v>
      </c>
      <c r="O6" s="349">
        <f>N6-M6</f>
        <v>5.5555555555555358E-3</v>
      </c>
      <c r="P6" s="350" t="b">
        <v>1</v>
      </c>
      <c r="Q6" s="350" t="b">
        <v>0</v>
      </c>
      <c r="R6" s="345"/>
    </row>
    <row r="7" spans="1:38" s="35" customFormat="1" ht="63">
      <c r="A7" s="347">
        <v>2</v>
      </c>
      <c r="B7" s="351" t="s">
        <v>1894</v>
      </c>
      <c r="C7" s="344"/>
      <c r="D7" s="345" t="s">
        <v>1895</v>
      </c>
      <c r="E7" s="346"/>
      <c r="F7" s="347" t="s">
        <v>1892</v>
      </c>
      <c r="G7" s="346" t="s">
        <v>1896</v>
      </c>
      <c r="H7" s="346" t="s">
        <v>1897</v>
      </c>
      <c r="I7" s="348">
        <v>45964</v>
      </c>
      <c r="J7" s="349">
        <v>0.5625</v>
      </c>
      <c r="K7" s="349">
        <v>0.56944444444444442</v>
      </c>
      <c r="L7" s="349">
        <f t="shared" ref="L7" si="0">K7-J7</f>
        <v>6.9444444444444198E-3</v>
      </c>
      <c r="M7" s="352">
        <v>0.5541666666666667</v>
      </c>
      <c r="N7" s="352">
        <v>0.5625</v>
      </c>
      <c r="O7" s="349">
        <f>N7-M7</f>
        <v>8.3333333333333037E-3</v>
      </c>
      <c r="P7" s="350" t="b">
        <v>1</v>
      </c>
      <c r="Q7" s="350" t="b">
        <v>0</v>
      </c>
      <c r="R7" s="345"/>
    </row>
    <row r="8" spans="1:38" s="355" customFormat="1" ht="23.4">
      <c r="A8" s="1236" t="s">
        <v>1898</v>
      </c>
      <c r="B8" s="1237"/>
      <c r="C8" s="1237"/>
      <c r="D8" s="1238"/>
      <c r="E8" s="1242" t="s">
        <v>1899</v>
      </c>
      <c r="F8" s="1243"/>
      <c r="G8" s="1243"/>
      <c r="H8" s="1243"/>
      <c r="I8" s="1243"/>
      <c r="J8" s="1243"/>
      <c r="K8" s="1244"/>
      <c r="L8" s="353">
        <f>MOD(MAX(K6:K7)-MIN(J6:J7),1)</f>
        <v>2.777777777777779E-2</v>
      </c>
      <c r="M8" s="1245" t="s">
        <v>1900</v>
      </c>
      <c r="N8" s="1246"/>
      <c r="O8" s="353">
        <f>MOD(MAX(N6:N7)-MIN(M6:M7),1)</f>
        <v>1.388888888888884E-2</v>
      </c>
      <c r="P8" s="1247"/>
      <c r="Q8" s="1247"/>
      <c r="R8" s="1247"/>
      <c r="S8" s="354"/>
      <c r="T8" s="354"/>
      <c r="U8" s="354"/>
      <c r="V8" s="354"/>
      <c r="W8" s="354"/>
      <c r="X8" s="354"/>
      <c r="Y8" s="354"/>
      <c r="Z8" s="354"/>
      <c r="AA8" s="354"/>
      <c r="AB8" s="354"/>
      <c r="AC8" s="354"/>
      <c r="AD8" s="354"/>
      <c r="AE8" s="354"/>
      <c r="AF8" s="354"/>
      <c r="AG8" s="354"/>
      <c r="AH8" s="354"/>
      <c r="AI8" s="354"/>
      <c r="AJ8" s="354"/>
      <c r="AK8" s="354"/>
      <c r="AL8" s="354"/>
    </row>
  </sheetData>
  <mergeCells count="20">
    <mergeCell ref="A5:D5"/>
    <mergeCell ref="E5:R5"/>
    <mergeCell ref="A8:D8"/>
    <mergeCell ref="E8:K8"/>
    <mergeCell ref="M8:N8"/>
    <mergeCell ref="P8:R8"/>
    <mergeCell ref="R2:R3"/>
    <mergeCell ref="G2:G3"/>
    <mergeCell ref="H2:H3"/>
    <mergeCell ref="I2:I3"/>
    <mergeCell ref="A4:D4"/>
    <mergeCell ref="J2:L2"/>
    <mergeCell ref="M2:O2"/>
    <mergeCell ref="P2:Q2"/>
    <mergeCell ref="A2:A3"/>
    <mergeCell ref="B2:B3"/>
    <mergeCell ref="C2:C3"/>
    <mergeCell ref="D2:D3"/>
    <mergeCell ref="E2:E3"/>
    <mergeCell ref="F2:F3"/>
  </mergeCells>
  <dataValidations count="1">
    <dataValidation type="list" allowBlank="1" showInputMessage="1" showErrorMessage="1" sqref="F6:F7" xr:uid="{7E849F15-FA54-44FE-B2EE-53CFC1573DA4}">
      <formula1>"No,Yes"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AB54-3461-48D2-A5C6-8C6F43F28D1D}">
  <dimension ref="A1:J731"/>
  <sheetViews>
    <sheetView zoomScale="80" zoomScaleNormal="80" workbookViewId="0">
      <selection activeCell="F12" sqref="F12"/>
    </sheetView>
  </sheetViews>
  <sheetFormatPr defaultColWidth="9.109375" defaultRowHeight="21"/>
  <cols>
    <col min="1" max="1" width="31.88671875" style="215" bestFit="1" customWidth="1"/>
    <col min="2" max="2" width="36.33203125" style="214" bestFit="1" customWidth="1"/>
    <col min="3" max="3" width="14.6640625" style="197" bestFit="1" customWidth="1"/>
    <col min="4" max="4" width="77.6640625" style="214" bestFit="1" customWidth="1"/>
    <col min="5" max="5" width="12.109375" style="214" bestFit="1" customWidth="1"/>
    <col min="6" max="6" width="14.109375" style="220" bestFit="1" customWidth="1"/>
    <col min="7" max="7" width="11.6640625" style="220" bestFit="1" customWidth="1"/>
    <col min="8" max="8" width="9.88671875" style="220" bestFit="1" customWidth="1"/>
    <col min="9" max="9" width="6.109375" style="220" bestFit="1" customWidth="1"/>
    <col min="10" max="10" width="15.5546875" style="220" bestFit="1" customWidth="1"/>
    <col min="11" max="16384" width="9.109375" style="188"/>
  </cols>
  <sheetData>
    <row r="1" spans="1:10">
      <c r="A1" s="180" t="s">
        <v>15</v>
      </c>
      <c r="B1" s="181" t="s">
        <v>16</v>
      </c>
      <c r="C1" s="182" t="s">
        <v>1571</v>
      </c>
      <c r="D1" s="183" t="s">
        <v>18</v>
      </c>
      <c r="E1" s="184" t="s">
        <v>152</v>
      </c>
      <c r="F1" s="185" t="s">
        <v>26</v>
      </c>
      <c r="G1" s="185" t="s">
        <v>27</v>
      </c>
      <c r="H1" s="185" t="s">
        <v>28</v>
      </c>
      <c r="I1" s="186" t="s">
        <v>29</v>
      </c>
      <c r="J1" s="187" t="s">
        <v>30</v>
      </c>
    </row>
    <row r="2" spans="1:10">
      <c r="A2" s="1251" t="s">
        <v>481</v>
      </c>
      <c r="B2" s="189" t="s">
        <v>482</v>
      </c>
      <c r="C2" s="190" t="s">
        <v>349</v>
      </c>
      <c r="D2" s="191" t="s">
        <v>39</v>
      </c>
      <c r="E2" s="192">
        <v>2</v>
      </c>
      <c r="F2" s="193">
        <v>0</v>
      </c>
      <c r="G2" s="193">
        <v>0</v>
      </c>
      <c r="H2" s="193">
        <v>0</v>
      </c>
      <c r="I2" s="194">
        <f t="shared" ref="I2:I65" si="0">ROUNDUP(((F2+G2+H2)/3)/E2*100%,2)</f>
        <v>0</v>
      </c>
      <c r="J2" s="195"/>
    </row>
    <row r="3" spans="1:10">
      <c r="A3" s="1252"/>
      <c r="B3" s="196"/>
      <c r="D3" s="198" t="s">
        <v>43</v>
      </c>
      <c r="E3" s="199">
        <v>1</v>
      </c>
      <c r="F3" s="195">
        <v>0</v>
      </c>
      <c r="G3" s="195">
        <v>0</v>
      </c>
      <c r="H3" s="195">
        <v>0</v>
      </c>
      <c r="I3" s="194">
        <f t="shared" si="0"/>
        <v>0</v>
      </c>
      <c r="J3" s="195"/>
    </row>
    <row r="4" spans="1:10">
      <c r="A4" s="1252"/>
      <c r="B4" s="196" t="s">
        <v>483</v>
      </c>
      <c r="C4" s="197" t="s">
        <v>349</v>
      </c>
      <c r="D4" s="198" t="s">
        <v>39</v>
      </c>
      <c r="E4" s="199">
        <v>2</v>
      </c>
      <c r="F4" s="195">
        <v>0</v>
      </c>
      <c r="G4" s="195">
        <v>0</v>
      </c>
      <c r="H4" s="195">
        <v>0</v>
      </c>
      <c r="I4" s="194">
        <f t="shared" si="0"/>
        <v>0</v>
      </c>
      <c r="J4" s="195"/>
    </row>
    <row r="5" spans="1:10">
      <c r="A5" s="1252"/>
      <c r="B5" s="196" t="s">
        <v>484</v>
      </c>
      <c r="C5" s="197" t="s">
        <v>349</v>
      </c>
      <c r="D5" s="198" t="s">
        <v>39</v>
      </c>
      <c r="E5" s="199">
        <v>1</v>
      </c>
      <c r="F5" s="195">
        <v>0</v>
      </c>
      <c r="G5" s="195">
        <v>0</v>
      </c>
      <c r="H5" s="195">
        <v>0</v>
      </c>
      <c r="I5" s="194">
        <f t="shared" si="0"/>
        <v>0</v>
      </c>
      <c r="J5" s="195"/>
    </row>
    <row r="6" spans="1:10">
      <c r="A6" s="1252"/>
      <c r="B6" s="196"/>
      <c r="D6" s="198" t="s">
        <v>43</v>
      </c>
      <c r="E6" s="199">
        <v>1</v>
      </c>
      <c r="F6" s="195">
        <v>0</v>
      </c>
      <c r="G6" s="195">
        <v>0</v>
      </c>
      <c r="H6" s="195">
        <v>0</v>
      </c>
      <c r="I6" s="194">
        <f t="shared" si="0"/>
        <v>0</v>
      </c>
      <c r="J6" s="195"/>
    </row>
    <row r="7" spans="1:10">
      <c r="A7" s="1252"/>
      <c r="B7" s="196" t="s">
        <v>485</v>
      </c>
      <c r="C7" s="197" t="s">
        <v>349</v>
      </c>
      <c r="D7" s="370" t="s">
        <v>1901</v>
      </c>
      <c r="E7" s="199">
        <v>1</v>
      </c>
      <c r="F7" s="195">
        <v>1</v>
      </c>
      <c r="G7" s="195">
        <v>1</v>
      </c>
      <c r="H7" s="195">
        <v>0</v>
      </c>
      <c r="I7" s="194">
        <f t="shared" si="0"/>
        <v>0.67</v>
      </c>
      <c r="J7" s="195"/>
    </row>
    <row r="8" spans="1:10">
      <c r="A8" s="1252"/>
      <c r="B8" s="196"/>
      <c r="D8" s="370" t="s">
        <v>46</v>
      </c>
      <c r="E8" s="199">
        <v>1</v>
      </c>
      <c r="F8" s="195">
        <v>1</v>
      </c>
      <c r="G8" s="195">
        <v>1</v>
      </c>
      <c r="H8" s="195">
        <v>0</v>
      </c>
      <c r="I8" s="194">
        <f t="shared" si="0"/>
        <v>0.67</v>
      </c>
      <c r="J8" s="195"/>
    </row>
    <row r="9" spans="1:10">
      <c r="A9" s="1252"/>
      <c r="B9" s="196"/>
      <c r="D9" s="198" t="s">
        <v>39</v>
      </c>
      <c r="E9" s="199">
        <v>10</v>
      </c>
      <c r="F9" s="195">
        <v>0</v>
      </c>
      <c r="G9" s="195">
        <v>0</v>
      </c>
      <c r="H9" s="195">
        <v>0</v>
      </c>
      <c r="I9" s="194">
        <f t="shared" si="0"/>
        <v>0</v>
      </c>
      <c r="J9" s="195"/>
    </row>
    <row r="10" spans="1:10">
      <c r="A10" s="1252"/>
      <c r="B10" s="196"/>
      <c r="D10" s="198" t="s">
        <v>43</v>
      </c>
      <c r="E10" s="199">
        <v>2</v>
      </c>
      <c r="F10" s="195">
        <v>0</v>
      </c>
      <c r="G10" s="195">
        <v>0</v>
      </c>
      <c r="H10" s="195">
        <v>0</v>
      </c>
      <c r="I10" s="194">
        <f t="shared" si="0"/>
        <v>0</v>
      </c>
      <c r="J10" s="195"/>
    </row>
    <row r="11" spans="1:10">
      <c r="A11" s="1252"/>
      <c r="B11" s="196"/>
      <c r="D11" s="198" t="s">
        <v>1387</v>
      </c>
      <c r="E11" s="199">
        <v>2</v>
      </c>
      <c r="F11" s="195">
        <v>0</v>
      </c>
      <c r="G11" s="195">
        <v>0</v>
      </c>
      <c r="H11" s="195">
        <v>0</v>
      </c>
      <c r="I11" s="194">
        <f t="shared" si="0"/>
        <v>0</v>
      </c>
      <c r="J11" s="195"/>
    </row>
    <row r="12" spans="1:10">
      <c r="A12" s="1252"/>
      <c r="B12" s="196"/>
      <c r="D12" s="198" t="s">
        <v>51</v>
      </c>
      <c r="E12" s="199">
        <v>4</v>
      </c>
      <c r="F12" s="195">
        <v>4</v>
      </c>
      <c r="G12" s="195">
        <v>4</v>
      </c>
      <c r="H12" s="195">
        <v>0</v>
      </c>
      <c r="I12" s="194">
        <f t="shared" si="0"/>
        <v>0.67</v>
      </c>
      <c r="J12" s="195"/>
    </row>
    <row r="13" spans="1:10">
      <c r="A13" s="1252"/>
      <c r="B13" s="196"/>
      <c r="D13" s="198" t="s">
        <v>55</v>
      </c>
      <c r="E13" s="199">
        <v>3</v>
      </c>
      <c r="F13" s="195">
        <v>3</v>
      </c>
      <c r="G13" s="195">
        <v>3</v>
      </c>
      <c r="H13" s="195">
        <v>0</v>
      </c>
      <c r="I13" s="194">
        <f t="shared" si="0"/>
        <v>0.67</v>
      </c>
      <c r="J13" s="195"/>
    </row>
    <row r="14" spans="1:10">
      <c r="A14" s="1252"/>
      <c r="B14" s="196"/>
      <c r="D14" s="198" t="s">
        <v>1902</v>
      </c>
      <c r="E14" s="199">
        <v>1</v>
      </c>
      <c r="F14" s="195">
        <v>1</v>
      </c>
      <c r="G14" s="195">
        <v>1</v>
      </c>
      <c r="H14" s="195">
        <v>0</v>
      </c>
      <c r="I14" s="194">
        <f t="shared" si="0"/>
        <v>0.67</v>
      </c>
      <c r="J14" s="195"/>
    </row>
    <row r="15" spans="1:10">
      <c r="A15" s="1252"/>
      <c r="B15" s="196"/>
      <c r="D15" s="198" t="s">
        <v>57</v>
      </c>
      <c r="E15" s="199">
        <v>2</v>
      </c>
      <c r="F15" s="195">
        <v>2</v>
      </c>
      <c r="G15" s="195">
        <v>2</v>
      </c>
      <c r="H15" s="195">
        <v>2</v>
      </c>
      <c r="I15" s="194">
        <f t="shared" si="0"/>
        <v>1</v>
      </c>
      <c r="J15" s="195"/>
    </row>
    <row r="16" spans="1:10">
      <c r="A16" s="1252"/>
      <c r="B16" s="196" t="s">
        <v>490</v>
      </c>
      <c r="C16" s="197" t="s">
        <v>349</v>
      </c>
      <c r="D16" s="198" t="s">
        <v>39</v>
      </c>
      <c r="E16" s="199">
        <v>1</v>
      </c>
      <c r="F16" s="195">
        <v>0</v>
      </c>
      <c r="G16" s="195">
        <v>0</v>
      </c>
      <c r="H16" s="195">
        <v>0</v>
      </c>
      <c r="I16" s="194">
        <f t="shared" si="0"/>
        <v>0</v>
      </c>
      <c r="J16" s="195"/>
    </row>
    <row r="17" spans="1:10">
      <c r="A17" s="1252"/>
      <c r="B17" s="196"/>
      <c r="D17" s="198" t="s">
        <v>43</v>
      </c>
      <c r="E17" s="199">
        <v>1</v>
      </c>
      <c r="F17" s="195">
        <v>0</v>
      </c>
      <c r="G17" s="195">
        <v>0</v>
      </c>
      <c r="H17" s="195">
        <v>0</v>
      </c>
      <c r="I17" s="194">
        <f t="shared" si="0"/>
        <v>0</v>
      </c>
      <c r="J17" s="195"/>
    </row>
    <row r="18" spans="1:10">
      <c r="A18" s="1252"/>
      <c r="B18" s="196" t="s">
        <v>491</v>
      </c>
      <c r="C18" s="197" t="s">
        <v>349</v>
      </c>
      <c r="D18" s="198" t="s">
        <v>39</v>
      </c>
      <c r="E18" s="199">
        <v>1</v>
      </c>
      <c r="F18" s="195">
        <v>0</v>
      </c>
      <c r="G18" s="195">
        <v>0</v>
      </c>
      <c r="H18" s="195">
        <v>0</v>
      </c>
      <c r="I18" s="194">
        <f t="shared" si="0"/>
        <v>0</v>
      </c>
      <c r="J18" s="195"/>
    </row>
    <row r="19" spans="1:10">
      <c r="A19" s="1252"/>
      <c r="B19" s="196"/>
      <c r="D19" s="198" t="s">
        <v>43</v>
      </c>
      <c r="E19" s="199">
        <v>1</v>
      </c>
      <c r="F19" s="195">
        <v>0</v>
      </c>
      <c r="G19" s="195">
        <v>0</v>
      </c>
      <c r="H19" s="195">
        <v>0</v>
      </c>
      <c r="I19" s="194">
        <f t="shared" si="0"/>
        <v>0</v>
      </c>
      <c r="J19" s="195"/>
    </row>
    <row r="20" spans="1:10">
      <c r="A20" s="1252"/>
      <c r="B20" s="196" t="s">
        <v>492</v>
      </c>
      <c r="C20" s="197" t="s">
        <v>349</v>
      </c>
      <c r="D20" s="198" t="s">
        <v>39</v>
      </c>
      <c r="E20" s="199">
        <v>1</v>
      </c>
      <c r="F20" s="195">
        <v>0</v>
      </c>
      <c r="G20" s="195">
        <v>0</v>
      </c>
      <c r="H20" s="195">
        <v>0</v>
      </c>
      <c r="I20" s="194">
        <f t="shared" si="0"/>
        <v>0</v>
      </c>
      <c r="J20" s="195"/>
    </row>
    <row r="21" spans="1:10">
      <c r="A21" s="1252"/>
      <c r="B21" s="196"/>
      <c r="D21" s="198" t="s">
        <v>43</v>
      </c>
      <c r="E21" s="199">
        <v>1</v>
      </c>
      <c r="F21" s="195">
        <v>0</v>
      </c>
      <c r="G21" s="195">
        <v>0</v>
      </c>
      <c r="H21" s="195">
        <v>0</v>
      </c>
      <c r="I21" s="194">
        <f t="shared" si="0"/>
        <v>0</v>
      </c>
      <c r="J21" s="195"/>
    </row>
    <row r="22" spans="1:10">
      <c r="A22" s="1252"/>
      <c r="B22" s="196" t="s">
        <v>1903</v>
      </c>
      <c r="C22" s="197" t="s">
        <v>349</v>
      </c>
      <c r="D22" s="198" t="s">
        <v>39</v>
      </c>
      <c r="E22" s="199">
        <v>4</v>
      </c>
      <c r="F22" s="195">
        <v>0</v>
      </c>
      <c r="G22" s="195">
        <v>0</v>
      </c>
      <c r="H22" s="195">
        <v>0</v>
      </c>
      <c r="I22" s="194">
        <f t="shared" si="0"/>
        <v>0</v>
      </c>
      <c r="J22" s="195"/>
    </row>
    <row r="23" spans="1:10">
      <c r="A23" s="1252"/>
      <c r="B23" s="196"/>
      <c r="D23" s="198" t="s">
        <v>43</v>
      </c>
      <c r="E23" s="199">
        <v>4</v>
      </c>
      <c r="F23" s="195">
        <v>0</v>
      </c>
      <c r="G23" s="195">
        <v>0</v>
      </c>
      <c r="H23" s="195">
        <v>0</v>
      </c>
      <c r="I23" s="194">
        <f t="shared" si="0"/>
        <v>0</v>
      </c>
      <c r="J23" s="195"/>
    </row>
    <row r="24" spans="1:10">
      <c r="A24" s="1252"/>
      <c r="B24" s="196" t="s">
        <v>760</v>
      </c>
      <c r="C24" s="197" t="s">
        <v>349</v>
      </c>
      <c r="D24" s="200" t="s">
        <v>39</v>
      </c>
      <c r="E24" s="199">
        <v>2</v>
      </c>
      <c r="F24" s="195">
        <v>0</v>
      </c>
      <c r="G24" s="195">
        <v>0</v>
      </c>
      <c r="H24" s="195">
        <v>0</v>
      </c>
      <c r="I24" s="194">
        <f t="shared" si="0"/>
        <v>0</v>
      </c>
      <c r="J24" s="195"/>
    </row>
    <row r="25" spans="1:10">
      <c r="A25" s="1252"/>
      <c r="B25" s="196" t="s">
        <v>602</v>
      </c>
      <c r="C25" s="197" t="s">
        <v>349</v>
      </c>
      <c r="D25" s="200" t="s">
        <v>39</v>
      </c>
      <c r="E25" s="199">
        <v>2</v>
      </c>
      <c r="F25" s="195">
        <v>0</v>
      </c>
      <c r="G25" s="195">
        <v>0</v>
      </c>
      <c r="H25" s="195">
        <v>0</v>
      </c>
      <c r="I25" s="194">
        <f t="shared" si="0"/>
        <v>0</v>
      </c>
      <c r="J25" s="195"/>
    </row>
    <row r="26" spans="1:10">
      <c r="A26" s="1252"/>
      <c r="B26" s="196" t="s">
        <v>823</v>
      </c>
      <c r="C26" s="197" t="s">
        <v>349</v>
      </c>
      <c r="D26" s="200" t="s">
        <v>39</v>
      </c>
      <c r="E26" s="199">
        <v>3</v>
      </c>
      <c r="F26" s="195">
        <v>0</v>
      </c>
      <c r="G26" s="195">
        <v>0</v>
      </c>
      <c r="H26" s="195">
        <v>0</v>
      </c>
      <c r="I26" s="194">
        <f t="shared" si="0"/>
        <v>0</v>
      </c>
      <c r="J26" s="195"/>
    </row>
    <row r="27" spans="1:10">
      <c r="A27" s="1252"/>
      <c r="B27" s="196" t="s">
        <v>817</v>
      </c>
      <c r="C27" s="197" t="s">
        <v>1904</v>
      </c>
      <c r="D27" s="198" t="s">
        <v>1905</v>
      </c>
      <c r="E27" s="199">
        <v>2</v>
      </c>
      <c r="F27" s="195">
        <v>0</v>
      </c>
      <c r="G27" s="195">
        <v>0</v>
      </c>
      <c r="H27" s="195">
        <v>0</v>
      </c>
      <c r="I27" s="194">
        <f t="shared" si="0"/>
        <v>0</v>
      </c>
      <c r="J27" s="195"/>
    </row>
    <row r="28" spans="1:10">
      <c r="A28" s="1252"/>
      <c r="B28" s="196"/>
      <c r="C28" s="197" t="s">
        <v>349</v>
      </c>
      <c r="D28" s="198" t="s">
        <v>53</v>
      </c>
      <c r="E28" s="199">
        <v>2</v>
      </c>
      <c r="F28" s="195">
        <v>2</v>
      </c>
      <c r="G28" s="195">
        <v>2</v>
      </c>
      <c r="H28" s="195">
        <v>0</v>
      </c>
      <c r="I28" s="194">
        <f t="shared" si="0"/>
        <v>0.67</v>
      </c>
      <c r="J28" s="195"/>
    </row>
    <row r="29" spans="1:10">
      <c r="A29" s="1252"/>
      <c r="B29" s="196" t="s">
        <v>818</v>
      </c>
      <c r="C29" s="197" t="s">
        <v>349</v>
      </c>
      <c r="D29" s="200" t="s">
        <v>39</v>
      </c>
      <c r="E29" s="199">
        <v>2</v>
      </c>
      <c r="F29" s="195">
        <v>0</v>
      </c>
      <c r="G29" s="195">
        <v>0</v>
      </c>
      <c r="H29" s="195">
        <v>0</v>
      </c>
      <c r="I29" s="194">
        <f t="shared" si="0"/>
        <v>0</v>
      </c>
      <c r="J29" s="195"/>
    </row>
    <row r="30" spans="1:10">
      <c r="A30" s="1252"/>
      <c r="B30" s="196" t="s">
        <v>819</v>
      </c>
      <c r="C30" s="197" t="s">
        <v>349</v>
      </c>
      <c r="D30" s="198" t="s">
        <v>39</v>
      </c>
      <c r="E30" s="199">
        <v>1</v>
      </c>
      <c r="F30" s="195">
        <v>0</v>
      </c>
      <c r="G30" s="195">
        <v>0</v>
      </c>
      <c r="H30" s="195">
        <v>0</v>
      </c>
      <c r="I30" s="194">
        <f t="shared" si="0"/>
        <v>0</v>
      </c>
      <c r="J30" s="195"/>
    </row>
    <row r="31" spans="1:10">
      <c r="A31" s="1252"/>
      <c r="B31" s="196"/>
      <c r="D31" s="198" t="s">
        <v>1470</v>
      </c>
      <c r="E31" s="199">
        <v>1</v>
      </c>
      <c r="F31" s="195">
        <v>0</v>
      </c>
      <c r="G31" s="195">
        <v>0</v>
      </c>
      <c r="H31" s="195">
        <v>0</v>
      </c>
      <c r="I31" s="194">
        <f t="shared" si="0"/>
        <v>0</v>
      </c>
      <c r="J31" s="195"/>
    </row>
    <row r="32" spans="1:10">
      <c r="A32" s="1252"/>
      <c r="B32" s="196" t="s">
        <v>820</v>
      </c>
      <c r="C32" s="197" t="s">
        <v>349</v>
      </c>
      <c r="D32" s="198" t="s">
        <v>1470</v>
      </c>
      <c r="E32" s="199">
        <v>2</v>
      </c>
      <c r="F32" s="195">
        <v>0</v>
      </c>
      <c r="G32" s="195">
        <v>0</v>
      </c>
      <c r="H32" s="195">
        <v>0</v>
      </c>
      <c r="I32" s="194">
        <f t="shared" si="0"/>
        <v>0</v>
      </c>
      <c r="J32" s="195"/>
    </row>
    <row r="33" spans="1:10">
      <c r="A33" s="1252"/>
      <c r="B33" s="196" t="s">
        <v>821</v>
      </c>
      <c r="C33" s="197" t="s">
        <v>1904</v>
      </c>
      <c r="D33" s="198" t="s">
        <v>1387</v>
      </c>
      <c r="E33" s="199">
        <v>2</v>
      </c>
      <c r="F33" s="195">
        <v>0</v>
      </c>
      <c r="G33" s="195">
        <v>0</v>
      </c>
      <c r="H33" s="195">
        <v>0</v>
      </c>
      <c r="I33" s="194">
        <f t="shared" si="0"/>
        <v>0</v>
      </c>
      <c r="J33" s="195"/>
    </row>
    <row r="34" spans="1:10">
      <c r="A34" s="1252"/>
      <c r="B34" s="196" t="s">
        <v>822</v>
      </c>
      <c r="C34" s="197" t="s">
        <v>349</v>
      </c>
      <c r="D34" s="198" t="s">
        <v>1400</v>
      </c>
      <c r="E34" s="199">
        <v>2</v>
      </c>
      <c r="F34" s="195">
        <v>0</v>
      </c>
      <c r="G34" s="195">
        <v>0</v>
      </c>
      <c r="H34" s="195">
        <v>0</v>
      </c>
      <c r="I34" s="194">
        <f t="shared" si="0"/>
        <v>0</v>
      </c>
      <c r="J34" s="195"/>
    </row>
    <row r="35" spans="1:10">
      <c r="A35" s="1252"/>
      <c r="B35" s="196"/>
      <c r="D35" s="198" t="s">
        <v>1470</v>
      </c>
      <c r="E35" s="199">
        <v>2</v>
      </c>
      <c r="F35" s="195">
        <v>0</v>
      </c>
      <c r="G35" s="195">
        <v>0</v>
      </c>
      <c r="H35" s="195">
        <v>0</v>
      </c>
      <c r="I35" s="194">
        <f t="shared" si="0"/>
        <v>0</v>
      </c>
      <c r="J35" s="195"/>
    </row>
    <row r="36" spans="1:10">
      <c r="A36" s="1252"/>
      <c r="B36" s="196" t="s">
        <v>824</v>
      </c>
      <c r="C36" s="197" t="s">
        <v>1906</v>
      </c>
      <c r="D36" s="198" t="s">
        <v>39</v>
      </c>
      <c r="E36" s="199">
        <v>2</v>
      </c>
      <c r="F36" s="195">
        <v>0</v>
      </c>
      <c r="G36" s="195">
        <v>0</v>
      </c>
      <c r="H36" s="195">
        <v>0</v>
      </c>
      <c r="I36" s="194">
        <f t="shared" si="0"/>
        <v>0</v>
      </c>
      <c r="J36" s="195"/>
    </row>
    <row r="37" spans="1:10">
      <c r="A37" s="1252"/>
      <c r="B37" s="196"/>
      <c r="C37" s="197" t="s">
        <v>1904</v>
      </c>
      <c r="D37" s="200" t="s">
        <v>39</v>
      </c>
      <c r="E37" s="199">
        <v>9</v>
      </c>
      <c r="F37" s="195">
        <v>0</v>
      </c>
      <c r="G37" s="195">
        <v>0</v>
      </c>
      <c r="H37" s="195">
        <v>0</v>
      </c>
      <c r="I37" s="194">
        <f t="shared" si="0"/>
        <v>0</v>
      </c>
      <c r="J37" s="195"/>
    </row>
    <row r="38" spans="1:10">
      <c r="A38" s="1252"/>
      <c r="B38" s="196"/>
      <c r="C38" s="197" t="s">
        <v>349</v>
      </c>
      <c r="D38" s="200" t="s">
        <v>43</v>
      </c>
      <c r="E38" s="199">
        <v>1</v>
      </c>
      <c r="F38" s="195">
        <v>0</v>
      </c>
      <c r="G38" s="195">
        <v>0</v>
      </c>
      <c r="H38" s="195">
        <v>0</v>
      </c>
      <c r="I38" s="194">
        <f t="shared" si="0"/>
        <v>0</v>
      </c>
      <c r="J38" s="195"/>
    </row>
    <row r="39" spans="1:10">
      <c r="A39" s="1252"/>
      <c r="B39" s="196" t="s">
        <v>825</v>
      </c>
      <c r="C39" s="197" t="s">
        <v>349</v>
      </c>
      <c r="D39" s="198" t="s">
        <v>43</v>
      </c>
      <c r="E39" s="199">
        <v>1</v>
      </c>
      <c r="F39" s="195">
        <v>0</v>
      </c>
      <c r="G39" s="195">
        <v>0</v>
      </c>
      <c r="H39" s="195">
        <v>0</v>
      </c>
      <c r="I39" s="194">
        <f t="shared" si="0"/>
        <v>0</v>
      </c>
      <c r="J39" s="195"/>
    </row>
    <row r="40" spans="1:10">
      <c r="A40" s="1248" t="s">
        <v>831</v>
      </c>
      <c r="B40" s="189" t="s">
        <v>1907</v>
      </c>
      <c r="C40" s="190" t="s">
        <v>349</v>
      </c>
      <c r="D40" s="201" t="s">
        <v>39</v>
      </c>
      <c r="E40" s="192">
        <v>1</v>
      </c>
      <c r="F40" s="195">
        <v>0</v>
      </c>
      <c r="G40" s="195">
        <v>0</v>
      </c>
      <c r="H40" s="195">
        <v>0</v>
      </c>
      <c r="I40" s="194">
        <f t="shared" si="0"/>
        <v>0</v>
      </c>
      <c r="J40" s="195"/>
    </row>
    <row r="41" spans="1:10">
      <c r="A41" s="1249"/>
      <c r="B41" s="196" t="s">
        <v>1106</v>
      </c>
      <c r="C41" s="197" t="s">
        <v>349</v>
      </c>
      <c r="D41" s="198" t="s">
        <v>43</v>
      </c>
      <c r="E41" s="199">
        <v>1</v>
      </c>
      <c r="F41" s="195">
        <v>0</v>
      </c>
      <c r="G41" s="195">
        <v>0</v>
      </c>
      <c r="H41" s="195">
        <v>0</v>
      </c>
      <c r="I41" s="194">
        <f t="shared" si="0"/>
        <v>0</v>
      </c>
      <c r="J41" s="195"/>
    </row>
    <row r="42" spans="1:10">
      <c r="A42" s="1249"/>
      <c r="B42" s="196" t="s">
        <v>1109</v>
      </c>
      <c r="C42" s="197" t="s">
        <v>349</v>
      </c>
      <c r="D42" s="198" t="s">
        <v>43</v>
      </c>
      <c r="E42" s="199">
        <v>1</v>
      </c>
      <c r="F42" s="195">
        <v>0</v>
      </c>
      <c r="G42" s="195">
        <v>0</v>
      </c>
      <c r="H42" s="195">
        <v>0</v>
      </c>
      <c r="I42" s="194">
        <f t="shared" si="0"/>
        <v>0</v>
      </c>
      <c r="J42" s="195"/>
    </row>
    <row r="43" spans="1:10">
      <c r="A43" s="1249"/>
      <c r="B43" s="196" t="s">
        <v>1110</v>
      </c>
      <c r="C43" s="197" t="s">
        <v>349</v>
      </c>
      <c r="D43" s="198" t="s">
        <v>39</v>
      </c>
      <c r="E43" s="199">
        <v>4</v>
      </c>
      <c r="F43" s="195">
        <v>0</v>
      </c>
      <c r="G43" s="195">
        <v>0</v>
      </c>
      <c r="H43" s="195">
        <v>0</v>
      </c>
      <c r="I43" s="194">
        <f t="shared" si="0"/>
        <v>0</v>
      </c>
      <c r="J43" s="195"/>
    </row>
    <row r="44" spans="1:10">
      <c r="A44" s="1249"/>
      <c r="B44" s="196"/>
      <c r="D44" s="198" t="s">
        <v>43</v>
      </c>
      <c r="E44" s="199">
        <v>2</v>
      </c>
      <c r="F44" s="195">
        <v>0</v>
      </c>
      <c r="G44" s="195">
        <v>0</v>
      </c>
      <c r="H44" s="195">
        <v>0</v>
      </c>
      <c r="I44" s="194">
        <f t="shared" si="0"/>
        <v>0</v>
      </c>
      <c r="J44" s="195"/>
    </row>
    <row r="45" spans="1:10">
      <c r="A45" s="1248" t="s">
        <v>838</v>
      </c>
      <c r="B45" s="189" t="s">
        <v>839</v>
      </c>
      <c r="C45" s="190" t="s">
        <v>349</v>
      </c>
      <c r="D45" s="191" t="s">
        <v>43</v>
      </c>
      <c r="E45" s="192">
        <v>2</v>
      </c>
      <c r="F45" s="195">
        <v>0</v>
      </c>
      <c r="G45" s="195">
        <v>0</v>
      </c>
      <c r="H45" s="195">
        <v>0</v>
      </c>
      <c r="I45" s="194">
        <f t="shared" si="0"/>
        <v>0</v>
      </c>
      <c r="J45" s="195"/>
    </row>
    <row r="46" spans="1:10">
      <c r="A46" s="1249"/>
      <c r="B46" s="196" t="s">
        <v>1908</v>
      </c>
      <c r="C46" s="197" t="s">
        <v>349</v>
      </c>
      <c r="D46" s="200" t="s">
        <v>39</v>
      </c>
      <c r="E46" s="199">
        <v>2</v>
      </c>
      <c r="F46" s="195">
        <v>0</v>
      </c>
      <c r="G46" s="195">
        <v>0</v>
      </c>
      <c r="H46" s="195">
        <v>0</v>
      </c>
      <c r="I46" s="194">
        <f t="shared" si="0"/>
        <v>0</v>
      </c>
      <c r="J46" s="195"/>
    </row>
    <row r="47" spans="1:10">
      <c r="A47" s="1248" t="s">
        <v>826</v>
      </c>
      <c r="B47" s="189" t="s">
        <v>827</v>
      </c>
      <c r="C47" s="190" t="s">
        <v>349</v>
      </c>
      <c r="D47" s="201" t="s">
        <v>39</v>
      </c>
      <c r="E47" s="192">
        <v>2</v>
      </c>
      <c r="F47" s="195">
        <v>0</v>
      </c>
      <c r="G47" s="195">
        <v>0</v>
      </c>
      <c r="H47" s="195">
        <v>0</v>
      </c>
      <c r="I47" s="194">
        <f t="shared" si="0"/>
        <v>0</v>
      </c>
      <c r="J47" s="195"/>
    </row>
    <row r="48" spans="1:10">
      <c r="A48" s="1249"/>
      <c r="B48" s="196" t="s">
        <v>1909</v>
      </c>
      <c r="C48" s="197" t="s">
        <v>349</v>
      </c>
      <c r="D48" s="198" t="s">
        <v>43</v>
      </c>
      <c r="E48" s="199">
        <v>1</v>
      </c>
      <c r="F48" s="195">
        <v>0</v>
      </c>
      <c r="G48" s="195">
        <v>0</v>
      </c>
      <c r="H48" s="195">
        <v>0</v>
      </c>
      <c r="I48" s="194">
        <f t="shared" si="0"/>
        <v>0</v>
      </c>
      <c r="J48" s="195"/>
    </row>
    <row r="49" spans="1:10">
      <c r="A49" s="1249"/>
      <c r="B49" s="196" t="s">
        <v>829</v>
      </c>
      <c r="C49" s="197" t="s">
        <v>349</v>
      </c>
      <c r="D49" s="198" t="s">
        <v>43</v>
      </c>
      <c r="E49" s="199">
        <v>2</v>
      </c>
      <c r="F49" s="195">
        <v>0</v>
      </c>
      <c r="G49" s="195">
        <v>0</v>
      </c>
      <c r="H49" s="195">
        <v>0</v>
      </c>
      <c r="I49" s="194">
        <f t="shared" si="0"/>
        <v>0</v>
      </c>
      <c r="J49" s="195"/>
    </row>
    <row r="50" spans="1:10">
      <c r="A50" s="1249"/>
      <c r="B50" s="196" t="s">
        <v>1910</v>
      </c>
      <c r="C50" s="197" t="s">
        <v>349</v>
      </c>
      <c r="D50" s="200" t="s">
        <v>39</v>
      </c>
      <c r="E50" s="199">
        <v>3</v>
      </c>
      <c r="F50" s="195">
        <v>0</v>
      </c>
      <c r="G50" s="195">
        <v>0</v>
      </c>
      <c r="H50" s="195">
        <v>0</v>
      </c>
      <c r="I50" s="194">
        <f t="shared" si="0"/>
        <v>0</v>
      </c>
      <c r="J50" s="195"/>
    </row>
    <row r="51" spans="1:10">
      <c r="A51" s="1248" t="s">
        <v>841</v>
      </c>
      <c r="B51" s="189" t="s">
        <v>842</v>
      </c>
      <c r="C51" s="190" t="s">
        <v>349</v>
      </c>
      <c r="D51" s="201" t="s">
        <v>39</v>
      </c>
      <c r="E51" s="192">
        <v>1</v>
      </c>
      <c r="F51" s="195">
        <v>0</v>
      </c>
      <c r="G51" s="195">
        <v>0</v>
      </c>
      <c r="H51" s="195">
        <v>0</v>
      </c>
      <c r="I51" s="194">
        <f t="shared" si="0"/>
        <v>0</v>
      </c>
      <c r="J51" s="195"/>
    </row>
    <row r="52" spans="1:10">
      <c r="A52" s="1249"/>
      <c r="B52" s="196" t="s">
        <v>843</v>
      </c>
      <c r="C52" s="197" t="s">
        <v>349</v>
      </c>
      <c r="D52" s="198" t="s">
        <v>43</v>
      </c>
      <c r="E52" s="199">
        <v>1</v>
      </c>
      <c r="F52" s="195">
        <v>0</v>
      </c>
      <c r="G52" s="195">
        <v>0</v>
      </c>
      <c r="H52" s="195">
        <v>0</v>
      </c>
      <c r="I52" s="194">
        <f t="shared" si="0"/>
        <v>0</v>
      </c>
      <c r="J52" s="195"/>
    </row>
    <row r="53" spans="1:10">
      <c r="A53" s="46" t="s">
        <v>796</v>
      </c>
      <c r="B53" s="202" t="s">
        <v>789</v>
      </c>
      <c r="C53" s="203" t="s">
        <v>349</v>
      </c>
      <c r="D53" s="204" t="s">
        <v>39</v>
      </c>
      <c r="E53" s="195">
        <v>2</v>
      </c>
      <c r="F53" s="195">
        <v>0</v>
      </c>
      <c r="G53" s="195">
        <v>0</v>
      </c>
      <c r="H53" s="195">
        <v>0</v>
      </c>
      <c r="I53" s="194">
        <f t="shared" si="0"/>
        <v>0</v>
      </c>
      <c r="J53" s="195"/>
    </row>
    <row r="54" spans="1:10">
      <c r="A54" s="46" t="s">
        <v>797</v>
      </c>
      <c r="B54" s="202" t="s">
        <v>798</v>
      </c>
      <c r="C54" s="203" t="s">
        <v>349</v>
      </c>
      <c r="D54" s="204" t="s">
        <v>39</v>
      </c>
      <c r="E54" s="195">
        <v>2</v>
      </c>
      <c r="F54" s="195">
        <v>0</v>
      </c>
      <c r="G54" s="195">
        <v>0</v>
      </c>
      <c r="H54" s="195">
        <v>0</v>
      </c>
      <c r="I54" s="194">
        <f t="shared" si="0"/>
        <v>0</v>
      </c>
      <c r="J54" s="195"/>
    </row>
    <row r="55" spans="1:10">
      <c r="A55" s="46" t="s">
        <v>801</v>
      </c>
      <c r="B55" s="202" t="s">
        <v>600</v>
      </c>
      <c r="C55" s="203" t="s">
        <v>349</v>
      </c>
      <c r="D55" s="204" t="s">
        <v>39</v>
      </c>
      <c r="E55" s="195">
        <v>2</v>
      </c>
      <c r="F55" s="195">
        <v>0</v>
      </c>
      <c r="G55" s="195">
        <v>0</v>
      </c>
      <c r="H55" s="195">
        <v>0</v>
      </c>
      <c r="I55" s="194">
        <f t="shared" si="0"/>
        <v>0</v>
      </c>
      <c r="J55" s="195"/>
    </row>
    <row r="56" spans="1:10">
      <c r="A56" s="47" t="s">
        <v>599</v>
      </c>
      <c r="B56" s="205" t="s">
        <v>600</v>
      </c>
      <c r="C56" s="206" t="s">
        <v>349</v>
      </c>
      <c r="D56" s="207" t="s">
        <v>39</v>
      </c>
      <c r="E56" s="193">
        <v>2</v>
      </c>
      <c r="F56" s="195">
        <v>0</v>
      </c>
      <c r="G56" s="195">
        <v>0</v>
      </c>
      <c r="H56" s="195">
        <v>0</v>
      </c>
      <c r="I56" s="194">
        <f t="shared" si="0"/>
        <v>0</v>
      </c>
      <c r="J56" s="195"/>
    </row>
    <row r="57" spans="1:10">
      <c r="A57" s="47" t="s">
        <v>799</v>
      </c>
      <c r="B57" s="205" t="s">
        <v>800</v>
      </c>
      <c r="C57" s="206" t="s">
        <v>349</v>
      </c>
      <c r="D57" s="207" t="s">
        <v>39</v>
      </c>
      <c r="E57" s="193">
        <v>2</v>
      </c>
      <c r="F57" s="195">
        <v>0</v>
      </c>
      <c r="G57" s="195">
        <v>0</v>
      </c>
      <c r="H57" s="195">
        <v>0</v>
      </c>
      <c r="I57" s="194">
        <f t="shared" si="0"/>
        <v>0</v>
      </c>
      <c r="J57" s="195"/>
    </row>
    <row r="58" spans="1:10">
      <c r="A58" s="1248" t="s">
        <v>698</v>
      </c>
      <c r="B58" s="189" t="s">
        <v>699</v>
      </c>
      <c r="C58" s="190" t="s">
        <v>699</v>
      </c>
      <c r="D58" s="201" t="s">
        <v>1399</v>
      </c>
      <c r="E58" s="192">
        <v>1</v>
      </c>
      <c r="F58" s="195">
        <v>0</v>
      </c>
      <c r="G58" s="195">
        <v>0</v>
      </c>
      <c r="H58" s="195">
        <v>0</v>
      </c>
      <c r="I58" s="194">
        <f t="shared" si="0"/>
        <v>0</v>
      </c>
      <c r="J58" s="195"/>
    </row>
    <row r="59" spans="1:10">
      <c r="A59" s="1249"/>
      <c r="B59" s="196"/>
      <c r="C59" s="197" t="s">
        <v>349</v>
      </c>
      <c r="D59" s="198" t="s">
        <v>1400</v>
      </c>
      <c r="E59" s="199">
        <v>3</v>
      </c>
      <c r="F59" s="195">
        <v>0</v>
      </c>
      <c r="G59" s="195">
        <v>0</v>
      </c>
      <c r="H59" s="195">
        <v>0</v>
      </c>
      <c r="I59" s="194">
        <f t="shared" si="0"/>
        <v>0</v>
      </c>
      <c r="J59" s="195"/>
    </row>
    <row r="60" spans="1:10">
      <c r="A60" s="1249"/>
      <c r="B60" s="196"/>
      <c r="D60" s="200" t="s">
        <v>39</v>
      </c>
      <c r="E60" s="199">
        <v>17</v>
      </c>
      <c r="F60" s="195">
        <v>0</v>
      </c>
      <c r="G60" s="195">
        <v>0</v>
      </c>
      <c r="H60" s="195">
        <v>0</v>
      </c>
      <c r="I60" s="194">
        <f t="shared" si="0"/>
        <v>0</v>
      </c>
      <c r="J60" s="195"/>
    </row>
    <row r="61" spans="1:10">
      <c r="A61" s="1249"/>
      <c r="B61" s="196"/>
      <c r="D61" s="198" t="s">
        <v>1470</v>
      </c>
      <c r="E61" s="199">
        <v>4</v>
      </c>
      <c r="F61" s="195">
        <v>0</v>
      </c>
      <c r="G61" s="195">
        <v>0</v>
      </c>
      <c r="H61" s="195">
        <v>0</v>
      </c>
      <c r="I61" s="194">
        <f t="shared" si="0"/>
        <v>0</v>
      </c>
      <c r="J61" s="195"/>
    </row>
    <row r="62" spans="1:10">
      <c r="A62" s="1249"/>
      <c r="B62" s="196"/>
      <c r="D62" s="198" t="s">
        <v>43</v>
      </c>
      <c r="E62" s="199">
        <v>12</v>
      </c>
      <c r="F62" s="195">
        <v>0</v>
      </c>
      <c r="G62" s="195">
        <v>0</v>
      </c>
      <c r="H62" s="195">
        <v>0</v>
      </c>
      <c r="I62" s="194">
        <f t="shared" si="0"/>
        <v>0</v>
      </c>
      <c r="J62" s="195"/>
    </row>
    <row r="63" spans="1:10">
      <c r="A63" s="1249"/>
      <c r="B63" s="196" t="s">
        <v>700</v>
      </c>
      <c r="C63" s="197" t="s">
        <v>349</v>
      </c>
      <c r="D63" s="200" t="s">
        <v>39</v>
      </c>
      <c r="E63" s="199">
        <v>1</v>
      </c>
      <c r="F63" s="195">
        <v>0</v>
      </c>
      <c r="G63" s="195">
        <v>0</v>
      </c>
      <c r="H63" s="195">
        <v>0</v>
      </c>
      <c r="I63" s="194">
        <f t="shared" si="0"/>
        <v>0</v>
      </c>
      <c r="J63" s="195"/>
    </row>
    <row r="64" spans="1:10">
      <c r="A64" s="1250"/>
      <c r="B64" s="205"/>
      <c r="C64" s="206"/>
      <c r="D64" s="207" t="s">
        <v>43</v>
      </c>
      <c r="E64" s="193">
        <v>1</v>
      </c>
      <c r="F64" s="195">
        <v>0</v>
      </c>
      <c r="G64" s="195">
        <v>0</v>
      </c>
      <c r="H64" s="195">
        <v>0</v>
      </c>
      <c r="I64" s="194">
        <f t="shared" si="0"/>
        <v>0</v>
      </c>
      <c r="J64" s="195"/>
    </row>
    <row r="65" spans="1:10">
      <c r="A65" s="1248" t="s">
        <v>694</v>
      </c>
      <c r="B65" s="189" t="s">
        <v>695</v>
      </c>
      <c r="C65" s="190" t="s">
        <v>695</v>
      </c>
      <c r="D65" s="201" t="s">
        <v>1399</v>
      </c>
      <c r="E65" s="192">
        <v>1</v>
      </c>
      <c r="F65" s="195">
        <v>0</v>
      </c>
      <c r="G65" s="195">
        <v>0</v>
      </c>
      <c r="H65" s="195">
        <v>0</v>
      </c>
      <c r="I65" s="194">
        <f t="shared" si="0"/>
        <v>0</v>
      </c>
      <c r="J65" s="195"/>
    </row>
    <row r="66" spans="1:10">
      <c r="A66" s="1249"/>
      <c r="B66" s="196"/>
      <c r="C66" s="197" t="s">
        <v>349</v>
      </c>
      <c r="D66" s="198" t="s">
        <v>1400</v>
      </c>
      <c r="E66" s="199">
        <v>3</v>
      </c>
      <c r="F66" s="195">
        <v>0</v>
      </c>
      <c r="G66" s="195">
        <v>0</v>
      </c>
      <c r="H66" s="195">
        <v>0</v>
      </c>
      <c r="I66" s="194">
        <f t="shared" ref="I66:I129" si="1">ROUNDUP(((F66+G66+H66)/3)/E66*100%,2)</f>
        <v>0</v>
      </c>
      <c r="J66" s="195"/>
    </row>
    <row r="67" spans="1:10">
      <c r="A67" s="1249"/>
      <c r="B67" s="196"/>
      <c r="D67" s="200" t="s">
        <v>39</v>
      </c>
      <c r="E67" s="199">
        <v>23</v>
      </c>
      <c r="F67" s="195">
        <v>0</v>
      </c>
      <c r="G67" s="195">
        <v>0</v>
      </c>
      <c r="H67" s="195">
        <v>0</v>
      </c>
      <c r="I67" s="194">
        <f t="shared" si="1"/>
        <v>0</v>
      </c>
      <c r="J67" s="195"/>
    </row>
    <row r="68" spans="1:10">
      <c r="A68" s="1249"/>
      <c r="B68" s="196"/>
      <c r="D68" s="198" t="s">
        <v>1470</v>
      </c>
      <c r="E68" s="199">
        <v>3</v>
      </c>
      <c r="F68" s="195">
        <v>0</v>
      </c>
      <c r="G68" s="195">
        <v>0</v>
      </c>
      <c r="H68" s="195">
        <v>0</v>
      </c>
      <c r="I68" s="194">
        <f t="shared" si="1"/>
        <v>0</v>
      </c>
      <c r="J68" s="195"/>
    </row>
    <row r="69" spans="1:10">
      <c r="A69" s="1249"/>
      <c r="B69" s="196"/>
      <c r="D69" s="198" t="s">
        <v>43</v>
      </c>
      <c r="E69" s="199">
        <v>9</v>
      </c>
      <c r="F69" s="195">
        <v>0</v>
      </c>
      <c r="G69" s="195">
        <v>0</v>
      </c>
      <c r="H69" s="195">
        <v>0</v>
      </c>
      <c r="I69" s="194">
        <f t="shared" si="1"/>
        <v>0</v>
      </c>
      <c r="J69" s="195"/>
    </row>
    <row r="70" spans="1:10">
      <c r="A70" s="1249"/>
      <c r="B70" s="196" t="s">
        <v>1911</v>
      </c>
      <c r="C70" s="197" t="s">
        <v>349</v>
      </c>
      <c r="D70" s="200" t="s">
        <v>39</v>
      </c>
      <c r="E70" s="199">
        <v>1</v>
      </c>
      <c r="F70" s="195">
        <v>0</v>
      </c>
      <c r="G70" s="195">
        <v>0</v>
      </c>
      <c r="H70" s="195">
        <v>0</v>
      </c>
      <c r="I70" s="194">
        <f t="shared" si="1"/>
        <v>0</v>
      </c>
      <c r="J70" s="195"/>
    </row>
    <row r="71" spans="1:10">
      <c r="A71" s="1249"/>
      <c r="B71" s="196"/>
      <c r="D71" s="200" t="s">
        <v>43</v>
      </c>
      <c r="E71" s="199">
        <v>1</v>
      </c>
      <c r="F71" s="195">
        <v>0</v>
      </c>
      <c r="G71" s="195">
        <v>0</v>
      </c>
      <c r="H71" s="195">
        <v>0</v>
      </c>
      <c r="I71" s="194">
        <f t="shared" si="1"/>
        <v>0</v>
      </c>
      <c r="J71" s="195"/>
    </row>
    <row r="72" spans="1:10">
      <c r="A72" s="1249"/>
      <c r="B72" s="196" t="s">
        <v>697</v>
      </c>
      <c r="C72" s="197" t="s">
        <v>349</v>
      </c>
      <c r="D72" s="200" t="s">
        <v>39</v>
      </c>
      <c r="E72" s="199">
        <v>2</v>
      </c>
      <c r="F72" s="195">
        <v>0</v>
      </c>
      <c r="G72" s="195">
        <v>0</v>
      </c>
      <c r="H72" s="195">
        <v>0</v>
      </c>
      <c r="I72" s="194">
        <f t="shared" si="1"/>
        <v>0</v>
      </c>
      <c r="J72" s="195"/>
    </row>
    <row r="73" spans="1:10">
      <c r="A73" s="1250"/>
      <c r="B73" s="205"/>
      <c r="C73" s="206"/>
      <c r="D73" s="207" t="s">
        <v>43</v>
      </c>
      <c r="E73" s="193">
        <v>1</v>
      </c>
      <c r="F73" s="195">
        <v>0</v>
      </c>
      <c r="G73" s="195">
        <v>0</v>
      </c>
      <c r="H73" s="195">
        <v>0</v>
      </c>
      <c r="I73" s="194">
        <f t="shared" si="1"/>
        <v>0</v>
      </c>
      <c r="J73" s="195"/>
    </row>
    <row r="74" spans="1:10">
      <c r="A74" s="46" t="s">
        <v>767</v>
      </c>
      <c r="B74" s="202" t="s">
        <v>768</v>
      </c>
      <c r="C74" s="203" t="s">
        <v>349</v>
      </c>
      <c r="D74" s="204" t="s">
        <v>39</v>
      </c>
      <c r="E74" s="195">
        <v>1</v>
      </c>
      <c r="F74" s="195">
        <v>0</v>
      </c>
      <c r="G74" s="195">
        <v>0</v>
      </c>
      <c r="H74" s="195">
        <v>0</v>
      </c>
      <c r="I74" s="194">
        <f t="shared" si="1"/>
        <v>0</v>
      </c>
      <c r="J74" s="195"/>
    </row>
    <row r="75" spans="1:10">
      <c r="A75" s="46" t="s">
        <v>802</v>
      </c>
      <c r="B75" s="202" t="s">
        <v>803</v>
      </c>
      <c r="C75" s="203" t="s">
        <v>349</v>
      </c>
      <c r="D75" s="204" t="s">
        <v>39</v>
      </c>
      <c r="E75" s="195">
        <v>2</v>
      </c>
      <c r="F75" s="195">
        <v>0</v>
      </c>
      <c r="G75" s="195">
        <v>0</v>
      </c>
      <c r="H75" s="195">
        <v>0</v>
      </c>
      <c r="I75" s="194">
        <f t="shared" si="1"/>
        <v>0</v>
      </c>
      <c r="J75" s="195"/>
    </row>
    <row r="76" spans="1:10">
      <c r="A76" s="1249" t="s">
        <v>446</v>
      </c>
      <c r="B76" s="196" t="s">
        <v>447</v>
      </c>
      <c r="C76" s="197" t="s">
        <v>447</v>
      </c>
      <c r="D76" s="200" t="s">
        <v>39</v>
      </c>
      <c r="E76" s="199">
        <v>2</v>
      </c>
      <c r="F76" s="195">
        <v>0</v>
      </c>
      <c r="G76" s="195">
        <v>0</v>
      </c>
      <c r="H76" s="195">
        <v>0</v>
      </c>
      <c r="I76" s="194">
        <f t="shared" si="1"/>
        <v>0</v>
      </c>
      <c r="J76" s="195"/>
    </row>
    <row r="77" spans="1:10">
      <c r="A77" s="1249"/>
      <c r="B77" s="196"/>
      <c r="D77" s="200" t="s">
        <v>43</v>
      </c>
      <c r="E77" s="199">
        <v>1</v>
      </c>
      <c r="F77" s="195">
        <v>0</v>
      </c>
      <c r="G77" s="195">
        <v>0</v>
      </c>
      <c r="H77" s="195">
        <v>0</v>
      </c>
      <c r="I77" s="194">
        <f t="shared" si="1"/>
        <v>0</v>
      </c>
      <c r="J77" s="195"/>
    </row>
    <row r="78" spans="1:10">
      <c r="A78" s="1249"/>
      <c r="B78" s="196"/>
      <c r="D78" s="200" t="s">
        <v>1387</v>
      </c>
      <c r="E78" s="199">
        <v>1</v>
      </c>
      <c r="F78" s="195">
        <v>0</v>
      </c>
      <c r="G78" s="195">
        <v>0</v>
      </c>
      <c r="H78" s="195">
        <v>0</v>
      </c>
      <c r="I78" s="194">
        <f t="shared" si="1"/>
        <v>0</v>
      </c>
      <c r="J78" s="195"/>
    </row>
    <row r="79" spans="1:10">
      <c r="A79" s="1249"/>
      <c r="B79" s="196" t="s">
        <v>448</v>
      </c>
      <c r="C79" s="197" t="s">
        <v>448</v>
      </c>
      <c r="D79" s="200" t="s">
        <v>39</v>
      </c>
      <c r="E79" s="199">
        <v>1</v>
      </c>
      <c r="F79" s="195">
        <v>0</v>
      </c>
      <c r="G79" s="195">
        <v>0</v>
      </c>
      <c r="H79" s="195">
        <v>0</v>
      </c>
      <c r="I79" s="194">
        <f t="shared" si="1"/>
        <v>0</v>
      </c>
      <c r="J79" s="195"/>
    </row>
    <row r="80" spans="1:10">
      <c r="A80" s="1249"/>
      <c r="B80" s="196"/>
      <c r="D80" s="200" t="s">
        <v>43</v>
      </c>
      <c r="E80" s="199">
        <v>1</v>
      </c>
      <c r="F80" s="195">
        <v>0</v>
      </c>
      <c r="G80" s="195">
        <v>0</v>
      </c>
      <c r="H80" s="195">
        <v>0</v>
      </c>
      <c r="I80" s="194">
        <f t="shared" si="1"/>
        <v>0</v>
      </c>
      <c r="J80" s="195"/>
    </row>
    <row r="81" spans="1:10">
      <c r="A81" s="1249"/>
      <c r="B81" s="196"/>
      <c r="D81" s="200" t="s">
        <v>1387</v>
      </c>
      <c r="E81" s="199">
        <v>1</v>
      </c>
      <c r="F81" s="195">
        <v>0</v>
      </c>
      <c r="G81" s="195">
        <v>0</v>
      </c>
      <c r="H81" s="195">
        <v>0</v>
      </c>
      <c r="I81" s="194">
        <f t="shared" si="1"/>
        <v>0</v>
      </c>
      <c r="J81" s="195"/>
    </row>
    <row r="82" spans="1:10">
      <c r="A82" s="1249"/>
      <c r="B82" s="196" t="s">
        <v>449</v>
      </c>
      <c r="C82" s="197" t="s">
        <v>449</v>
      </c>
      <c r="D82" s="200" t="s">
        <v>39</v>
      </c>
      <c r="E82" s="199">
        <v>1</v>
      </c>
      <c r="F82" s="195">
        <v>0</v>
      </c>
      <c r="G82" s="195">
        <v>0</v>
      </c>
      <c r="H82" s="195">
        <v>0</v>
      </c>
      <c r="I82" s="194">
        <f t="shared" si="1"/>
        <v>0</v>
      </c>
      <c r="J82" s="195"/>
    </row>
    <row r="83" spans="1:10">
      <c r="A83" s="1249"/>
      <c r="B83" s="196" t="s">
        <v>450</v>
      </c>
      <c r="C83" s="197" t="s">
        <v>450</v>
      </c>
      <c r="D83" s="200" t="s">
        <v>39</v>
      </c>
      <c r="E83" s="199">
        <v>1</v>
      </c>
      <c r="F83" s="195">
        <v>0</v>
      </c>
      <c r="G83" s="195">
        <v>0</v>
      </c>
      <c r="H83" s="195">
        <v>0</v>
      </c>
      <c r="I83" s="194">
        <f t="shared" si="1"/>
        <v>0</v>
      </c>
      <c r="J83" s="195"/>
    </row>
    <row r="84" spans="1:10">
      <c r="A84" s="1249"/>
      <c r="B84" s="196"/>
      <c r="D84" s="200" t="s">
        <v>43</v>
      </c>
      <c r="E84" s="199">
        <v>1</v>
      </c>
      <c r="F84" s="195">
        <v>0</v>
      </c>
      <c r="G84" s="195">
        <v>0</v>
      </c>
      <c r="H84" s="195">
        <v>0</v>
      </c>
      <c r="I84" s="194">
        <f t="shared" si="1"/>
        <v>0</v>
      </c>
      <c r="J84" s="195"/>
    </row>
    <row r="85" spans="1:10">
      <c r="A85" s="1249"/>
      <c r="B85" s="196" t="s">
        <v>451</v>
      </c>
      <c r="C85" s="197" t="s">
        <v>451</v>
      </c>
      <c r="D85" s="200" t="s">
        <v>39</v>
      </c>
      <c r="E85" s="199">
        <v>1</v>
      </c>
      <c r="F85" s="195">
        <v>0</v>
      </c>
      <c r="G85" s="195">
        <v>0</v>
      </c>
      <c r="H85" s="195">
        <v>0</v>
      </c>
      <c r="I85" s="194">
        <f t="shared" si="1"/>
        <v>0</v>
      </c>
      <c r="J85" s="195"/>
    </row>
    <row r="86" spans="1:10">
      <c r="A86" s="1249"/>
      <c r="B86" s="196"/>
      <c r="D86" s="200" t="s">
        <v>43</v>
      </c>
      <c r="E86" s="199">
        <v>1</v>
      </c>
      <c r="F86" s="195">
        <v>0</v>
      </c>
      <c r="G86" s="195">
        <v>0</v>
      </c>
      <c r="H86" s="195">
        <v>0</v>
      </c>
      <c r="I86" s="194">
        <f t="shared" si="1"/>
        <v>0</v>
      </c>
      <c r="J86" s="195"/>
    </row>
    <row r="87" spans="1:10">
      <c r="A87" s="1249"/>
      <c r="B87" s="196"/>
      <c r="D87" s="200" t="s">
        <v>1399</v>
      </c>
      <c r="E87" s="199">
        <v>1</v>
      </c>
      <c r="F87" s="195">
        <v>0</v>
      </c>
      <c r="G87" s="195">
        <v>0</v>
      </c>
      <c r="H87" s="195">
        <v>0</v>
      </c>
      <c r="I87" s="194">
        <f t="shared" si="1"/>
        <v>0</v>
      </c>
      <c r="J87" s="195"/>
    </row>
    <row r="88" spans="1:10">
      <c r="A88" s="1249"/>
      <c r="B88" s="196" t="s">
        <v>452</v>
      </c>
      <c r="C88" s="197" t="s">
        <v>452</v>
      </c>
      <c r="D88" s="200" t="s">
        <v>39</v>
      </c>
      <c r="E88" s="199">
        <v>1</v>
      </c>
      <c r="F88" s="195">
        <v>0</v>
      </c>
      <c r="G88" s="195">
        <v>0</v>
      </c>
      <c r="H88" s="195">
        <v>0</v>
      </c>
      <c r="I88" s="194">
        <f t="shared" si="1"/>
        <v>0</v>
      </c>
      <c r="J88" s="195"/>
    </row>
    <row r="89" spans="1:10">
      <c r="A89" s="1249"/>
      <c r="B89" s="196"/>
      <c r="D89" s="200" t="s">
        <v>43</v>
      </c>
      <c r="E89" s="199">
        <v>1</v>
      </c>
      <c r="F89" s="195">
        <v>0</v>
      </c>
      <c r="G89" s="195">
        <v>0</v>
      </c>
      <c r="H89" s="195">
        <v>0</v>
      </c>
      <c r="I89" s="194">
        <f t="shared" si="1"/>
        <v>0</v>
      </c>
      <c r="J89" s="195"/>
    </row>
    <row r="90" spans="1:10">
      <c r="A90" s="1249"/>
      <c r="B90" s="196"/>
      <c r="D90" s="200" t="s">
        <v>1387</v>
      </c>
      <c r="E90" s="199">
        <v>1</v>
      </c>
      <c r="F90" s="195">
        <v>0</v>
      </c>
      <c r="G90" s="195">
        <v>0</v>
      </c>
      <c r="H90" s="195">
        <v>0</v>
      </c>
      <c r="I90" s="194">
        <f t="shared" si="1"/>
        <v>0</v>
      </c>
      <c r="J90" s="195"/>
    </row>
    <row r="91" spans="1:10">
      <c r="A91" s="1249"/>
      <c r="B91" s="196" t="s">
        <v>453</v>
      </c>
      <c r="C91" s="197" t="s">
        <v>453</v>
      </c>
      <c r="D91" s="200" t="s">
        <v>39</v>
      </c>
      <c r="E91" s="199">
        <v>1</v>
      </c>
      <c r="F91" s="195">
        <v>0</v>
      </c>
      <c r="G91" s="195">
        <v>0</v>
      </c>
      <c r="H91" s="195">
        <v>0</v>
      </c>
      <c r="I91" s="194">
        <f t="shared" si="1"/>
        <v>0</v>
      </c>
      <c r="J91" s="195"/>
    </row>
    <row r="92" spans="1:10">
      <c r="A92" s="1249"/>
      <c r="B92" s="196" t="s">
        <v>454</v>
      </c>
      <c r="C92" s="197" t="s">
        <v>454</v>
      </c>
      <c r="D92" s="200" t="s">
        <v>39</v>
      </c>
      <c r="E92" s="199">
        <v>1</v>
      </c>
      <c r="F92" s="195">
        <v>0</v>
      </c>
      <c r="G92" s="195">
        <v>0</v>
      </c>
      <c r="H92" s="195">
        <v>0</v>
      </c>
      <c r="I92" s="194">
        <f t="shared" si="1"/>
        <v>0</v>
      </c>
      <c r="J92" s="195"/>
    </row>
    <row r="93" spans="1:10">
      <c r="A93" s="1249"/>
      <c r="B93" s="196" t="s">
        <v>455</v>
      </c>
      <c r="C93" s="197" t="s">
        <v>455</v>
      </c>
      <c r="D93" s="200" t="s">
        <v>39</v>
      </c>
      <c r="E93" s="199">
        <v>1</v>
      </c>
      <c r="F93" s="195">
        <v>0</v>
      </c>
      <c r="G93" s="195">
        <v>0</v>
      </c>
      <c r="H93" s="195">
        <v>0</v>
      </c>
      <c r="I93" s="194">
        <f t="shared" si="1"/>
        <v>0</v>
      </c>
      <c r="J93" s="195"/>
    </row>
    <row r="94" spans="1:10">
      <c r="A94" s="1249"/>
      <c r="B94" s="196"/>
      <c r="D94" s="200" t="s">
        <v>43</v>
      </c>
      <c r="E94" s="199">
        <v>1</v>
      </c>
      <c r="F94" s="195">
        <v>0</v>
      </c>
      <c r="G94" s="195">
        <v>0</v>
      </c>
      <c r="H94" s="195">
        <v>0</v>
      </c>
      <c r="I94" s="194">
        <f t="shared" si="1"/>
        <v>0</v>
      </c>
      <c r="J94" s="195"/>
    </row>
    <row r="95" spans="1:10">
      <c r="A95" s="1249"/>
      <c r="B95" s="196"/>
      <c r="D95" s="200" t="s">
        <v>1387</v>
      </c>
      <c r="E95" s="199">
        <v>1</v>
      </c>
      <c r="F95" s="195">
        <v>0</v>
      </c>
      <c r="G95" s="195">
        <v>0</v>
      </c>
      <c r="H95" s="195">
        <v>0</v>
      </c>
      <c r="I95" s="194">
        <f t="shared" si="1"/>
        <v>0</v>
      </c>
      <c r="J95" s="195"/>
    </row>
    <row r="96" spans="1:10">
      <c r="A96" s="1249"/>
      <c r="B96" s="196" t="s">
        <v>456</v>
      </c>
      <c r="C96" s="197" t="s">
        <v>456</v>
      </c>
      <c r="D96" s="200" t="s">
        <v>39</v>
      </c>
      <c r="E96" s="199">
        <v>1</v>
      </c>
      <c r="F96" s="195">
        <v>0</v>
      </c>
      <c r="G96" s="195">
        <v>0</v>
      </c>
      <c r="H96" s="195">
        <v>0</v>
      </c>
      <c r="I96" s="194">
        <f t="shared" si="1"/>
        <v>0</v>
      </c>
      <c r="J96" s="195"/>
    </row>
    <row r="97" spans="1:10">
      <c r="A97" s="1249"/>
      <c r="B97" s="196"/>
      <c r="D97" s="200" t="s">
        <v>43</v>
      </c>
      <c r="E97" s="199">
        <v>1</v>
      </c>
      <c r="F97" s="195">
        <v>0</v>
      </c>
      <c r="G97" s="195">
        <v>0</v>
      </c>
      <c r="H97" s="195">
        <v>0</v>
      </c>
      <c r="I97" s="194">
        <f t="shared" si="1"/>
        <v>0</v>
      </c>
      <c r="J97" s="195"/>
    </row>
    <row r="98" spans="1:10">
      <c r="A98" s="1249"/>
      <c r="B98" s="196" t="s">
        <v>457</v>
      </c>
      <c r="C98" s="197" t="s">
        <v>457</v>
      </c>
      <c r="D98" s="198" t="s">
        <v>39</v>
      </c>
      <c r="E98" s="199">
        <v>2</v>
      </c>
      <c r="F98" s="195">
        <v>0</v>
      </c>
      <c r="G98" s="195">
        <v>0</v>
      </c>
      <c r="H98" s="195">
        <v>0</v>
      </c>
      <c r="I98" s="194">
        <f t="shared" si="1"/>
        <v>0</v>
      </c>
      <c r="J98" s="195"/>
    </row>
    <row r="99" spans="1:10">
      <c r="A99" s="1249"/>
      <c r="B99" s="196"/>
      <c r="D99" s="200" t="s">
        <v>43</v>
      </c>
      <c r="E99" s="199">
        <v>1</v>
      </c>
      <c r="F99" s="195">
        <v>0</v>
      </c>
      <c r="G99" s="195">
        <v>0</v>
      </c>
      <c r="H99" s="195">
        <v>0</v>
      </c>
      <c r="I99" s="194">
        <f t="shared" si="1"/>
        <v>0</v>
      </c>
      <c r="J99" s="195"/>
    </row>
    <row r="100" spans="1:10">
      <c r="A100" s="1249"/>
      <c r="B100" s="196" t="s">
        <v>459</v>
      </c>
      <c r="C100" s="197" t="s">
        <v>459</v>
      </c>
      <c r="D100" s="200" t="s">
        <v>39</v>
      </c>
      <c r="E100" s="199">
        <v>1</v>
      </c>
      <c r="F100" s="195">
        <v>0</v>
      </c>
      <c r="G100" s="195">
        <v>0</v>
      </c>
      <c r="H100" s="195">
        <v>0</v>
      </c>
      <c r="I100" s="194">
        <f t="shared" si="1"/>
        <v>0</v>
      </c>
      <c r="J100" s="195"/>
    </row>
    <row r="101" spans="1:10">
      <c r="A101" s="1249"/>
      <c r="B101" s="196"/>
      <c r="D101" s="200" t="s">
        <v>43</v>
      </c>
      <c r="E101" s="199">
        <v>1</v>
      </c>
      <c r="F101" s="195">
        <v>0</v>
      </c>
      <c r="G101" s="195">
        <v>0</v>
      </c>
      <c r="H101" s="195">
        <v>0</v>
      </c>
      <c r="I101" s="194">
        <f t="shared" si="1"/>
        <v>0</v>
      </c>
      <c r="J101" s="195"/>
    </row>
    <row r="102" spans="1:10">
      <c r="A102" s="1249"/>
      <c r="B102" s="196" t="s">
        <v>460</v>
      </c>
      <c r="C102" s="197" t="s">
        <v>460</v>
      </c>
      <c r="D102" s="200" t="s">
        <v>39</v>
      </c>
      <c r="E102" s="199">
        <v>1</v>
      </c>
      <c r="F102" s="195">
        <v>0</v>
      </c>
      <c r="G102" s="195">
        <v>0</v>
      </c>
      <c r="H102" s="195">
        <v>0</v>
      </c>
      <c r="I102" s="194">
        <f t="shared" si="1"/>
        <v>0</v>
      </c>
      <c r="J102" s="195"/>
    </row>
    <row r="103" spans="1:10">
      <c r="A103" s="1249"/>
      <c r="B103" s="196"/>
      <c r="D103" s="200" t="s">
        <v>43</v>
      </c>
      <c r="E103" s="199">
        <v>1</v>
      </c>
      <c r="F103" s="195">
        <v>0</v>
      </c>
      <c r="G103" s="195">
        <v>0</v>
      </c>
      <c r="H103" s="195">
        <v>0</v>
      </c>
      <c r="I103" s="194">
        <f t="shared" si="1"/>
        <v>0</v>
      </c>
      <c r="J103" s="195"/>
    </row>
    <row r="104" spans="1:10">
      <c r="A104" s="1249"/>
      <c r="B104" s="196" t="s">
        <v>461</v>
      </c>
      <c r="C104" s="197" t="s">
        <v>461</v>
      </c>
      <c r="D104" s="200" t="s">
        <v>39</v>
      </c>
      <c r="E104" s="199">
        <v>1</v>
      </c>
      <c r="F104" s="195">
        <v>0</v>
      </c>
      <c r="G104" s="195">
        <v>0</v>
      </c>
      <c r="H104" s="195">
        <v>0</v>
      </c>
      <c r="I104" s="194">
        <f t="shared" si="1"/>
        <v>0</v>
      </c>
      <c r="J104" s="195"/>
    </row>
    <row r="105" spans="1:10">
      <c r="A105" s="1249"/>
      <c r="B105" s="196"/>
      <c r="D105" s="200" t="s">
        <v>43</v>
      </c>
      <c r="E105" s="199">
        <v>1</v>
      </c>
      <c r="F105" s="195">
        <v>0</v>
      </c>
      <c r="G105" s="195">
        <v>0</v>
      </c>
      <c r="H105" s="195">
        <v>0</v>
      </c>
      <c r="I105" s="194">
        <f t="shared" si="1"/>
        <v>0</v>
      </c>
      <c r="J105" s="195"/>
    </row>
    <row r="106" spans="1:10">
      <c r="A106" s="1249"/>
      <c r="B106" s="196" t="s">
        <v>462</v>
      </c>
      <c r="C106" s="197" t="s">
        <v>462</v>
      </c>
      <c r="D106" s="200" t="s">
        <v>39</v>
      </c>
      <c r="E106" s="199">
        <v>1</v>
      </c>
      <c r="F106" s="195">
        <v>0</v>
      </c>
      <c r="G106" s="195">
        <v>0</v>
      </c>
      <c r="H106" s="195">
        <v>0</v>
      </c>
      <c r="I106" s="194">
        <f t="shared" si="1"/>
        <v>0</v>
      </c>
      <c r="J106" s="195"/>
    </row>
    <row r="107" spans="1:10">
      <c r="A107" s="1249"/>
      <c r="B107" s="196"/>
      <c r="D107" s="200" t="s">
        <v>43</v>
      </c>
      <c r="E107" s="199">
        <v>1</v>
      </c>
      <c r="F107" s="195">
        <v>0</v>
      </c>
      <c r="G107" s="195">
        <v>0</v>
      </c>
      <c r="H107" s="195">
        <v>0</v>
      </c>
      <c r="I107" s="194">
        <f t="shared" si="1"/>
        <v>0</v>
      </c>
      <c r="J107" s="195"/>
    </row>
    <row r="108" spans="1:10">
      <c r="A108" s="1249"/>
      <c r="B108" s="196" t="s">
        <v>463</v>
      </c>
      <c r="C108" s="197" t="s">
        <v>463</v>
      </c>
      <c r="D108" s="200" t="s">
        <v>39</v>
      </c>
      <c r="E108" s="199">
        <v>1</v>
      </c>
      <c r="F108" s="195">
        <v>0</v>
      </c>
      <c r="G108" s="195">
        <v>0</v>
      </c>
      <c r="H108" s="195">
        <v>0</v>
      </c>
      <c r="I108" s="194">
        <f t="shared" si="1"/>
        <v>0</v>
      </c>
      <c r="J108" s="195"/>
    </row>
    <row r="109" spans="1:10">
      <c r="A109" s="1249"/>
      <c r="B109" s="196"/>
      <c r="D109" s="200" t="s">
        <v>43</v>
      </c>
      <c r="E109" s="199">
        <v>1</v>
      </c>
      <c r="F109" s="195">
        <v>0</v>
      </c>
      <c r="G109" s="195">
        <v>0</v>
      </c>
      <c r="H109" s="195">
        <v>0</v>
      </c>
      <c r="I109" s="194">
        <f t="shared" si="1"/>
        <v>0</v>
      </c>
      <c r="J109" s="195"/>
    </row>
    <row r="110" spans="1:10">
      <c r="A110" s="1249"/>
      <c r="B110" s="196" t="s">
        <v>464</v>
      </c>
      <c r="C110" s="197" t="s">
        <v>464</v>
      </c>
      <c r="D110" s="200" t="s">
        <v>39</v>
      </c>
      <c r="E110" s="199">
        <v>1</v>
      </c>
      <c r="F110" s="195">
        <v>0</v>
      </c>
      <c r="G110" s="195">
        <v>0</v>
      </c>
      <c r="H110" s="195">
        <v>0</v>
      </c>
      <c r="I110" s="194">
        <f t="shared" si="1"/>
        <v>0</v>
      </c>
      <c r="J110" s="195"/>
    </row>
    <row r="111" spans="1:10">
      <c r="A111" s="1249"/>
      <c r="B111" s="196"/>
      <c r="D111" s="200" t="s">
        <v>43</v>
      </c>
      <c r="E111" s="199">
        <v>1</v>
      </c>
      <c r="F111" s="195">
        <v>0</v>
      </c>
      <c r="G111" s="195">
        <v>0</v>
      </c>
      <c r="H111" s="195">
        <v>0</v>
      </c>
      <c r="I111" s="194">
        <f t="shared" si="1"/>
        <v>0</v>
      </c>
      <c r="J111" s="195"/>
    </row>
    <row r="112" spans="1:10">
      <c r="A112" s="1249"/>
      <c r="B112" s="196" t="s">
        <v>465</v>
      </c>
      <c r="C112" s="197" t="s">
        <v>465</v>
      </c>
      <c r="D112" s="200" t="s">
        <v>39</v>
      </c>
      <c r="E112" s="199">
        <v>1</v>
      </c>
      <c r="F112" s="195">
        <v>0</v>
      </c>
      <c r="G112" s="195">
        <v>0</v>
      </c>
      <c r="H112" s="195">
        <v>0</v>
      </c>
      <c r="I112" s="194">
        <f t="shared" si="1"/>
        <v>0</v>
      </c>
      <c r="J112" s="195"/>
    </row>
    <row r="113" spans="1:10">
      <c r="A113" s="1249"/>
      <c r="B113" s="196" t="s">
        <v>466</v>
      </c>
      <c r="C113" s="197" t="s">
        <v>466</v>
      </c>
      <c r="D113" s="200" t="s">
        <v>39</v>
      </c>
      <c r="E113" s="199">
        <v>1</v>
      </c>
      <c r="F113" s="195">
        <v>0</v>
      </c>
      <c r="G113" s="195">
        <v>0</v>
      </c>
      <c r="H113" s="195">
        <v>0</v>
      </c>
      <c r="I113" s="194">
        <f t="shared" si="1"/>
        <v>0</v>
      </c>
      <c r="J113" s="195"/>
    </row>
    <row r="114" spans="1:10">
      <c r="A114" s="1249"/>
      <c r="B114" s="196"/>
      <c r="D114" s="200" t="s">
        <v>43</v>
      </c>
      <c r="E114" s="199">
        <v>1</v>
      </c>
      <c r="F114" s="195">
        <v>0</v>
      </c>
      <c r="G114" s="195">
        <v>0</v>
      </c>
      <c r="H114" s="195">
        <v>0</v>
      </c>
      <c r="I114" s="194">
        <f t="shared" si="1"/>
        <v>0</v>
      </c>
      <c r="J114" s="195"/>
    </row>
    <row r="115" spans="1:10">
      <c r="A115" s="1249"/>
      <c r="B115" s="196" t="s">
        <v>467</v>
      </c>
      <c r="C115" s="197" t="s">
        <v>349</v>
      </c>
      <c r="D115" s="200" t="s">
        <v>43</v>
      </c>
      <c r="E115" s="199">
        <v>1</v>
      </c>
      <c r="F115" s="195">
        <v>0</v>
      </c>
      <c r="G115" s="195">
        <v>0</v>
      </c>
      <c r="H115" s="195">
        <v>0</v>
      </c>
      <c r="I115" s="194">
        <f t="shared" si="1"/>
        <v>0</v>
      </c>
      <c r="J115" s="195"/>
    </row>
    <row r="116" spans="1:10">
      <c r="A116" s="1249"/>
      <c r="B116" s="196"/>
      <c r="C116" s="197" t="s">
        <v>467</v>
      </c>
      <c r="D116" s="198" t="s">
        <v>39</v>
      </c>
      <c r="E116" s="199">
        <v>2</v>
      </c>
      <c r="F116" s="195">
        <v>0</v>
      </c>
      <c r="G116" s="195">
        <v>0</v>
      </c>
      <c r="H116" s="195">
        <v>0</v>
      </c>
      <c r="I116" s="194">
        <f t="shared" si="1"/>
        <v>0</v>
      </c>
      <c r="J116" s="195"/>
    </row>
    <row r="117" spans="1:10">
      <c r="A117" s="1249"/>
      <c r="B117" s="196"/>
      <c r="D117" s="198" t="s">
        <v>43</v>
      </c>
      <c r="E117" s="199">
        <v>1</v>
      </c>
      <c r="F117" s="195">
        <v>0</v>
      </c>
      <c r="G117" s="195">
        <v>0</v>
      </c>
      <c r="H117" s="195">
        <v>0</v>
      </c>
      <c r="I117" s="194">
        <f t="shared" si="1"/>
        <v>0</v>
      </c>
      <c r="J117" s="195"/>
    </row>
    <row r="118" spans="1:10">
      <c r="A118" s="1249"/>
      <c r="B118" s="196" t="s">
        <v>468</v>
      </c>
      <c r="C118" s="197" t="s">
        <v>468</v>
      </c>
      <c r="D118" s="200" t="s">
        <v>39</v>
      </c>
      <c r="E118" s="199">
        <v>1</v>
      </c>
      <c r="F118" s="195">
        <v>0</v>
      </c>
      <c r="G118" s="195">
        <v>0</v>
      </c>
      <c r="H118" s="195">
        <v>0</v>
      </c>
      <c r="I118" s="194">
        <f t="shared" si="1"/>
        <v>0</v>
      </c>
      <c r="J118" s="195"/>
    </row>
    <row r="119" spans="1:10">
      <c r="A119" s="1249"/>
      <c r="B119" s="196"/>
      <c r="D119" s="200" t="s">
        <v>43</v>
      </c>
      <c r="E119" s="199">
        <v>1</v>
      </c>
      <c r="F119" s="195">
        <v>0</v>
      </c>
      <c r="G119" s="195">
        <v>0</v>
      </c>
      <c r="H119" s="195">
        <v>0</v>
      </c>
      <c r="I119" s="194">
        <f t="shared" si="1"/>
        <v>0</v>
      </c>
      <c r="J119" s="195"/>
    </row>
    <row r="120" spans="1:10">
      <c r="A120" s="1249"/>
      <c r="B120" s="196"/>
      <c r="D120" s="200" t="s">
        <v>1387</v>
      </c>
      <c r="E120" s="199">
        <v>1</v>
      </c>
      <c r="F120" s="195">
        <v>0</v>
      </c>
      <c r="G120" s="195">
        <v>0</v>
      </c>
      <c r="H120" s="195">
        <v>0</v>
      </c>
      <c r="I120" s="194">
        <f t="shared" si="1"/>
        <v>0</v>
      </c>
      <c r="J120" s="195"/>
    </row>
    <row r="121" spans="1:10">
      <c r="A121" s="1249"/>
      <c r="B121" s="196" t="s">
        <v>469</v>
      </c>
      <c r="C121" s="197" t="s">
        <v>469</v>
      </c>
      <c r="D121" s="200" t="s">
        <v>39</v>
      </c>
      <c r="E121" s="199">
        <v>1</v>
      </c>
      <c r="F121" s="195">
        <v>0</v>
      </c>
      <c r="G121" s="195">
        <v>0</v>
      </c>
      <c r="H121" s="195">
        <v>0</v>
      </c>
      <c r="I121" s="194">
        <f t="shared" si="1"/>
        <v>0</v>
      </c>
      <c r="J121" s="195"/>
    </row>
    <row r="122" spans="1:10">
      <c r="A122" s="1249"/>
      <c r="B122" s="196"/>
      <c r="D122" s="200" t="s">
        <v>1387</v>
      </c>
      <c r="E122" s="199">
        <v>1</v>
      </c>
      <c r="F122" s="195">
        <v>0</v>
      </c>
      <c r="G122" s="195">
        <v>0</v>
      </c>
      <c r="H122" s="195">
        <v>0</v>
      </c>
      <c r="I122" s="194">
        <f t="shared" si="1"/>
        <v>0</v>
      </c>
      <c r="J122" s="195"/>
    </row>
    <row r="123" spans="1:10">
      <c r="A123" s="1249"/>
      <c r="B123" s="196" t="s">
        <v>470</v>
      </c>
      <c r="C123" s="197" t="s">
        <v>470</v>
      </c>
      <c r="D123" s="200" t="s">
        <v>39</v>
      </c>
      <c r="E123" s="199">
        <v>1</v>
      </c>
      <c r="F123" s="195">
        <v>0</v>
      </c>
      <c r="G123" s="195">
        <v>0</v>
      </c>
      <c r="H123" s="195">
        <v>0</v>
      </c>
      <c r="I123" s="194">
        <f t="shared" si="1"/>
        <v>0</v>
      </c>
      <c r="J123" s="195"/>
    </row>
    <row r="124" spans="1:10">
      <c r="A124" s="1249"/>
      <c r="B124" s="196"/>
      <c r="D124" s="200" t="s">
        <v>1387</v>
      </c>
      <c r="E124" s="199">
        <v>1</v>
      </c>
      <c r="F124" s="195">
        <v>0</v>
      </c>
      <c r="G124" s="195">
        <v>0</v>
      </c>
      <c r="H124" s="195">
        <v>0</v>
      </c>
      <c r="I124" s="194">
        <f t="shared" si="1"/>
        <v>0</v>
      </c>
      <c r="J124" s="195"/>
    </row>
    <row r="125" spans="1:10">
      <c r="A125" s="1249"/>
      <c r="B125" s="196" t="s">
        <v>471</v>
      </c>
      <c r="C125" s="197" t="s">
        <v>471</v>
      </c>
      <c r="D125" s="198" t="s">
        <v>39</v>
      </c>
      <c r="E125" s="199">
        <v>2</v>
      </c>
      <c r="F125" s="195">
        <v>0</v>
      </c>
      <c r="G125" s="195">
        <v>0</v>
      </c>
      <c r="H125" s="195">
        <v>0</v>
      </c>
      <c r="I125" s="194">
        <f t="shared" si="1"/>
        <v>0</v>
      </c>
      <c r="J125" s="195"/>
    </row>
    <row r="126" spans="1:10">
      <c r="A126" s="1249"/>
      <c r="B126" s="196"/>
      <c r="D126" s="200" t="s">
        <v>43</v>
      </c>
      <c r="E126" s="199">
        <v>1</v>
      </c>
      <c r="F126" s="195">
        <v>0</v>
      </c>
      <c r="G126" s="195">
        <v>0</v>
      </c>
      <c r="H126" s="195">
        <v>0</v>
      </c>
      <c r="I126" s="194">
        <f t="shared" si="1"/>
        <v>0</v>
      </c>
      <c r="J126" s="195"/>
    </row>
    <row r="127" spans="1:10">
      <c r="A127" s="1249"/>
      <c r="B127" s="196" t="s">
        <v>472</v>
      </c>
      <c r="C127" s="197" t="s">
        <v>472</v>
      </c>
      <c r="D127" s="200" t="s">
        <v>39</v>
      </c>
      <c r="E127" s="199">
        <v>1</v>
      </c>
      <c r="F127" s="195">
        <v>0</v>
      </c>
      <c r="G127" s="195">
        <v>0</v>
      </c>
      <c r="H127" s="195">
        <v>0</v>
      </c>
      <c r="I127" s="194">
        <f t="shared" si="1"/>
        <v>0</v>
      </c>
      <c r="J127" s="195"/>
    </row>
    <row r="128" spans="1:10">
      <c r="A128" s="1249"/>
      <c r="B128" s="196"/>
      <c r="D128" s="200" t="s">
        <v>43</v>
      </c>
      <c r="E128" s="199">
        <v>1</v>
      </c>
      <c r="F128" s="195">
        <v>0</v>
      </c>
      <c r="G128" s="195">
        <v>0</v>
      </c>
      <c r="H128" s="195">
        <v>0</v>
      </c>
      <c r="I128" s="194">
        <f t="shared" si="1"/>
        <v>0</v>
      </c>
      <c r="J128" s="195"/>
    </row>
    <row r="129" spans="1:10">
      <c r="A129" s="1249"/>
      <c r="B129" s="196" t="s">
        <v>473</v>
      </c>
      <c r="C129" s="197" t="s">
        <v>473</v>
      </c>
      <c r="D129" s="200" t="s">
        <v>39</v>
      </c>
      <c r="E129" s="199">
        <v>1</v>
      </c>
      <c r="F129" s="195">
        <v>0</v>
      </c>
      <c r="G129" s="195">
        <v>0</v>
      </c>
      <c r="H129" s="195">
        <v>0</v>
      </c>
      <c r="I129" s="194">
        <f t="shared" si="1"/>
        <v>0</v>
      </c>
      <c r="J129" s="195"/>
    </row>
    <row r="130" spans="1:10">
      <c r="A130" s="1249"/>
      <c r="B130" s="196"/>
      <c r="D130" s="200" t="s">
        <v>43</v>
      </c>
      <c r="E130" s="199">
        <v>1</v>
      </c>
      <c r="F130" s="195">
        <v>0</v>
      </c>
      <c r="G130" s="195">
        <v>0</v>
      </c>
      <c r="H130" s="195">
        <v>0</v>
      </c>
      <c r="I130" s="194">
        <f t="shared" ref="I130:I193" si="2">ROUNDUP(((F130+G130+H130)/3)/E130*100%,2)</f>
        <v>0</v>
      </c>
      <c r="J130" s="195"/>
    </row>
    <row r="131" spans="1:10">
      <c r="A131" s="1249"/>
      <c r="B131" s="196"/>
      <c r="D131" s="200" t="s">
        <v>1387</v>
      </c>
      <c r="E131" s="199">
        <v>1</v>
      </c>
      <c r="F131" s="195">
        <v>0</v>
      </c>
      <c r="G131" s="195">
        <v>0</v>
      </c>
      <c r="H131" s="195">
        <v>0</v>
      </c>
      <c r="I131" s="194">
        <f t="shared" si="2"/>
        <v>0</v>
      </c>
      <c r="J131" s="195"/>
    </row>
    <row r="132" spans="1:10">
      <c r="A132" s="1249"/>
      <c r="B132" s="196" t="s">
        <v>474</v>
      </c>
      <c r="C132" s="197" t="s">
        <v>474</v>
      </c>
      <c r="D132" s="200" t="s">
        <v>39</v>
      </c>
      <c r="E132" s="199">
        <v>1</v>
      </c>
      <c r="F132" s="195">
        <v>0</v>
      </c>
      <c r="G132" s="195">
        <v>0</v>
      </c>
      <c r="H132" s="195">
        <v>0</v>
      </c>
      <c r="I132" s="194">
        <f t="shared" si="2"/>
        <v>0</v>
      </c>
      <c r="J132" s="195"/>
    </row>
    <row r="133" spans="1:10">
      <c r="A133" s="1249"/>
      <c r="B133" s="196"/>
      <c r="D133" s="200" t="s">
        <v>43</v>
      </c>
      <c r="E133" s="199">
        <v>1</v>
      </c>
      <c r="F133" s="195">
        <v>0</v>
      </c>
      <c r="G133" s="195">
        <v>0</v>
      </c>
      <c r="H133" s="195">
        <v>0</v>
      </c>
      <c r="I133" s="194">
        <f t="shared" si="2"/>
        <v>0</v>
      </c>
      <c r="J133" s="195"/>
    </row>
    <row r="134" spans="1:10">
      <c r="A134" s="1249"/>
      <c r="B134" s="196"/>
      <c r="D134" s="200" t="s">
        <v>1387</v>
      </c>
      <c r="E134" s="199">
        <v>1</v>
      </c>
      <c r="F134" s="195">
        <v>0</v>
      </c>
      <c r="G134" s="195">
        <v>0</v>
      </c>
      <c r="H134" s="195">
        <v>0</v>
      </c>
      <c r="I134" s="194">
        <f t="shared" si="2"/>
        <v>0</v>
      </c>
      <c r="J134" s="195"/>
    </row>
    <row r="135" spans="1:10">
      <c r="A135" s="1249"/>
      <c r="B135" s="196" t="s">
        <v>475</v>
      </c>
      <c r="C135" s="197" t="s">
        <v>475</v>
      </c>
      <c r="D135" s="200" t="s">
        <v>43</v>
      </c>
      <c r="E135" s="199">
        <v>1</v>
      </c>
      <c r="F135" s="195">
        <v>0</v>
      </c>
      <c r="G135" s="195">
        <v>0</v>
      </c>
      <c r="H135" s="195">
        <v>0</v>
      </c>
      <c r="I135" s="194">
        <f t="shared" si="2"/>
        <v>0</v>
      </c>
      <c r="J135" s="195"/>
    </row>
    <row r="136" spans="1:10">
      <c r="A136" s="1249"/>
      <c r="B136" s="196" t="s">
        <v>476</v>
      </c>
      <c r="C136" s="197" t="s">
        <v>476</v>
      </c>
      <c r="D136" s="200" t="s">
        <v>39</v>
      </c>
      <c r="E136" s="199">
        <v>1</v>
      </c>
      <c r="F136" s="195">
        <v>0</v>
      </c>
      <c r="G136" s="195">
        <v>0</v>
      </c>
      <c r="H136" s="195">
        <v>0</v>
      </c>
      <c r="I136" s="194">
        <f t="shared" si="2"/>
        <v>0</v>
      </c>
      <c r="J136" s="195"/>
    </row>
    <row r="137" spans="1:10">
      <c r="A137" s="1249"/>
      <c r="B137" s="196"/>
      <c r="D137" s="200" t="s">
        <v>43</v>
      </c>
      <c r="E137" s="199">
        <v>1</v>
      </c>
      <c r="F137" s="195">
        <v>0</v>
      </c>
      <c r="G137" s="195">
        <v>0</v>
      </c>
      <c r="H137" s="195">
        <v>0</v>
      </c>
      <c r="I137" s="194">
        <f t="shared" si="2"/>
        <v>0</v>
      </c>
      <c r="J137" s="195"/>
    </row>
    <row r="138" spans="1:10">
      <c r="A138" s="1249"/>
      <c r="B138" s="196" t="s">
        <v>477</v>
      </c>
      <c r="C138" s="197" t="s">
        <v>477</v>
      </c>
      <c r="D138" s="200" t="s">
        <v>39</v>
      </c>
      <c r="E138" s="199">
        <v>1</v>
      </c>
      <c r="F138" s="195">
        <v>0</v>
      </c>
      <c r="G138" s="195">
        <v>0</v>
      </c>
      <c r="H138" s="195">
        <v>0</v>
      </c>
      <c r="I138" s="194">
        <f t="shared" si="2"/>
        <v>0</v>
      </c>
      <c r="J138" s="195"/>
    </row>
    <row r="139" spans="1:10">
      <c r="A139" s="1249"/>
      <c r="B139" s="196" t="s">
        <v>478</v>
      </c>
      <c r="C139" s="197" t="s">
        <v>478</v>
      </c>
      <c r="D139" s="200" t="s">
        <v>39</v>
      </c>
      <c r="E139" s="199">
        <v>1</v>
      </c>
      <c r="F139" s="195">
        <v>0</v>
      </c>
      <c r="G139" s="195">
        <v>0</v>
      </c>
      <c r="H139" s="195">
        <v>0</v>
      </c>
      <c r="I139" s="194">
        <f t="shared" si="2"/>
        <v>0</v>
      </c>
      <c r="J139" s="195"/>
    </row>
    <row r="140" spans="1:10">
      <c r="A140" s="1249"/>
      <c r="B140" s="196" t="s">
        <v>479</v>
      </c>
      <c r="C140" s="197" t="s">
        <v>479</v>
      </c>
      <c r="D140" s="200" t="s">
        <v>39</v>
      </c>
      <c r="E140" s="199">
        <v>1</v>
      </c>
      <c r="F140" s="195">
        <v>0</v>
      </c>
      <c r="G140" s="195">
        <v>0</v>
      </c>
      <c r="H140" s="195">
        <v>0</v>
      </c>
      <c r="I140" s="194">
        <f t="shared" si="2"/>
        <v>0</v>
      </c>
      <c r="J140" s="195"/>
    </row>
    <row r="141" spans="1:10">
      <c r="A141" s="1249"/>
      <c r="B141" s="196"/>
      <c r="D141" s="200" t="s">
        <v>43</v>
      </c>
      <c r="E141" s="199">
        <v>1</v>
      </c>
      <c r="F141" s="195">
        <v>0</v>
      </c>
      <c r="G141" s="195">
        <v>0</v>
      </c>
      <c r="H141" s="195">
        <v>0</v>
      </c>
      <c r="I141" s="194">
        <f t="shared" si="2"/>
        <v>0</v>
      </c>
      <c r="J141" s="195"/>
    </row>
    <row r="142" spans="1:10">
      <c r="A142" s="1250"/>
      <c r="B142" s="205" t="s">
        <v>480</v>
      </c>
      <c r="C142" s="206" t="s">
        <v>480</v>
      </c>
      <c r="D142" s="207" t="s">
        <v>39</v>
      </c>
      <c r="E142" s="193">
        <v>1</v>
      </c>
      <c r="F142" s="195">
        <v>0</v>
      </c>
      <c r="G142" s="195">
        <v>0</v>
      </c>
      <c r="H142" s="195">
        <v>0</v>
      </c>
      <c r="I142" s="194">
        <f t="shared" si="2"/>
        <v>0</v>
      </c>
      <c r="J142" s="195"/>
    </row>
    <row r="143" spans="1:10">
      <c r="A143" s="1248" t="s">
        <v>508</v>
      </c>
      <c r="B143" s="189" t="s">
        <v>509</v>
      </c>
      <c r="C143" s="190" t="s">
        <v>509</v>
      </c>
      <c r="D143" s="201" t="s">
        <v>39</v>
      </c>
      <c r="E143" s="192">
        <v>1</v>
      </c>
      <c r="F143" s="195">
        <v>0</v>
      </c>
      <c r="G143" s="195">
        <v>0</v>
      </c>
      <c r="H143" s="195">
        <v>0</v>
      </c>
      <c r="I143" s="194">
        <f t="shared" si="2"/>
        <v>0</v>
      </c>
      <c r="J143" s="195"/>
    </row>
    <row r="144" spans="1:10">
      <c r="A144" s="1249"/>
      <c r="B144" s="196"/>
      <c r="D144" s="200" t="s">
        <v>43</v>
      </c>
      <c r="E144" s="199">
        <v>1</v>
      </c>
      <c r="F144" s="195">
        <v>0</v>
      </c>
      <c r="G144" s="195">
        <v>0</v>
      </c>
      <c r="H144" s="195">
        <v>0</v>
      </c>
      <c r="I144" s="194">
        <f t="shared" si="2"/>
        <v>0</v>
      </c>
      <c r="J144" s="195"/>
    </row>
    <row r="145" spans="1:10">
      <c r="A145" s="1249"/>
      <c r="B145" s="196"/>
      <c r="D145" s="200" t="s">
        <v>1387</v>
      </c>
      <c r="E145" s="199">
        <v>2</v>
      </c>
      <c r="F145" s="195">
        <v>0</v>
      </c>
      <c r="G145" s="195">
        <v>0</v>
      </c>
      <c r="H145" s="195">
        <v>0</v>
      </c>
      <c r="I145" s="194">
        <f t="shared" si="2"/>
        <v>0</v>
      </c>
      <c r="J145" s="195"/>
    </row>
    <row r="146" spans="1:10">
      <c r="A146" s="1249"/>
      <c r="B146" s="196" t="s">
        <v>511</v>
      </c>
      <c r="C146" s="197" t="s">
        <v>511</v>
      </c>
      <c r="D146" s="200" t="s">
        <v>39</v>
      </c>
      <c r="E146" s="199">
        <v>1</v>
      </c>
      <c r="F146" s="195">
        <v>0</v>
      </c>
      <c r="G146" s="195">
        <v>0</v>
      </c>
      <c r="H146" s="195">
        <v>0</v>
      </c>
      <c r="I146" s="194">
        <f t="shared" si="2"/>
        <v>0</v>
      </c>
      <c r="J146" s="195"/>
    </row>
    <row r="147" spans="1:10">
      <c r="A147" s="1249"/>
      <c r="B147" s="196"/>
      <c r="D147" s="200" t="s">
        <v>43</v>
      </c>
      <c r="E147" s="199">
        <v>1</v>
      </c>
      <c r="F147" s="195">
        <v>0</v>
      </c>
      <c r="G147" s="195">
        <v>0</v>
      </c>
      <c r="H147" s="195">
        <v>0</v>
      </c>
      <c r="I147" s="194">
        <f t="shared" si="2"/>
        <v>0</v>
      </c>
      <c r="J147" s="195"/>
    </row>
    <row r="148" spans="1:10">
      <c r="A148" s="1249"/>
      <c r="B148" s="196"/>
      <c r="D148" s="200" t="s">
        <v>1399</v>
      </c>
      <c r="E148" s="199">
        <v>1</v>
      </c>
      <c r="F148" s="195">
        <v>0</v>
      </c>
      <c r="G148" s="195">
        <v>0</v>
      </c>
      <c r="H148" s="195">
        <v>0</v>
      </c>
      <c r="I148" s="194">
        <f t="shared" si="2"/>
        <v>0</v>
      </c>
      <c r="J148" s="195"/>
    </row>
    <row r="149" spans="1:10">
      <c r="A149" s="1249"/>
      <c r="B149" s="196" t="s">
        <v>512</v>
      </c>
      <c r="C149" s="197" t="s">
        <v>512</v>
      </c>
      <c r="D149" s="200" t="s">
        <v>39</v>
      </c>
      <c r="E149" s="199">
        <v>1</v>
      </c>
      <c r="F149" s="195">
        <v>0</v>
      </c>
      <c r="G149" s="195">
        <v>0</v>
      </c>
      <c r="H149" s="195">
        <v>0</v>
      </c>
      <c r="I149" s="194">
        <f t="shared" si="2"/>
        <v>0</v>
      </c>
      <c r="J149" s="195"/>
    </row>
    <row r="150" spans="1:10">
      <c r="A150" s="1249"/>
      <c r="B150" s="196"/>
      <c r="D150" s="200" t="s">
        <v>43</v>
      </c>
      <c r="E150" s="199">
        <v>1</v>
      </c>
      <c r="F150" s="195">
        <v>0</v>
      </c>
      <c r="G150" s="195">
        <v>0</v>
      </c>
      <c r="H150" s="195">
        <v>0</v>
      </c>
      <c r="I150" s="194">
        <f t="shared" si="2"/>
        <v>0</v>
      </c>
      <c r="J150" s="195"/>
    </row>
    <row r="151" spans="1:10">
      <c r="A151" s="1249"/>
      <c r="B151" s="196"/>
      <c r="D151" s="200" t="s">
        <v>1399</v>
      </c>
      <c r="E151" s="199">
        <v>1</v>
      </c>
      <c r="F151" s="195">
        <v>0</v>
      </c>
      <c r="G151" s="195">
        <v>0</v>
      </c>
      <c r="H151" s="195">
        <v>0</v>
      </c>
      <c r="I151" s="194">
        <f t="shared" si="2"/>
        <v>0</v>
      </c>
      <c r="J151" s="195"/>
    </row>
    <row r="152" spans="1:10">
      <c r="A152" s="1249"/>
      <c r="B152" s="196" t="s">
        <v>513</v>
      </c>
      <c r="C152" s="197" t="s">
        <v>513</v>
      </c>
      <c r="D152" s="198" t="s">
        <v>39</v>
      </c>
      <c r="E152" s="199">
        <v>2</v>
      </c>
      <c r="F152" s="195">
        <v>0</v>
      </c>
      <c r="G152" s="195">
        <v>0</v>
      </c>
      <c r="H152" s="195">
        <v>0</v>
      </c>
      <c r="I152" s="194">
        <f t="shared" si="2"/>
        <v>0</v>
      </c>
      <c r="J152" s="195"/>
    </row>
    <row r="153" spans="1:10">
      <c r="A153" s="1249"/>
      <c r="B153" s="196"/>
      <c r="D153" s="200" t="s">
        <v>43</v>
      </c>
      <c r="E153" s="199">
        <v>1</v>
      </c>
      <c r="F153" s="195">
        <v>0</v>
      </c>
      <c r="G153" s="195">
        <v>0</v>
      </c>
      <c r="H153" s="195">
        <v>0</v>
      </c>
      <c r="I153" s="194">
        <f t="shared" si="2"/>
        <v>0</v>
      </c>
      <c r="J153" s="195"/>
    </row>
    <row r="154" spans="1:10">
      <c r="A154" s="1249"/>
      <c r="B154" s="196" t="s">
        <v>514</v>
      </c>
      <c r="C154" s="197" t="s">
        <v>514</v>
      </c>
      <c r="D154" s="200" t="s">
        <v>39</v>
      </c>
      <c r="E154" s="199">
        <v>1</v>
      </c>
      <c r="F154" s="195">
        <v>0</v>
      </c>
      <c r="G154" s="195">
        <v>0</v>
      </c>
      <c r="H154" s="195">
        <v>0</v>
      </c>
      <c r="I154" s="194">
        <f t="shared" si="2"/>
        <v>0</v>
      </c>
      <c r="J154" s="195"/>
    </row>
    <row r="155" spans="1:10">
      <c r="A155" s="1249"/>
      <c r="B155" s="196"/>
      <c r="D155" s="200" t="s">
        <v>43</v>
      </c>
      <c r="E155" s="199">
        <v>1</v>
      </c>
      <c r="F155" s="195">
        <v>0</v>
      </c>
      <c r="G155" s="195">
        <v>0</v>
      </c>
      <c r="H155" s="195">
        <v>0</v>
      </c>
      <c r="I155" s="194">
        <f t="shared" si="2"/>
        <v>0</v>
      </c>
      <c r="J155" s="195"/>
    </row>
    <row r="156" spans="1:10">
      <c r="A156" s="1249"/>
      <c r="B156" s="196" t="s">
        <v>515</v>
      </c>
      <c r="C156" s="197" t="s">
        <v>515</v>
      </c>
      <c r="D156" s="200" t="s">
        <v>39</v>
      </c>
      <c r="E156" s="199">
        <v>1</v>
      </c>
      <c r="F156" s="195">
        <v>0</v>
      </c>
      <c r="G156" s="195">
        <v>0</v>
      </c>
      <c r="H156" s="195">
        <v>0</v>
      </c>
      <c r="I156" s="194">
        <f t="shared" si="2"/>
        <v>0</v>
      </c>
      <c r="J156" s="195"/>
    </row>
    <row r="157" spans="1:10">
      <c r="A157" s="1249"/>
      <c r="B157" s="196"/>
      <c r="D157" s="200" t="s">
        <v>43</v>
      </c>
      <c r="E157" s="199">
        <v>1</v>
      </c>
      <c r="F157" s="195">
        <v>0</v>
      </c>
      <c r="G157" s="195">
        <v>0</v>
      </c>
      <c r="H157" s="195">
        <v>0</v>
      </c>
      <c r="I157" s="194">
        <f t="shared" si="2"/>
        <v>0</v>
      </c>
      <c r="J157" s="195"/>
    </row>
    <row r="158" spans="1:10">
      <c r="A158" s="1249"/>
      <c r="B158" s="196" t="s">
        <v>516</v>
      </c>
      <c r="C158" s="197" t="s">
        <v>516</v>
      </c>
      <c r="D158" s="200" t="s">
        <v>39</v>
      </c>
      <c r="E158" s="199">
        <v>1</v>
      </c>
      <c r="F158" s="195">
        <v>0</v>
      </c>
      <c r="G158" s="195">
        <v>0</v>
      </c>
      <c r="H158" s="195">
        <v>0</v>
      </c>
      <c r="I158" s="194">
        <f t="shared" si="2"/>
        <v>0</v>
      </c>
      <c r="J158" s="195"/>
    </row>
    <row r="159" spans="1:10">
      <c r="A159" s="1249"/>
      <c r="B159" s="196"/>
      <c r="D159" s="200" t="s">
        <v>43</v>
      </c>
      <c r="E159" s="199">
        <v>1</v>
      </c>
      <c r="F159" s="195">
        <v>0</v>
      </c>
      <c r="G159" s="195">
        <v>0</v>
      </c>
      <c r="H159" s="195">
        <v>0</v>
      </c>
      <c r="I159" s="194">
        <f t="shared" si="2"/>
        <v>0</v>
      </c>
      <c r="J159" s="195"/>
    </row>
    <row r="160" spans="1:10">
      <c r="A160" s="1249"/>
      <c r="B160" s="196" t="s">
        <v>517</v>
      </c>
      <c r="C160" s="197" t="s">
        <v>517</v>
      </c>
      <c r="D160" s="198" t="s">
        <v>39</v>
      </c>
      <c r="E160" s="199">
        <v>2</v>
      </c>
      <c r="F160" s="195">
        <v>0</v>
      </c>
      <c r="G160" s="195">
        <v>0</v>
      </c>
      <c r="H160" s="195">
        <v>0</v>
      </c>
      <c r="I160" s="194">
        <f t="shared" si="2"/>
        <v>0</v>
      </c>
      <c r="J160" s="195"/>
    </row>
    <row r="161" spans="1:10">
      <c r="A161" s="1249"/>
      <c r="B161" s="196"/>
      <c r="D161" s="198" t="s">
        <v>43</v>
      </c>
      <c r="E161" s="199">
        <v>1</v>
      </c>
      <c r="F161" s="195">
        <v>0</v>
      </c>
      <c r="G161" s="195">
        <v>0</v>
      </c>
      <c r="H161" s="195">
        <v>0</v>
      </c>
      <c r="I161" s="194">
        <f t="shared" si="2"/>
        <v>0</v>
      </c>
      <c r="J161" s="195"/>
    </row>
    <row r="162" spans="1:10">
      <c r="A162" s="1249"/>
      <c r="B162" s="196"/>
      <c r="D162" s="200" t="s">
        <v>1399</v>
      </c>
      <c r="E162" s="199">
        <v>1</v>
      </c>
      <c r="F162" s="195">
        <v>0</v>
      </c>
      <c r="G162" s="195">
        <v>0</v>
      </c>
      <c r="H162" s="195">
        <v>0</v>
      </c>
      <c r="I162" s="194">
        <f t="shared" si="2"/>
        <v>0</v>
      </c>
      <c r="J162" s="195"/>
    </row>
    <row r="163" spans="1:10">
      <c r="A163" s="1249"/>
      <c r="B163" s="196"/>
      <c r="C163" s="197" t="s">
        <v>349</v>
      </c>
      <c r="D163" s="200" t="s">
        <v>43</v>
      </c>
      <c r="E163" s="199">
        <v>1</v>
      </c>
      <c r="F163" s="195">
        <v>0</v>
      </c>
      <c r="G163" s="195">
        <v>0</v>
      </c>
      <c r="H163" s="195">
        <v>0</v>
      </c>
      <c r="I163" s="194">
        <f t="shared" si="2"/>
        <v>0</v>
      </c>
      <c r="J163" s="195"/>
    </row>
    <row r="164" spans="1:10">
      <c r="A164" s="1249"/>
      <c r="B164" s="196" t="s">
        <v>518</v>
      </c>
      <c r="C164" s="197" t="s">
        <v>518</v>
      </c>
      <c r="D164" s="200" t="s">
        <v>39</v>
      </c>
      <c r="E164" s="199">
        <v>1</v>
      </c>
      <c r="F164" s="195">
        <v>0</v>
      </c>
      <c r="G164" s="195">
        <v>0</v>
      </c>
      <c r="H164" s="195">
        <v>0</v>
      </c>
      <c r="I164" s="194">
        <f t="shared" si="2"/>
        <v>0</v>
      </c>
      <c r="J164" s="195"/>
    </row>
    <row r="165" spans="1:10">
      <c r="A165" s="1250"/>
      <c r="B165" s="205"/>
      <c r="C165" s="206"/>
      <c r="D165" s="207" t="s">
        <v>43</v>
      </c>
      <c r="E165" s="193">
        <v>1</v>
      </c>
      <c r="F165" s="195">
        <v>0</v>
      </c>
      <c r="G165" s="195">
        <v>0</v>
      </c>
      <c r="H165" s="195">
        <v>0</v>
      </c>
      <c r="I165" s="194">
        <f t="shared" si="2"/>
        <v>0</v>
      </c>
      <c r="J165" s="195"/>
    </row>
    <row r="166" spans="1:10">
      <c r="A166" s="1248" t="s">
        <v>494</v>
      </c>
      <c r="B166" s="189" t="s">
        <v>495</v>
      </c>
      <c r="C166" s="190" t="s">
        <v>495</v>
      </c>
      <c r="D166" s="201" t="s">
        <v>39</v>
      </c>
      <c r="E166" s="192">
        <v>2</v>
      </c>
      <c r="F166" s="195">
        <v>0</v>
      </c>
      <c r="G166" s="195">
        <v>0</v>
      </c>
      <c r="H166" s="195">
        <v>0</v>
      </c>
      <c r="I166" s="194">
        <f t="shared" si="2"/>
        <v>0</v>
      </c>
      <c r="J166" s="195"/>
    </row>
    <row r="167" spans="1:10">
      <c r="A167" s="1249"/>
      <c r="B167" s="196"/>
      <c r="D167" s="200" t="s">
        <v>43</v>
      </c>
      <c r="E167" s="199">
        <v>1</v>
      </c>
      <c r="F167" s="195">
        <v>0</v>
      </c>
      <c r="G167" s="195">
        <v>0</v>
      </c>
      <c r="H167" s="195">
        <v>0</v>
      </c>
      <c r="I167" s="194">
        <f t="shared" si="2"/>
        <v>0</v>
      </c>
      <c r="J167" s="195"/>
    </row>
    <row r="168" spans="1:10">
      <c r="A168" s="1249"/>
      <c r="B168" s="196"/>
      <c r="D168" s="200" t="s">
        <v>1399</v>
      </c>
      <c r="E168" s="199">
        <v>1</v>
      </c>
      <c r="F168" s="195">
        <v>0</v>
      </c>
      <c r="G168" s="195">
        <v>0</v>
      </c>
      <c r="H168" s="195">
        <v>0</v>
      </c>
      <c r="I168" s="194">
        <f t="shared" si="2"/>
        <v>0</v>
      </c>
      <c r="J168" s="195"/>
    </row>
    <row r="169" spans="1:10">
      <c r="A169" s="1249"/>
      <c r="B169" s="196" t="s">
        <v>496</v>
      </c>
      <c r="C169" s="197" t="s">
        <v>496</v>
      </c>
      <c r="D169" s="200" t="s">
        <v>39</v>
      </c>
      <c r="E169" s="199">
        <v>1</v>
      </c>
      <c r="F169" s="195">
        <v>0</v>
      </c>
      <c r="G169" s="195">
        <v>0</v>
      </c>
      <c r="H169" s="195">
        <v>0</v>
      </c>
      <c r="I169" s="194">
        <f t="shared" si="2"/>
        <v>0</v>
      </c>
      <c r="J169" s="195"/>
    </row>
    <row r="170" spans="1:10">
      <c r="A170" s="1249"/>
      <c r="B170" s="196"/>
      <c r="D170" s="200" t="s">
        <v>43</v>
      </c>
      <c r="E170" s="199">
        <v>1</v>
      </c>
      <c r="F170" s="195">
        <v>0</v>
      </c>
      <c r="G170" s="195">
        <v>0</v>
      </c>
      <c r="H170" s="195">
        <v>0</v>
      </c>
      <c r="I170" s="194">
        <f t="shared" si="2"/>
        <v>0</v>
      </c>
      <c r="J170" s="195"/>
    </row>
    <row r="171" spans="1:10">
      <c r="A171" s="1249"/>
      <c r="B171" s="196"/>
      <c r="D171" s="200" t="s">
        <v>1399</v>
      </c>
      <c r="E171" s="199">
        <v>1</v>
      </c>
      <c r="F171" s="195">
        <v>0</v>
      </c>
      <c r="G171" s="195">
        <v>0</v>
      </c>
      <c r="H171" s="195">
        <v>0</v>
      </c>
      <c r="I171" s="194">
        <f t="shared" si="2"/>
        <v>0</v>
      </c>
      <c r="J171" s="195"/>
    </row>
    <row r="172" spans="1:10">
      <c r="A172" s="1249"/>
      <c r="B172" s="196" t="s">
        <v>497</v>
      </c>
      <c r="C172" s="197" t="s">
        <v>497</v>
      </c>
      <c r="D172" s="198" t="s">
        <v>39</v>
      </c>
      <c r="E172" s="199">
        <v>2</v>
      </c>
      <c r="F172" s="195">
        <v>0</v>
      </c>
      <c r="G172" s="195">
        <v>0</v>
      </c>
      <c r="H172" s="195">
        <v>0</v>
      </c>
      <c r="I172" s="194">
        <f t="shared" si="2"/>
        <v>0</v>
      </c>
      <c r="J172" s="195"/>
    </row>
    <row r="173" spans="1:10">
      <c r="A173" s="1249"/>
      <c r="B173" s="196"/>
      <c r="D173" s="200" t="s">
        <v>43</v>
      </c>
      <c r="E173" s="199">
        <v>1</v>
      </c>
      <c r="F173" s="195">
        <v>0</v>
      </c>
      <c r="G173" s="195">
        <v>0</v>
      </c>
      <c r="H173" s="195">
        <v>0</v>
      </c>
      <c r="I173" s="194">
        <f t="shared" si="2"/>
        <v>0</v>
      </c>
      <c r="J173" s="195"/>
    </row>
    <row r="174" spans="1:10">
      <c r="A174" s="1249"/>
      <c r="B174" s="196"/>
      <c r="D174" s="200" t="s">
        <v>1399</v>
      </c>
      <c r="E174" s="199">
        <v>1</v>
      </c>
      <c r="F174" s="195">
        <v>0</v>
      </c>
      <c r="G174" s="195">
        <v>0</v>
      </c>
      <c r="H174" s="195">
        <v>0</v>
      </c>
      <c r="I174" s="194">
        <f t="shared" si="2"/>
        <v>0</v>
      </c>
      <c r="J174" s="195"/>
    </row>
    <row r="175" spans="1:10">
      <c r="A175" s="1249"/>
      <c r="B175" s="196" t="s">
        <v>498</v>
      </c>
      <c r="C175" s="197" t="s">
        <v>498</v>
      </c>
      <c r="D175" s="200" t="s">
        <v>39</v>
      </c>
      <c r="E175" s="199">
        <v>1</v>
      </c>
      <c r="F175" s="195">
        <v>0</v>
      </c>
      <c r="G175" s="195">
        <v>0</v>
      </c>
      <c r="H175" s="195">
        <v>0</v>
      </c>
      <c r="I175" s="194">
        <f t="shared" si="2"/>
        <v>0</v>
      </c>
      <c r="J175" s="195"/>
    </row>
    <row r="176" spans="1:10">
      <c r="A176" s="1249"/>
      <c r="B176" s="196"/>
      <c r="D176" s="200" t="s">
        <v>43</v>
      </c>
      <c r="E176" s="199">
        <v>1</v>
      </c>
      <c r="F176" s="195">
        <v>0</v>
      </c>
      <c r="G176" s="195">
        <v>0</v>
      </c>
      <c r="H176" s="195">
        <v>0</v>
      </c>
      <c r="I176" s="194">
        <f t="shared" si="2"/>
        <v>0</v>
      </c>
      <c r="J176" s="195"/>
    </row>
    <row r="177" spans="1:10">
      <c r="A177" s="1249"/>
      <c r="B177" s="196"/>
      <c r="D177" s="200" t="s">
        <v>1399</v>
      </c>
      <c r="E177" s="199">
        <v>1</v>
      </c>
      <c r="F177" s="195">
        <v>0</v>
      </c>
      <c r="G177" s="195">
        <v>0</v>
      </c>
      <c r="H177" s="195">
        <v>0</v>
      </c>
      <c r="I177" s="194">
        <f t="shared" si="2"/>
        <v>0</v>
      </c>
      <c r="J177" s="195"/>
    </row>
    <row r="178" spans="1:10">
      <c r="A178" s="1249"/>
      <c r="B178" s="196" t="s">
        <v>499</v>
      </c>
      <c r="C178" s="197" t="s">
        <v>499</v>
      </c>
      <c r="D178" s="200" t="s">
        <v>39</v>
      </c>
      <c r="E178" s="199">
        <v>1</v>
      </c>
      <c r="F178" s="195">
        <v>0</v>
      </c>
      <c r="G178" s="195">
        <v>0</v>
      </c>
      <c r="H178" s="195">
        <v>0</v>
      </c>
      <c r="I178" s="194">
        <f t="shared" si="2"/>
        <v>0</v>
      </c>
      <c r="J178" s="195"/>
    </row>
    <row r="179" spans="1:10">
      <c r="A179" s="1249"/>
      <c r="B179" s="196"/>
      <c r="D179" s="200" t="s">
        <v>43</v>
      </c>
      <c r="E179" s="199">
        <v>2</v>
      </c>
      <c r="F179" s="195">
        <v>0</v>
      </c>
      <c r="G179" s="195">
        <v>0</v>
      </c>
      <c r="H179" s="195">
        <v>0</v>
      </c>
      <c r="I179" s="194">
        <f t="shared" si="2"/>
        <v>0</v>
      </c>
      <c r="J179" s="195"/>
    </row>
    <row r="180" spans="1:10">
      <c r="A180" s="1249"/>
      <c r="B180" s="196"/>
      <c r="D180" s="200" t="s">
        <v>1399</v>
      </c>
      <c r="E180" s="199">
        <v>1</v>
      </c>
      <c r="F180" s="195">
        <v>0</v>
      </c>
      <c r="G180" s="195">
        <v>0</v>
      </c>
      <c r="H180" s="195">
        <v>0</v>
      </c>
      <c r="I180" s="194">
        <f t="shared" si="2"/>
        <v>0</v>
      </c>
      <c r="J180" s="195"/>
    </row>
    <row r="181" spans="1:10">
      <c r="A181" s="1249"/>
      <c r="B181" s="196" t="s">
        <v>500</v>
      </c>
      <c r="C181" s="197" t="s">
        <v>500</v>
      </c>
      <c r="D181" s="200" t="s">
        <v>39</v>
      </c>
      <c r="E181" s="199">
        <v>1</v>
      </c>
      <c r="F181" s="195">
        <v>0</v>
      </c>
      <c r="G181" s="195">
        <v>0</v>
      </c>
      <c r="H181" s="195">
        <v>0</v>
      </c>
      <c r="I181" s="194">
        <f t="shared" si="2"/>
        <v>0</v>
      </c>
      <c r="J181" s="195"/>
    </row>
    <row r="182" spans="1:10">
      <c r="A182" s="1249"/>
      <c r="B182" s="196"/>
      <c r="D182" s="200" t="s">
        <v>43</v>
      </c>
      <c r="E182" s="199">
        <v>1</v>
      </c>
      <c r="F182" s="195">
        <v>0</v>
      </c>
      <c r="G182" s="195">
        <v>0</v>
      </c>
      <c r="H182" s="195">
        <v>0</v>
      </c>
      <c r="I182" s="194">
        <f t="shared" si="2"/>
        <v>0</v>
      </c>
      <c r="J182" s="195"/>
    </row>
    <row r="183" spans="1:10">
      <c r="A183" s="1249"/>
      <c r="B183" s="196" t="s">
        <v>501</v>
      </c>
      <c r="C183" s="197" t="s">
        <v>501</v>
      </c>
      <c r="D183" s="200" t="s">
        <v>39</v>
      </c>
      <c r="E183" s="199">
        <v>1</v>
      </c>
      <c r="F183" s="195">
        <v>0</v>
      </c>
      <c r="G183" s="195">
        <v>0</v>
      </c>
      <c r="H183" s="195">
        <v>0</v>
      </c>
      <c r="I183" s="194">
        <f t="shared" si="2"/>
        <v>0</v>
      </c>
      <c r="J183" s="195"/>
    </row>
    <row r="184" spans="1:10">
      <c r="A184" s="1249"/>
      <c r="B184" s="196"/>
      <c r="D184" s="200" t="s">
        <v>43</v>
      </c>
      <c r="E184" s="199">
        <v>1</v>
      </c>
      <c r="F184" s="195">
        <v>0</v>
      </c>
      <c r="G184" s="195">
        <v>0</v>
      </c>
      <c r="H184" s="195">
        <v>0</v>
      </c>
      <c r="I184" s="194">
        <f t="shared" si="2"/>
        <v>0</v>
      </c>
      <c r="J184" s="195"/>
    </row>
    <row r="185" spans="1:10">
      <c r="A185" s="1249"/>
      <c r="B185" s="196" t="s">
        <v>502</v>
      </c>
      <c r="C185" s="197" t="s">
        <v>502</v>
      </c>
      <c r="D185" s="200" t="s">
        <v>39</v>
      </c>
      <c r="E185" s="199">
        <v>1</v>
      </c>
      <c r="F185" s="195">
        <v>0</v>
      </c>
      <c r="G185" s="195">
        <v>0</v>
      </c>
      <c r="H185" s="195">
        <v>0</v>
      </c>
      <c r="I185" s="194">
        <f t="shared" si="2"/>
        <v>0</v>
      </c>
      <c r="J185" s="195"/>
    </row>
    <row r="186" spans="1:10">
      <c r="A186" s="1249"/>
      <c r="B186" s="196"/>
      <c r="D186" s="200" t="s">
        <v>43</v>
      </c>
      <c r="E186" s="199">
        <v>1</v>
      </c>
      <c r="F186" s="195">
        <v>0</v>
      </c>
      <c r="G186" s="195">
        <v>0</v>
      </c>
      <c r="H186" s="195">
        <v>0</v>
      </c>
      <c r="I186" s="194">
        <f t="shared" si="2"/>
        <v>0</v>
      </c>
      <c r="J186" s="195"/>
    </row>
    <row r="187" spans="1:10">
      <c r="A187" s="1249"/>
      <c r="B187" s="196" t="s">
        <v>503</v>
      </c>
      <c r="C187" s="197" t="s">
        <v>503</v>
      </c>
      <c r="D187" s="200" t="s">
        <v>39</v>
      </c>
      <c r="E187" s="199">
        <v>1</v>
      </c>
      <c r="F187" s="195">
        <v>0</v>
      </c>
      <c r="G187" s="195">
        <v>0</v>
      </c>
      <c r="H187" s="195">
        <v>0</v>
      </c>
      <c r="I187" s="194">
        <f t="shared" si="2"/>
        <v>0</v>
      </c>
      <c r="J187" s="195"/>
    </row>
    <row r="188" spans="1:10">
      <c r="A188" s="1249"/>
      <c r="B188" s="196"/>
      <c r="D188" s="200" t="s">
        <v>43</v>
      </c>
      <c r="E188" s="199">
        <v>1</v>
      </c>
      <c r="F188" s="195">
        <v>0</v>
      </c>
      <c r="G188" s="195">
        <v>0</v>
      </c>
      <c r="H188" s="195">
        <v>0</v>
      </c>
      <c r="I188" s="194">
        <f t="shared" si="2"/>
        <v>0</v>
      </c>
      <c r="J188" s="195"/>
    </row>
    <row r="189" spans="1:10">
      <c r="A189" s="1249"/>
      <c r="B189" s="196" t="s">
        <v>504</v>
      </c>
      <c r="C189" s="197" t="s">
        <v>504</v>
      </c>
      <c r="D189" s="200" t="s">
        <v>39</v>
      </c>
      <c r="E189" s="199">
        <v>1</v>
      </c>
      <c r="F189" s="195">
        <v>0</v>
      </c>
      <c r="G189" s="195">
        <v>0</v>
      </c>
      <c r="H189" s="195">
        <v>0</v>
      </c>
      <c r="I189" s="194">
        <f t="shared" si="2"/>
        <v>0</v>
      </c>
      <c r="J189" s="195"/>
    </row>
    <row r="190" spans="1:10">
      <c r="A190" s="1249"/>
      <c r="B190" s="196"/>
      <c r="D190" s="200" t="s">
        <v>43</v>
      </c>
      <c r="E190" s="199">
        <v>1</v>
      </c>
      <c r="F190" s="195">
        <v>0</v>
      </c>
      <c r="G190" s="195">
        <v>0</v>
      </c>
      <c r="H190" s="195">
        <v>0</v>
      </c>
      <c r="I190" s="194">
        <f t="shared" si="2"/>
        <v>0</v>
      </c>
      <c r="J190" s="195"/>
    </row>
    <row r="191" spans="1:10">
      <c r="A191" s="1249"/>
      <c r="B191" s="196" t="s">
        <v>505</v>
      </c>
      <c r="C191" s="197" t="s">
        <v>505</v>
      </c>
      <c r="D191" s="200" t="s">
        <v>39</v>
      </c>
      <c r="E191" s="199">
        <v>1</v>
      </c>
      <c r="F191" s="195">
        <v>0</v>
      </c>
      <c r="G191" s="195">
        <v>0</v>
      </c>
      <c r="H191" s="195">
        <v>0</v>
      </c>
      <c r="I191" s="194">
        <f t="shared" si="2"/>
        <v>0</v>
      </c>
      <c r="J191" s="195"/>
    </row>
    <row r="192" spans="1:10">
      <c r="A192" s="1249"/>
      <c r="B192" s="196"/>
      <c r="D192" s="200" t="s">
        <v>43</v>
      </c>
      <c r="E192" s="199">
        <v>1</v>
      </c>
      <c r="F192" s="195">
        <v>0</v>
      </c>
      <c r="G192" s="195">
        <v>0</v>
      </c>
      <c r="H192" s="195">
        <v>0</v>
      </c>
      <c r="I192" s="194">
        <f t="shared" si="2"/>
        <v>0</v>
      </c>
      <c r="J192" s="195"/>
    </row>
    <row r="193" spans="1:10">
      <c r="A193" s="1249"/>
      <c r="B193" s="196" t="s">
        <v>506</v>
      </c>
      <c r="C193" s="197" t="s">
        <v>506</v>
      </c>
      <c r="D193" s="200" t="s">
        <v>39</v>
      </c>
      <c r="E193" s="199">
        <v>1</v>
      </c>
      <c r="F193" s="195">
        <v>0</v>
      </c>
      <c r="G193" s="195">
        <v>0</v>
      </c>
      <c r="H193" s="195">
        <v>0</v>
      </c>
      <c r="I193" s="194">
        <f t="shared" si="2"/>
        <v>0</v>
      </c>
      <c r="J193" s="195"/>
    </row>
    <row r="194" spans="1:10">
      <c r="A194" s="1249"/>
      <c r="B194" s="196"/>
      <c r="D194" s="200" t="s">
        <v>43</v>
      </c>
      <c r="E194" s="199">
        <v>1</v>
      </c>
      <c r="F194" s="195">
        <v>0</v>
      </c>
      <c r="G194" s="195">
        <v>0</v>
      </c>
      <c r="H194" s="195">
        <v>0</v>
      </c>
      <c r="I194" s="194">
        <f t="shared" ref="I194:I257" si="3">ROUNDUP(((F194+G194+H194)/3)/E194*100%,2)</f>
        <v>0</v>
      </c>
      <c r="J194" s="195"/>
    </row>
    <row r="195" spans="1:10">
      <c r="A195" s="1249"/>
      <c r="B195" s="196"/>
      <c r="D195" s="200" t="s">
        <v>1399</v>
      </c>
      <c r="E195" s="199">
        <v>1</v>
      </c>
      <c r="F195" s="195">
        <v>0</v>
      </c>
      <c r="G195" s="195">
        <v>0</v>
      </c>
      <c r="H195" s="195">
        <v>0</v>
      </c>
      <c r="I195" s="194">
        <f t="shared" si="3"/>
        <v>0</v>
      </c>
      <c r="J195" s="195"/>
    </row>
    <row r="196" spans="1:10">
      <c r="A196" s="1249"/>
      <c r="B196" s="196" t="s">
        <v>507</v>
      </c>
      <c r="C196" s="197" t="s">
        <v>507</v>
      </c>
      <c r="D196" s="200" t="s">
        <v>39</v>
      </c>
      <c r="E196" s="199">
        <v>1</v>
      </c>
      <c r="F196" s="195">
        <v>0</v>
      </c>
      <c r="G196" s="195">
        <v>0</v>
      </c>
      <c r="H196" s="195">
        <v>0</v>
      </c>
      <c r="I196" s="194">
        <f t="shared" si="3"/>
        <v>0</v>
      </c>
      <c r="J196" s="195"/>
    </row>
    <row r="197" spans="1:10">
      <c r="A197" s="1250"/>
      <c r="B197" s="205"/>
      <c r="C197" s="206"/>
      <c r="D197" s="207" t="s">
        <v>43</v>
      </c>
      <c r="E197" s="193">
        <v>1</v>
      </c>
      <c r="F197" s="195">
        <v>0</v>
      </c>
      <c r="G197" s="195">
        <v>0</v>
      </c>
      <c r="H197" s="195">
        <v>0</v>
      </c>
      <c r="I197" s="194">
        <f t="shared" si="3"/>
        <v>0</v>
      </c>
      <c r="J197" s="195"/>
    </row>
    <row r="198" spans="1:10">
      <c r="A198" s="1248" t="s">
        <v>408</v>
      </c>
      <c r="B198" s="189" t="s">
        <v>409</v>
      </c>
      <c r="C198" s="190" t="s">
        <v>409</v>
      </c>
      <c r="D198" s="201" t="s">
        <v>39</v>
      </c>
      <c r="E198" s="192">
        <v>1</v>
      </c>
      <c r="F198" s="195">
        <v>0</v>
      </c>
      <c r="G198" s="195">
        <v>0</v>
      </c>
      <c r="H198" s="195">
        <v>0</v>
      </c>
      <c r="I198" s="194">
        <f t="shared" si="3"/>
        <v>0</v>
      </c>
      <c r="J198" s="195"/>
    </row>
    <row r="199" spans="1:10">
      <c r="A199" s="1249"/>
      <c r="B199" s="196"/>
      <c r="D199" s="200" t="s">
        <v>43</v>
      </c>
      <c r="E199" s="199">
        <v>1</v>
      </c>
      <c r="F199" s="195">
        <v>0</v>
      </c>
      <c r="G199" s="195">
        <v>0</v>
      </c>
      <c r="H199" s="195">
        <v>0</v>
      </c>
      <c r="I199" s="194">
        <f t="shared" si="3"/>
        <v>0</v>
      </c>
      <c r="J199" s="195"/>
    </row>
    <row r="200" spans="1:10">
      <c r="A200" s="1249"/>
      <c r="B200" s="196"/>
      <c r="D200" s="200" t="s">
        <v>1399</v>
      </c>
      <c r="E200" s="199">
        <v>1</v>
      </c>
      <c r="F200" s="195">
        <v>0</v>
      </c>
      <c r="G200" s="195">
        <v>0</v>
      </c>
      <c r="H200" s="195">
        <v>0</v>
      </c>
      <c r="I200" s="194">
        <f t="shared" si="3"/>
        <v>0</v>
      </c>
      <c r="J200" s="195"/>
    </row>
    <row r="201" spans="1:10">
      <c r="A201" s="1249"/>
      <c r="B201" s="196" t="s">
        <v>411</v>
      </c>
      <c r="C201" s="197" t="s">
        <v>411</v>
      </c>
      <c r="D201" s="198" t="s">
        <v>39</v>
      </c>
      <c r="E201" s="199">
        <v>2</v>
      </c>
      <c r="F201" s="195">
        <v>0</v>
      </c>
      <c r="G201" s="195">
        <v>0</v>
      </c>
      <c r="H201" s="195">
        <v>0</v>
      </c>
      <c r="I201" s="194">
        <f t="shared" si="3"/>
        <v>0</v>
      </c>
      <c r="J201" s="195"/>
    </row>
    <row r="202" spans="1:10">
      <c r="A202" s="1249"/>
      <c r="B202" s="196"/>
      <c r="D202" s="200" t="s">
        <v>43</v>
      </c>
      <c r="E202" s="199">
        <v>1</v>
      </c>
      <c r="F202" s="195">
        <v>0</v>
      </c>
      <c r="G202" s="195">
        <v>0</v>
      </c>
      <c r="H202" s="195">
        <v>0</v>
      </c>
      <c r="I202" s="194">
        <f t="shared" si="3"/>
        <v>0</v>
      </c>
      <c r="J202" s="195"/>
    </row>
    <row r="203" spans="1:10">
      <c r="A203" s="1249"/>
      <c r="B203" s="196"/>
      <c r="D203" s="200" t="s">
        <v>1387</v>
      </c>
      <c r="E203" s="199">
        <v>1</v>
      </c>
      <c r="F203" s="195">
        <v>0</v>
      </c>
      <c r="G203" s="195">
        <v>0</v>
      </c>
      <c r="H203" s="195">
        <v>0</v>
      </c>
      <c r="I203" s="194">
        <f t="shared" si="3"/>
        <v>0</v>
      </c>
      <c r="J203" s="195"/>
    </row>
    <row r="204" spans="1:10">
      <c r="A204" s="1249"/>
      <c r="B204" s="196" t="s">
        <v>413</v>
      </c>
      <c r="C204" s="197" t="s">
        <v>413</v>
      </c>
      <c r="D204" s="198" t="s">
        <v>39</v>
      </c>
      <c r="E204" s="199">
        <v>2</v>
      </c>
      <c r="F204" s="195">
        <v>0</v>
      </c>
      <c r="G204" s="195">
        <v>0</v>
      </c>
      <c r="H204" s="195">
        <v>0</v>
      </c>
      <c r="I204" s="194">
        <f t="shared" si="3"/>
        <v>0</v>
      </c>
      <c r="J204" s="195"/>
    </row>
    <row r="205" spans="1:10">
      <c r="A205" s="1249"/>
      <c r="B205" s="196"/>
      <c r="D205" s="200" t="s">
        <v>43</v>
      </c>
      <c r="E205" s="199">
        <v>1</v>
      </c>
      <c r="F205" s="195">
        <v>0</v>
      </c>
      <c r="G205" s="195">
        <v>0</v>
      </c>
      <c r="H205" s="195">
        <v>0</v>
      </c>
      <c r="I205" s="194">
        <f t="shared" si="3"/>
        <v>0</v>
      </c>
      <c r="J205" s="195"/>
    </row>
    <row r="206" spans="1:10">
      <c r="A206" s="1249"/>
      <c r="B206" s="196"/>
      <c r="D206" s="200" t="s">
        <v>1387</v>
      </c>
      <c r="E206" s="199">
        <v>1</v>
      </c>
      <c r="F206" s="195">
        <v>0</v>
      </c>
      <c r="G206" s="195">
        <v>0</v>
      </c>
      <c r="H206" s="195">
        <v>0</v>
      </c>
      <c r="I206" s="194">
        <f t="shared" si="3"/>
        <v>0</v>
      </c>
      <c r="J206" s="195"/>
    </row>
    <row r="207" spans="1:10">
      <c r="A207" s="1249"/>
      <c r="B207" s="196" t="s">
        <v>414</v>
      </c>
      <c r="C207" s="197" t="s">
        <v>414</v>
      </c>
      <c r="D207" s="198" t="s">
        <v>39</v>
      </c>
      <c r="E207" s="199">
        <v>2</v>
      </c>
      <c r="F207" s="195">
        <v>0</v>
      </c>
      <c r="G207" s="195">
        <v>0</v>
      </c>
      <c r="H207" s="195">
        <v>0</v>
      </c>
      <c r="I207" s="194">
        <f t="shared" si="3"/>
        <v>0</v>
      </c>
      <c r="J207" s="195"/>
    </row>
    <row r="208" spans="1:10">
      <c r="A208" s="1249"/>
      <c r="B208" s="196"/>
      <c r="D208" s="200" t="s">
        <v>43</v>
      </c>
      <c r="E208" s="199">
        <v>1</v>
      </c>
      <c r="F208" s="195">
        <v>0</v>
      </c>
      <c r="G208" s="195">
        <v>0</v>
      </c>
      <c r="H208" s="195">
        <v>0</v>
      </c>
      <c r="I208" s="194">
        <f t="shared" si="3"/>
        <v>0</v>
      </c>
      <c r="J208" s="195"/>
    </row>
    <row r="209" spans="1:10">
      <c r="A209" s="1249"/>
      <c r="B209" s="196"/>
      <c r="D209" s="200" t="s">
        <v>1387</v>
      </c>
      <c r="E209" s="199">
        <v>1</v>
      </c>
      <c r="F209" s="195">
        <v>0</v>
      </c>
      <c r="G209" s="195">
        <v>0</v>
      </c>
      <c r="H209" s="195">
        <v>0</v>
      </c>
      <c r="I209" s="194">
        <f t="shared" si="3"/>
        <v>0</v>
      </c>
      <c r="J209" s="195"/>
    </row>
    <row r="210" spans="1:10">
      <c r="A210" s="1249"/>
      <c r="B210" s="196" t="s">
        <v>415</v>
      </c>
      <c r="C210" s="197" t="s">
        <v>415</v>
      </c>
      <c r="D210" s="200" t="s">
        <v>39</v>
      </c>
      <c r="E210" s="199">
        <v>1</v>
      </c>
      <c r="F210" s="195">
        <v>0</v>
      </c>
      <c r="G210" s="195">
        <v>0</v>
      </c>
      <c r="H210" s="195">
        <v>0</v>
      </c>
      <c r="I210" s="194">
        <f t="shared" si="3"/>
        <v>0</v>
      </c>
      <c r="J210" s="195"/>
    </row>
    <row r="211" spans="1:10">
      <c r="A211" s="1249"/>
      <c r="B211" s="196"/>
      <c r="D211" s="200" t="s">
        <v>43</v>
      </c>
      <c r="E211" s="199">
        <v>1</v>
      </c>
      <c r="F211" s="195">
        <v>0</v>
      </c>
      <c r="G211" s="195">
        <v>0</v>
      </c>
      <c r="H211" s="195">
        <v>0</v>
      </c>
      <c r="I211" s="194">
        <f t="shared" si="3"/>
        <v>0</v>
      </c>
      <c r="J211" s="195"/>
    </row>
    <row r="212" spans="1:10">
      <c r="A212" s="1249"/>
      <c r="B212" s="196"/>
      <c r="D212" s="200" t="s">
        <v>1387</v>
      </c>
      <c r="E212" s="199">
        <v>1</v>
      </c>
      <c r="F212" s="195">
        <v>0</v>
      </c>
      <c r="G212" s="195">
        <v>0</v>
      </c>
      <c r="H212" s="195">
        <v>0</v>
      </c>
      <c r="I212" s="194">
        <f t="shared" si="3"/>
        <v>0</v>
      </c>
      <c r="J212" s="195"/>
    </row>
    <row r="213" spans="1:10">
      <c r="A213" s="1249"/>
      <c r="B213" s="196" t="s">
        <v>416</v>
      </c>
      <c r="C213" s="197" t="s">
        <v>416</v>
      </c>
      <c r="D213" s="200" t="s">
        <v>39</v>
      </c>
      <c r="E213" s="199">
        <v>2</v>
      </c>
      <c r="F213" s="195">
        <v>0</v>
      </c>
      <c r="G213" s="195">
        <v>0</v>
      </c>
      <c r="H213" s="195">
        <v>0</v>
      </c>
      <c r="I213" s="194">
        <f t="shared" si="3"/>
        <v>0</v>
      </c>
      <c r="J213" s="195"/>
    </row>
    <row r="214" spans="1:10">
      <c r="A214" s="1249"/>
      <c r="B214" s="196"/>
      <c r="D214" s="200" t="s">
        <v>43</v>
      </c>
      <c r="E214" s="199">
        <v>1</v>
      </c>
      <c r="F214" s="195">
        <v>0</v>
      </c>
      <c r="G214" s="195">
        <v>0</v>
      </c>
      <c r="H214" s="195">
        <v>0</v>
      </c>
      <c r="I214" s="194">
        <f t="shared" si="3"/>
        <v>0</v>
      </c>
      <c r="J214" s="195"/>
    </row>
    <row r="215" spans="1:10">
      <c r="A215" s="1249"/>
      <c r="B215" s="196"/>
      <c r="D215" s="200" t="s">
        <v>1399</v>
      </c>
      <c r="E215" s="199">
        <v>1</v>
      </c>
      <c r="F215" s="195">
        <v>0</v>
      </c>
      <c r="G215" s="195">
        <v>0</v>
      </c>
      <c r="H215" s="195">
        <v>0</v>
      </c>
      <c r="I215" s="194">
        <f t="shared" si="3"/>
        <v>0</v>
      </c>
      <c r="J215" s="195"/>
    </row>
    <row r="216" spans="1:10">
      <c r="A216" s="1249"/>
      <c r="B216" s="196" t="s">
        <v>362</v>
      </c>
      <c r="C216" s="197" t="s">
        <v>362</v>
      </c>
      <c r="D216" s="200" t="s">
        <v>49</v>
      </c>
      <c r="E216" s="199">
        <v>1</v>
      </c>
      <c r="F216" s="195">
        <v>1</v>
      </c>
      <c r="G216" s="195">
        <v>0</v>
      </c>
      <c r="H216" s="195">
        <v>0</v>
      </c>
      <c r="I216" s="194">
        <f t="shared" si="3"/>
        <v>0.34</v>
      </c>
      <c r="J216" s="195"/>
    </row>
    <row r="217" spans="1:10">
      <c r="A217" s="1249"/>
      <c r="B217" s="196"/>
      <c r="D217" s="200" t="s">
        <v>39</v>
      </c>
      <c r="E217" s="199">
        <v>7</v>
      </c>
      <c r="F217" s="195">
        <v>0</v>
      </c>
      <c r="G217" s="195">
        <v>0</v>
      </c>
      <c r="H217" s="195">
        <v>0</v>
      </c>
      <c r="I217" s="194">
        <f t="shared" si="3"/>
        <v>0</v>
      </c>
      <c r="J217" s="195"/>
    </row>
    <row r="218" spans="1:10">
      <c r="A218" s="1249"/>
      <c r="B218" s="196"/>
      <c r="D218" s="200" t="s">
        <v>43</v>
      </c>
      <c r="E218" s="199">
        <v>1</v>
      </c>
      <c r="F218" s="195">
        <v>0</v>
      </c>
      <c r="G218" s="195">
        <v>0</v>
      </c>
      <c r="H218" s="195">
        <v>0</v>
      </c>
      <c r="I218" s="194">
        <f t="shared" si="3"/>
        <v>0</v>
      </c>
      <c r="J218" s="195"/>
    </row>
    <row r="219" spans="1:10">
      <c r="A219" s="1249"/>
      <c r="B219" s="196"/>
      <c r="D219" s="200" t="s">
        <v>1387</v>
      </c>
      <c r="E219" s="199">
        <v>3</v>
      </c>
      <c r="F219" s="195">
        <v>0</v>
      </c>
      <c r="G219" s="195">
        <v>0</v>
      </c>
      <c r="H219" s="195">
        <v>0</v>
      </c>
      <c r="I219" s="194">
        <f t="shared" si="3"/>
        <v>0</v>
      </c>
      <c r="J219" s="195"/>
    </row>
    <row r="220" spans="1:10">
      <c r="A220" s="1249"/>
      <c r="B220" s="196"/>
      <c r="D220" s="200" t="s">
        <v>1399</v>
      </c>
      <c r="E220" s="199">
        <v>1</v>
      </c>
      <c r="F220" s="195">
        <v>0</v>
      </c>
      <c r="G220" s="195">
        <v>0</v>
      </c>
      <c r="H220" s="195">
        <v>0</v>
      </c>
      <c r="I220" s="194">
        <f t="shared" si="3"/>
        <v>0</v>
      </c>
      <c r="J220" s="195"/>
    </row>
    <row r="221" spans="1:10">
      <c r="A221" s="1249"/>
      <c r="B221" s="196"/>
      <c r="D221" s="200" t="s">
        <v>1905</v>
      </c>
      <c r="E221" s="199">
        <v>2</v>
      </c>
      <c r="F221" s="195">
        <v>2</v>
      </c>
      <c r="G221" s="195">
        <v>2</v>
      </c>
      <c r="H221" s="195">
        <v>0</v>
      </c>
      <c r="I221" s="194">
        <f t="shared" si="3"/>
        <v>0.67</v>
      </c>
      <c r="J221" s="195"/>
    </row>
    <row r="222" spans="1:10">
      <c r="A222" s="1249"/>
      <c r="B222" s="196"/>
      <c r="D222" s="200" t="s">
        <v>1912</v>
      </c>
      <c r="E222" s="199">
        <v>2</v>
      </c>
      <c r="F222" s="195">
        <v>2</v>
      </c>
      <c r="G222" s="195">
        <v>2</v>
      </c>
      <c r="H222" s="195">
        <v>0</v>
      </c>
      <c r="I222" s="194">
        <f t="shared" si="3"/>
        <v>0.67</v>
      </c>
      <c r="J222" s="195"/>
    </row>
    <row r="223" spans="1:10">
      <c r="A223" s="1253"/>
      <c r="B223" s="196"/>
      <c r="D223" s="200" t="s">
        <v>53</v>
      </c>
      <c r="E223" s="199">
        <v>2</v>
      </c>
      <c r="F223" s="195">
        <v>2</v>
      </c>
      <c r="G223" s="195">
        <v>2</v>
      </c>
      <c r="H223" s="195">
        <v>0</v>
      </c>
      <c r="I223" s="194">
        <f t="shared" si="3"/>
        <v>0.67</v>
      </c>
      <c r="J223" s="195"/>
    </row>
    <row r="224" spans="1:10">
      <c r="A224" s="1249"/>
      <c r="B224" s="196"/>
      <c r="D224" s="200" t="s">
        <v>59</v>
      </c>
      <c r="E224" s="199">
        <v>2</v>
      </c>
      <c r="F224" s="195">
        <v>2</v>
      </c>
      <c r="G224" s="195">
        <v>0</v>
      </c>
      <c r="H224" s="195">
        <v>0</v>
      </c>
      <c r="I224" s="194">
        <f t="shared" si="3"/>
        <v>0.34</v>
      </c>
      <c r="J224" s="195"/>
    </row>
    <row r="225" spans="1:10">
      <c r="A225" s="1249"/>
      <c r="B225" s="196" t="s">
        <v>423</v>
      </c>
      <c r="C225" s="197" t="s">
        <v>423</v>
      </c>
      <c r="D225" s="200" t="s">
        <v>39</v>
      </c>
      <c r="E225" s="199">
        <v>1</v>
      </c>
      <c r="F225" s="195">
        <v>0</v>
      </c>
      <c r="G225" s="195">
        <v>0</v>
      </c>
      <c r="H225" s="195">
        <v>0</v>
      </c>
      <c r="I225" s="194">
        <f t="shared" si="3"/>
        <v>0</v>
      </c>
      <c r="J225" s="195"/>
    </row>
    <row r="226" spans="1:10">
      <c r="A226" s="1249"/>
      <c r="B226" s="196"/>
      <c r="D226" s="200" t="s">
        <v>43</v>
      </c>
      <c r="E226" s="199">
        <v>1</v>
      </c>
      <c r="F226" s="195">
        <v>0</v>
      </c>
      <c r="G226" s="195">
        <v>0</v>
      </c>
      <c r="H226" s="195">
        <v>0</v>
      </c>
      <c r="I226" s="194">
        <f t="shared" si="3"/>
        <v>0</v>
      </c>
      <c r="J226" s="195"/>
    </row>
    <row r="227" spans="1:10">
      <c r="A227" s="1249"/>
      <c r="B227" s="196"/>
      <c r="D227" s="200" t="s">
        <v>1399</v>
      </c>
      <c r="E227" s="199">
        <v>1</v>
      </c>
      <c r="F227" s="195">
        <v>0</v>
      </c>
      <c r="G227" s="195">
        <v>0</v>
      </c>
      <c r="H227" s="195">
        <v>0</v>
      </c>
      <c r="I227" s="194">
        <f t="shared" si="3"/>
        <v>0</v>
      </c>
      <c r="J227" s="195"/>
    </row>
    <row r="228" spans="1:10">
      <c r="A228" s="1249"/>
      <c r="B228" s="196" t="s">
        <v>424</v>
      </c>
      <c r="C228" s="197" t="s">
        <v>424</v>
      </c>
      <c r="D228" s="200" t="s">
        <v>39</v>
      </c>
      <c r="E228" s="199">
        <v>1</v>
      </c>
      <c r="F228" s="195">
        <v>0</v>
      </c>
      <c r="G228" s="195">
        <v>0</v>
      </c>
      <c r="H228" s="195">
        <v>0</v>
      </c>
      <c r="I228" s="194">
        <f t="shared" si="3"/>
        <v>0</v>
      </c>
      <c r="J228" s="195"/>
    </row>
    <row r="229" spans="1:10">
      <c r="A229" s="1249"/>
      <c r="B229" s="196"/>
      <c r="D229" s="200" t="s">
        <v>43</v>
      </c>
      <c r="E229" s="199">
        <v>1</v>
      </c>
      <c r="F229" s="195">
        <v>0</v>
      </c>
      <c r="G229" s="195">
        <v>0</v>
      </c>
      <c r="H229" s="195">
        <v>0</v>
      </c>
      <c r="I229" s="194">
        <f t="shared" si="3"/>
        <v>0</v>
      </c>
      <c r="J229" s="195"/>
    </row>
    <row r="230" spans="1:10">
      <c r="A230" s="1249"/>
      <c r="B230" s="196"/>
      <c r="D230" s="200" t="s">
        <v>1399</v>
      </c>
      <c r="E230" s="199">
        <v>1</v>
      </c>
      <c r="F230" s="195">
        <v>0</v>
      </c>
      <c r="G230" s="195">
        <v>0</v>
      </c>
      <c r="H230" s="195">
        <v>0</v>
      </c>
      <c r="I230" s="194">
        <f t="shared" si="3"/>
        <v>0</v>
      </c>
      <c r="J230" s="195"/>
    </row>
    <row r="231" spans="1:10">
      <c r="A231" s="1249"/>
      <c r="B231" s="196" t="s">
        <v>425</v>
      </c>
      <c r="C231" s="197" t="s">
        <v>425</v>
      </c>
      <c r="D231" s="200" t="s">
        <v>49</v>
      </c>
      <c r="E231" s="199">
        <v>1</v>
      </c>
      <c r="F231" s="195">
        <v>0</v>
      </c>
      <c r="G231" s="195">
        <v>0</v>
      </c>
      <c r="H231" s="195">
        <v>0</v>
      </c>
      <c r="I231" s="194">
        <f t="shared" si="3"/>
        <v>0</v>
      </c>
      <c r="J231" s="195"/>
    </row>
    <row r="232" spans="1:10">
      <c r="A232" s="1249"/>
      <c r="B232" s="196"/>
      <c r="D232" s="200" t="s">
        <v>39</v>
      </c>
      <c r="E232" s="199">
        <v>6</v>
      </c>
      <c r="F232" s="195">
        <v>0</v>
      </c>
      <c r="G232" s="195">
        <v>0</v>
      </c>
      <c r="H232" s="195">
        <v>0</v>
      </c>
      <c r="I232" s="194">
        <f t="shared" si="3"/>
        <v>0</v>
      </c>
      <c r="J232" s="195"/>
    </row>
    <row r="233" spans="1:10">
      <c r="A233" s="1249"/>
      <c r="B233" s="196"/>
      <c r="D233" s="200" t="s">
        <v>43</v>
      </c>
      <c r="E233" s="199">
        <v>1</v>
      </c>
      <c r="F233" s="195">
        <v>0</v>
      </c>
      <c r="G233" s="195">
        <v>0</v>
      </c>
      <c r="H233" s="195">
        <v>0</v>
      </c>
      <c r="I233" s="194">
        <f t="shared" si="3"/>
        <v>0</v>
      </c>
      <c r="J233" s="195"/>
    </row>
    <row r="234" spans="1:10">
      <c r="A234" s="1249"/>
      <c r="B234" s="196"/>
      <c r="D234" s="200" t="s">
        <v>1387</v>
      </c>
      <c r="E234" s="199">
        <v>2</v>
      </c>
      <c r="F234" s="195">
        <v>0</v>
      </c>
      <c r="G234" s="195">
        <v>0</v>
      </c>
      <c r="H234" s="195">
        <v>0</v>
      </c>
      <c r="I234" s="194">
        <f t="shared" si="3"/>
        <v>0</v>
      </c>
      <c r="J234" s="195"/>
    </row>
    <row r="235" spans="1:10">
      <c r="A235" s="1249"/>
      <c r="B235" s="196"/>
      <c r="D235" s="200" t="s">
        <v>1399</v>
      </c>
      <c r="E235" s="199">
        <v>1</v>
      </c>
      <c r="F235" s="195">
        <v>0</v>
      </c>
      <c r="G235" s="195">
        <v>0</v>
      </c>
      <c r="H235" s="195">
        <v>0</v>
      </c>
      <c r="I235" s="194">
        <f t="shared" si="3"/>
        <v>0</v>
      </c>
      <c r="J235" s="195"/>
    </row>
    <row r="236" spans="1:10">
      <c r="A236" s="1249"/>
      <c r="B236" s="196"/>
      <c r="D236" s="200" t="s">
        <v>1905</v>
      </c>
      <c r="E236" s="199">
        <v>2</v>
      </c>
      <c r="F236" s="195">
        <v>2</v>
      </c>
      <c r="G236" s="195">
        <v>2</v>
      </c>
      <c r="H236" s="195">
        <v>0</v>
      </c>
      <c r="I236" s="194">
        <f t="shared" si="3"/>
        <v>0.67</v>
      </c>
      <c r="J236" s="195"/>
    </row>
    <row r="237" spans="1:10">
      <c r="A237" s="1249"/>
      <c r="B237" s="196"/>
      <c r="D237" s="200" t="s">
        <v>1912</v>
      </c>
      <c r="E237" s="199">
        <v>2</v>
      </c>
      <c r="F237" s="195">
        <v>2</v>
      </c>
      <c r="G237" s="195">
        <v>2</v>
      </c>
      <c r="H237" s="195">
        <v>0</v>
      </c>
      <c r="I237" s="194">
        <f t="shared" si="3"/>
        <v>0.67</v>
      </c>
      <c r="J237" s="195"/>
    </row>
    <row r="238" spans="1:10">
      <c r="A238" s="1253"/>
      <c r="B238" s="196"/>
      <c r="D238" s="200" t="s">
        <v>53</v>
      </c>
      <c r="E238" s="199">
        <v>2</v>
      </c>
      <c r="F238" s="195">
        <v>2</v>
      </c>
      <c r="G238" s="195">
        <v>2</v>
      </c>
      <c r="H238" s="195">
        <v>0</v>
      </c>
      <c r="I238" s="194">
        <f t="shared" si="3"/>
        <v>0.67</v>
      </c>
      <c r="J238" s="195"/>
    </row>
    <row r="239" spans="1:10">
      <c r="A239" s="1249"/>
      <c r="B239" s="196" t="s">
        <v>427</v>
      </c>
      <c r="C239" s="197" t="s">
        <v>427</v>
      </c>
      <c r="D239" s="198" t="s">
        <v>39</v>
      </c>
      <c r="E239" s="199">
        <v>2</v>
      </c>
      <c r="F239" s="195">
        <v>0</v>
      </c>
      <c r="G239" s="195">
        <v>0</v>
      </c>
      <c r="H239" s="195">
        <v>0</v>
      </c>
      <c r="I239" s="194">
        <f t="shared" si="3"/>
        <v>0</v>
      </c>
      <c r="J239" s="195"/>
    </row>
    <row r="240" spans="1:10">
      <c r="A240" s="1249"/>
      <c r="B240" s="196"/>
      <c r="D240" s="200" t="s">
        <v>43</v>
      </c>
      <c r="E240" s="199">
        <v>1</v>
      </c>
      <c r="F240" s="195">
        <v>0</v>
      </c>
      <c r="G240" s="195">
        <v>0</v>
      </c>
      <c r="H240" s="195">
        <v>0</v>
      </c>
      <c r="I240" s="194">
        <f t="shared" si="3"/>
        <v>0</v>
      </c>
      <c r="J240" s="195"/>
    </row>
    <row r="241" spans="1:10">
      <c r="A241" s="1249"/>
      <c r="B241" s="196" t="s">
        <v>428</v>
      </c>
      <c r="C241" s="197" t="s">
        <v>428</v>
      </c>
      <c r="D241" s="200" t="s">
        <v>39</v>
      </c>
      <c r="E241" s="199">
        <v>1</v>
      </c>
      <c r="F241" s="195">
        <v>0</v>
      </c>
      <c r="G241" s="195">
        <v>0</v>
      </c>
      <c r="H241" s="195">
        <v>0</v>
      </c>
      <c r="I241" s="194">
        <f t="shared" si="3"/>
        <v>0</v>
      </c>
      <c r="J241" s="195"/>
    </row>
    <row r="242" spans="1:10">
      <c r="A242" s="1249"/>
      <c r="B242" s="196"/>
      <c r="D242" s="200" t="s">
        <v>43</v>
      </c>
      <c r="E242" s="199">
        <v>1</v>
      </c>
      <c r="F242" s="195">
        <v>0</v>
      </c>
      <c r="G242" s="195">
        <v>0</v>
      </c>
      <c r="H242" s="195">
        <v>0</v>
      </c>
      <c r="I242" s="194">
        <f t="shared" si="3"/>
        <v>0</v>
      </c>
      <c r="J242" s="195"/>
    </row>
    <row r="243" spans="1:10">
      <c r="A243" s="1249"/>
      <c r="B243" s="196" t="s">
        <v>429</v>
      </c>
      <c r="C243" s="197" t="s">
        <v>429</v>
      </c>
      <c r="D243" s="200" t="s">
        <v>39</v>
      </c>
      <c r="E243" s="199">
        <v>1</v>
      </c>
      <c r="F243" s="195">
        <v>0</v>
      </c>
      <c r="G243" s="195">
        <v>0</v>
      </c>
      <c r="H243" s="195">
        <v>0</v>
      </c>
      <c r="I243" s="194">
        <f t="shared" si="3"/>
        <v>0</v>
      </c>
      <c r="J243" s="195"/>
    </row>
    <row r="244" spans="1:10">
      <c r="A244" s="1249"/>
      <c r="B244" s="196"/>
      <c r="D244" s="200" t="s">
        <v>43</v>
      </c>
      <c r="E244" s="199">
        <v>1</v>
      </c>
      <c r="F244" s="195">
        <v>0</v>
      </c>
      <c r="G244" s="195">
        <v>0</v>
      </c>
      <c r="H244" s="195">
        <v>0</v>
      </c>
      <c r="I244" s="194">
        <f t="shared" si="3"/>
        <v>0</v>
      </c>
      <c r="J244" s="195"/>
    </row>
    <row r="245" spans="1:10">
      <c r="A245" s="1249"/>
      <c r="B245" s="196" t="s">
        <v>430</v>
      </c>
      <c r="C245" s="197" t="s">
        <v>430</v>
      </c>
      <c r="D245" s="200" t="s">
        <v>39</v>
      </c>
      <c r="E245" s="199">
        <v>1</v>
      </c>
      <c r="F245" s="195">
        <v>0</v>
      </c>
      <c r="G245" s="195">
        <v>0</v>
      </c>
      <c r="H245" s="195">
        <v>0</v>
      </c>
      <c r="I245" s="194">
        <f t="shared" si="3"/>
        <v>0</v>
      </c>
      <c r="J245" s="195"/>
    </row>
    <row r="246" spans="1:10">
      <c r="A246" s="1249"/>
      <c r="B246" s="196"/>
      <c r="D246" s="200" t="s">
        <v>43</v>
      </c>
      <c r="E246" s="199">
        <v>1</v>
      </c>
      <c r="F246" s="195">
        <v>0</v>
      </c>
      <c r="G246" s="195">
        <v>0</v>
      </c>
      <c r="H246" s="195">
        <v>0</v>
      </c>
      <c r="I246" s="194">
        <f t="shared" si="3"/>
        <v>0</v>
      </c>
      <c r="J246" s="195"/>
    </row>
    <row r="247" spans="1:10">
      <c r="A247" s="1249"/>
      <c r="B247" s="196" t="s">
        <v>431</v>
      </c>
      <c r="C247" s="197" t="s">
        <v>431</v>
      </c>
      <c r="D247" s="200" t="s">
        <v>39</v>
      </c>
      <c r="E247" s="199">
        <v>1</v>
      </c>
      <c r="F247" s="195">
        <v>0</v>
      </c>
      <c r="G247" s="195">
        <v>0</v>
      </c>
      <c r="H247" s="195">
        <v>0</v>
      </c>
      <c r="I247" s="194">
        <f t="shared" si="3"/>
        <v>0</v>
      </c>
      <c r="J247" s="195"/>
    </row>
    <row r="248" spans="1:10">
      <c r="A248" s="1249"/>
      <c r="B248" s="196"/>
      <c r="D248" s="200" t="s">
        <v>43</v>
      </c>
      <c r="E248" s="199">
        <v>1</v>
      </c>
      <c r="F248" s="195">
        <v>0</v>
      </c>
      <c r="G248" s="195">
        <v>0</v>
      </c>
      <c r="H248" s="195">
        <v>0</v>
      </c>
      <c r="I248" s="194">
        <f t="shared" si="3"/>
        <v>0</v>
      </c>
      <c r="J248" s="195"/>
    </row>
    <row r="249" spans="1:10">
      <c r="A249" s="1249"/>
      <c r="B249" s="196" t="s">
        <v>432</v>
      </c>
      <c r="C249" s="197" t="s">
        <v>432</v>
      </c>
      <c r="D249" s="200" t="s">
        <v>39</v>
      </c>
      <c r="E249" s="199">
        <v>1</v>
      </c>
      <c r="F249" s="195">
        <v>0</v>
      </c>
      <c r="G249" s="195">
        <v>0</v>
      </c>
      <c r="H249" s="195">
        <v>0</v>
      </c>
      <c r="I249" s="194">
        <f t="shared" si="3"/>
        <v>0</v>
      </c>
      <c r="J249" s="195"/>
    </row>
    <row r="250" spans="1:10">
      <c r="A250" s="1249"/>
      <c r="B250" s="196"/>
      <c r="D250" s="200" t="s">
        <v>43</v>
      </c>
      <c r="E250" s="199">
        <v>1</v>
      </c>
      <c r="F250" s="195">
        <v>0</v>
      </c>
      <c r="G250" s="195">
        <v>0</v>
      </c>
      <c r="H250" s="195">
        <v>0</v>
      </c>
      <c r="I250" s="194">
        <f t="shared" si="3"/>
        <v>0</v>
      </c>
      <c r="J250" s="195"/>
    </row>
    <row r="251" spans="1:10">
      <c r="A251" s="1249"/>
      <c r="B251" s="196" t="s">
        <v>433</v>
      </c>
      <c r="C251" s="197" t="s">
        <v>433</v>
      </c>
      <c r="D251" s="200" t="s">
        <v>39</v>
      </c>
      <c r="E251" s="199">
        <v>1</v>
      </c>
      <c r="F251" s="195">
        <v>0</v>
      </c>
      <c r="G251" s="195">
        <v>0</v>
      </c>
      <c r="H251" s="195">
        <v>0</v>
      </c>
      <c r="I251" s="194">
        <f t="shared" si="3"/>
        <v>0</v>
      </c>
      <c r="J251" s="195"/>
    </row>
    <row r="252" spans="1:10">
      <c r="A252" s="1249"/>
      <c r="B252" s="196"/>
      <c r="D252" s="200" t="s">
        <v>43</v>
      </c>
      <c r="E252" s="199">
        <v>1</v>
      </c>
      <c r="F252" s="195">
        <v>0</v>
      </c>
      <c r="G252" s="195">
        <v>0</v>
      </c>
      <c r="H252" s="195">
        <v>0</v>
      </c>
      <c r="I252" s="194">
        <f t="shared" si="3"/>
        <v>0</v>
      </c>
      <c r="J252" s="195"/>
    </row>
    <row r="253" spans="1:10">
      <c r="A253" s="1249"/>
      <c r="B253" s="196" t="s">
        <v>434</v>
      </c>
      <c r="C253" s="197" t="s">
        <v>434</v>
      </c>
      <c r="D253" s="200" t="s">
        <v>39</v>
      </c>
      <c r="E253" s="199">
        <v>1</v>
      </c>
      <c r="F253" s="195">
        <v>0</v>
      </c>
      <c r="G253" s="195">
        <v>0</v>
      </c>
      <c r="H253" s="195">
        <v>0</v>
      </c>
      <c r="I253" s="194">
        <f t="shared" si="3"/>
        <v>0</v>
      </c>
      <c r="J253" s="195"/>
    </row>
    <row r="254" spans="1:10">
      <c r="A254" s="1249"/>
      <c r="B254" s="196"/>
      <c r="D254" s="200" t="s">
        <v>43</v>
      </c>
      <c r="E254" s="199">
        <v>1</v>
      </c>
      <c r="F254" s="195">
        <v>0</v>
      </c>
      <c r="G254" s="195">
        <v>0</v>
      </c>
      <c r="H254" s="195">
        <v>0</v>
      </c>
      <c r="I254" s="194">
        <f t="shared" si="3"/>
        <v>0</v>
      </c>
      <c r="J254" s="195"/>
    </row>
    <row r="255" spans="1:10">
      <c r="A255" s="1249"/>
      <c r="B255" s="196" t="s">
        <v>435</v>
      </c>
      <c r="C255" s="197" t="s">
        <v>435</v>
      </c>
      <c r="D255" s="200" t="s">
        <v>39</v>
      </c>
      <c r="E255" s="199">
        <v>1</v>
      </c>
      <c r="F255" s="195">
        <v>0</v>
      </c>
      <c r="G255" s="195">
        <v>0</v>
      </c>
      <c r="H255" s="195">
        <v>0</v>
      </c>
      <c r="I255" s="194">
        <f t="shared" si="3"/>
        <v>0</v>
      </c>
      <c r="J255" s="195"/>
    </row>
    <row r="256" spans="1:10">
      <c r="A256" s="1249"/>
      <c r="B256" s="196"/>
      <c r="D256" s="200" t="s">
        <v>43</v>
      </c>
      <c r="E256" s="199">
        <v>1</v>
      </c>
      <c r="F256" s="195">
        <v>0</v>
      </c>
      <c r="G256" s="195">
        <v>0</v>
      </c>
      <c r="H256" s="195">
        <v>0</v>
      </c>
      <c r="I256" s="194">
        <f t="shared" si="3"/>
        <v>0</v>
      </c>
      <c r="J256" s="195"/>
    </row>
    <row r="257" spans="1:10">
      <c r="A257" s="1249"/>
      <c r="B257" s="196" t="s">
        <v>436</v>
      </c>
      <c r="C257" s="197" t="s">
        <v>436</v>
      </c>
      <c r="D257" s="200" t="s">
        <v>39</v>
      </c>
      <c r="E257" s="199">
        <v>2</v>
      </c>
      <c r="F257" s="195">
        <v>0</v>
      </c>
      <c r="G257" s="195">
        <v>0</v>
      </c>
      <c r="H257" s="195">
        <v>0</v>
      </c>
      <c r="I257" s="194">
        <f t="shared" si="3"/>
        <v>0</v>
      </c>
      <c r="J257" s="195"/>
    </row>
    <row r="258" spans="1:10">
      <c r="A258" s="1249"/>
      <c r="B258" s="196"/>
      <c r="D258" s="200" t="s">
        <v>43</v>
      </c>
      <c r="E258" s="199">
        <v>1</v>
      </c>
      <c r="F258" s="195">
        <v>0</v>
      </c>
      <c r="G258" s="195">
        <v>0</v>
      </c>
      <c r="H258" s="195">
        <v>0</v>
      </c>
      <c r="I258" s="194">
        <f t="shared" ref="I258:I321" si="4">ROUNDUP(((F258+G258+H258)/3)/E258*100%,2)</f>
        <v>0</v>
      </c>
      <c r="J258" s="195"/>
    </row>
    <row r="259" spans="1:10">
      <c r="A259" s="1249"/>
      <c r="B259" s="196" t="s">
        <v>437</v>
      </c>
      <c r="C259" s="197" t="s">
        <v>437</v>
      </c>
      <c r="D259" s="198" t="s">
        <v>39</v>
      </c>
      <c r="E259" s="199">
        <v>2</v>
      </c>
      <c r="F259" s="195">
        <v>0</v>
      </c>
      <c r="G259" s="195">
        <v>0</v>
      </c>
      <c r="H259" s="195">
        <v>0</v>
      </c>
      <c r="I259" s="194">
        <f t="shared" si="4"/>
        <v>0</v>
      </c>
      <c r="J259" s="195"/>
    </row>
    <row r="260" spans="1:10">
      <c r="A260" s="1249"/>
      <c r="B260" s="196"/>
      <c r="D260" s="200" t="s">
        <v>43</v>
      </c>
      <c r="E260" s="199">
        <v>1</v>
      </c>
      <c r="F260" s="195">
        <v>0</v>
      </c>
      <c r="G260" s="195">
        <v>0</v>
      </c>
      <c r="H260" s="195">
        <v>0</v>
      </c>
      <c r="I260" s="194">
        <f t="shared" si="4"/>
        <v>0</v>
      </c>
      <c r="J260" s="195"/>
    </row>
    <row r="261" spans="1:10">
      <c r="A261" s="1249"/>
      <c r="B261" s="196"/>
      <c r="D261" s="200" t="s">
        <v>1387</v>
      </c>
      <c r="E261" s="199">
        <v>1</v>
      </c>
      <c r="F261" s="195">
        <v>0</v>
      </c>
      <c r="G261" s="195">
        <v>0</v>
      </c>
      <c r="H261" s="195">
        <v>0</v>
      </c>
      <c r="I261" s="194">
        <f t="shared" si="4"/>
        <v>0</v>
      </c>
      <c r="J261" s="195"/>
    </row>
    <row r="262" spans="1:10">
      <c r="A262" s="1249"/>
      <c r="B262" s="196" t="s">
        <v>438</v>
      </c>
      <c r="C262" s="197" t="s">
        <v>438</v>
      </c>
      <c r="D262" s="198" t="s">
        <v>39</v>
      </c>
      <c r="E262" s="199">
        <v>2</v>
      </c>
      <c r="F262" s="195">
        <v>0</v>
      </c>
      <c r="G262" s="195">
        <v>0</v>
      </c>
      <c r="H262" s="195">
        <v>0</v>
      </c>
      <c r="I262" s="194">
        <f t="shared" si="4"/>
        <v>0</v>
      </c>
      <c r="J262" s="195"/>
    </row>
    <row r="263" spans="1:10">
      <c r="A263" s="1249"/>
      <c r="B263" s="196"/>
      <c r="D263" s="198" t="s">
        <v>43</v>
      </c>
      <c r="E263" s="199">
        <v>1</v>
      </c>
      <c r="F263" s="195">
        <v>0</v>
      </c>
      <c r="G263" s="195">
        <v>0</v>
      </c>
      <c r="H263" s="195">
        <v>0</v>
      </c>
      <c r="I263" s="194">
        <f t="shared" si="4"/>
        <v>0</v>
      </c>
      <c r="J263" s="195"/>
    </row>
    <row r="264" spans="1:10">
      <c r="A264" s="1249"/>
      <c r="B264" s="196"/>
      <c r="D264" s="200" t="s">
        <v>1387</v>
      </c>
      <c r="E264" s="199">
        <v>1</v>
      </c>
      <c r="F264" s="195">
        <v>0</v>
      </c>
      <c r="G264" s="195">
        <v>0</v>
      </c>
      <c r="H264" s="195">
        <v>0</v>
      </c>
      <c r="I264" s="194">
        <f t="shared" si="4"/>
        <v>0</v>
      </c>
      <c r="J264" s="195"/>
    </row>
    <row r="265" spans="1:10">
      <c r="A265" s="1249"/>
      <c r="B265" s="196"/>
      <c r="C265" s="197" t="s">
        <v>349</v>
      </c>
      <c r="D265" s="200" t="s">
        <v>43</v>
      </c>
      <c r="E265" s="199">
        <v>1</v>
      </c>
      <c r="F265" s="195">
        <v>0</v>
      </c>
      <c r="G265" s="195">
        <v>0</v>
      </c>
      <c r="H265" s="195">
        <v>0</v>
      </c>
      <c r="I265" s="194">
        <f t="shared" si="4"/>
        <v>0</v>
      </c>
      <c r="J265" s="195"/>
    </row>
    <row r="266" spans="1:10">
      <c r="A266" s="1249"/>
      <c r="B266" s="196" t="s">
        <v>439</v>
      </c>
      <c r="C266" s="197" t="s">
        <v>439</v>
      </c>
      <c r="D266" s="200" t="s">
        <v>39</v>
      </c>
      <c r="E266" s="199">
        <v>1</v>
      </c>
      <c r="F266" s="195">
        <v>0</v>
      </c>
      <c r="G266" s="195">
        <v>0</v>
      </c>
      <c r="H266" s="195">
        <v>0</v>
      </c>
      <c r="I266" s="194">
        <f t="shared" si="4"/>
        <v>0</v>
      </c>
      <c r="J266" s="195"/>
    </row>
    <row r="267" spans="1:10">
      <c r="A267" s="1249"/>
      <c r="B267" s="196"/>
      <c r="D267" s="200" t="s">
        <v>43</v>
      </c>
      <c r="E267" s="199">
        <v>1</v>
      </c>
      <c r="F267" s="195">
        <v>0</v>
      </c>
      <c r="G267" s="195">
        <v>0</v>
      </c>
      <c r="H267" s="195">
        <v>0</v>
      </c>
      <c r="I267" s="194">
        <f t="shared" si="4"/>
        <v>0</v>
      </c>
      <c r="J267" s="195"/>
    </row>
    <row r="268" spans="1:10">
      <c r="A268" s="1249"/>
      <c r="B268" s="196" t="s">
        <v>440</v>
      </c>
      <c r="C268" s="197" t="s">
        <v>440</v>
      </c>
      <c r="D268" s="200" t="s">
        <v>39</v>
      </c>
      <c r="E268" s="199">
        <v>1</v>
      </c>
      <c r="F268" s="195">
        <v>0</v>
      </c>
      <c r="G268" s="195">
        <v>0</v>
      </c>
      <c r="H268" s="195">
        <v>0</v>
      </c>
      <c r="I268" s="194">
        <f t="shared" si="4"/>
        <v>0</v>
      </c>
      <c r="J268" s="195"/>
    </row>
    <row r="269" spans="1:10">
      <c r="A269" s="1249"/>
      <c r="B269" s="196"/>
      <c r="D269" s="200" t="s">
        <v>43</v>
      </c>
      <c r="E269" s="199">
        <v>1</v>
      </c>
      <c r="F269" s="195">
        <v>0</v>
      </c>
      <c r="G269" s="195">
        <v>0</v>
      </c>
      <c r="H269" s="195">
        <v>0</v>
      </c>
      <c r="I269" s="194">
        <f t="shared" si="4"/>
        <v>0</v>
      </c>
      <c r="J269" s="195"/>
    </row>
    <row r="270" spans="1:10">
      <c r="A270" s="1249"/>
      <c r="B270" s="196" t="s">
        <v>441</v>
      </c>
      <c r="C270" s="197" t="s">
        <v>441</v>
      </c>
      <c r="D270" s="200" t="s">
        <v>39</v>
      </c>
      <c r="E270" s="199">
        <v>1</v>
      </c>
      <c r="F270" s="195">
        <v>0</v>
      </c>
      <c r="G270" s="195">
        <v>0</v>
      </c>
      <c r="H270" s="195">
        <v>0</v>
      </c>
      <c r="I270" s="194">
        <f t="shared" si="4"/>
        <v>0</v>
      </c>
      <c r="J270" s="195"/>
    </row>
    <row r="271" spans="1:10">
      <c r="A271" s="1249"/>
      <c r="B271" s="196" t="s">
        <v>442</v>
      </c>
      <c r="C271" s="197" t="s">
        <v>442</v>
      </c>
      <c r="D271" s="200" t="s">
        <v>39</v>
      </c>
      <c r="E271" s="199">
        <v>1</v>
      </c>
      <c r="F271" s="195">
        <v>0</v>
      </c>
      <c r="G271" s="195">
        <v>0</v>
      </c>
      <c r="H271" s="195">
        <v>0</v>
      </c>
      <c r="I271" s="194">
        <f t="shared" si="4"/>
        <v>0</v>
      </c>
      <c r="J271" s="195"/>
    </row>
    <row r="272" spans="1:10">
      <c r="A272" s="1249"/>
      <c r="B272" s="196" t="s">
        <v>443</v>
      </c>
      <c r="C272" s="197" t="s">
        <v>443</v>
      </c>
      <c r="D272" s="200" t="s">
        <v>39</v>
      </c>
      <c r="E272" s="199">
        <v>1</v>
      </c>
      <c r="F272" s="195">
        <v>0</v>
      </c>
      <c r="G272" s="195">
        <v>0</v>
      </c>
      <c r="H272" s="195">
        <v>0</v>
      </c>
      <c r="I272" s="194">
        <f t="shared" si="4"/>
        <v>0</v>
      </c>
      <c r="J272" s="195"/>
    </row>
    <row r="273" spans="1:10">
      <c r="A273" s="1249"/>
      <c r="B273" s="196" t="s">
        <v>444</v>
      </c>
      <c r="C273" s="197" t="s">
        <v>444</v>
      </c>
      <c r="D273" s="200" t="s">
        <v>39</v>
      </c>
      <c r="E273" s="199">
        <v>1</v>
      </c>
      <c r="F273" s="195">
        <v>0</v>
      </c>
      <c r="G273" s="195">
        <v>0</v>
      </c>
      <c r="H273" s="195">
        <v>0</v>
      </c>
      <c r="I273" s="194">
        <f t="shared" si="4"/>
        <v>0</v>
      </c>
      <c r="J273" s="195"/>
    </row>
    <row r="274" spans="1:10">
      <c r="A274" s="1250"/>
      <c r="B274" s="205" t="s">
        <v>445</v>
      </c>
      <c r="C274" s="206" t="s">
        <v>445</v>
      </c>
      <c r="D274" s="207" t="s">
        <v>39</v>
      </c>
      <c r="E274" s="193">
        <v>1</v>
      </c>
      <c r="F274" s="195">
        <v>0</v>
      </c>
      <c r="G274" s="195">
        <v>0</v>
      </c>
      <c r="H274" s="195">
        <v>0</v>
      </c>
      <c r="I274" s="194">
        <f t="shared" si="4"/>
        <v>0</v>
      </c>
      <c r="J274" s="195"/>
    </row>
    <row r="275" spans="1:10">
      <c r="A275" s="1248" t="s">
        <v>735</v>
      </c>
      <c r="B275" s="189" t="s">
        <v>736</v>
      </c>
      <c r="C275" s="190" t="s">
        <v>736</v>
      </c>
      <c r="D275" s="201" t="s">
        <v>39</v>
      </c>
      <c r="E275" s="192">
        <v>2</v>
      </c>
      <c r="F275" s="195">
        <v>0</v>
      </c>
      <c r="G275" s="195">
        <v>0</v>
      </c>
      <c r="H275" s="195">
        <v>0</v>
      </c>
      <c r="I275" s="194">
        <f t="shared" si="4"/>
        <v>0</v>
      </c>
      <c r="J275" s="195"/>
    </row>
    <row r="276" spans="1:10">
      <c r="A276" s="1249"/>
      <c r="B276" s="196"/>
      <c r="D276" s="200" t="s">
        <v>43</v>
      </c>
      <c r="E276" s="199">
        <v>1</v>
      </c>
      <c r="F276" s="195">
        <v>0</v>
      </c>
      <c r="G276" s="195">
        <v>0</v>
      </c>
      <c r="H276" s="195">
        <v>0</v>
      </c>
      <c r="I276" s="194">
        <f t="shared" si="4"/>
        <v>0</v>
      </c>
      <c r="J276" s="195"/>
    </row>
    <row r="277" spans="1:10">
      <c r="A277" s="1249"/>
      <c r="B277" s="196"/>
      <c r="D277" s="200" t="s">
        <v>1387</v>
      </c>
      <c r="E277" s="199">
        <v>1</v>
      </c>
      <c r="F277" s="195">
        <v>0</v>
      </c>
      <c r="G277" s="195">
        <v>0</v>
      </c>
      <c r="H277" s="195">
        <v>0</v>
      </c>
      <c r="I277" s="194">
        <f t="shared" si="4"/>
        <v>0</v>
      </c>
      <c r="J277" s="195"/>
    </row>
    <row r="278" spans="1:10">
      <c r="A278" s="1249"/>
      <c r="B278" s="196" t="s">
        <v>737</v>
      </c>
      <c r="C278" s="197" t="s">
        <v>737</v>
      </c>
      <c r="D278" s="200" t="s">
        <v>39</v>
      </c>
      <c r="E278" s="199">
        <v>1</v>
      </c>
      <c r="F278" s="195">
        <v>0</v>
      </c>
      <c r="G278" s="195">
        <v>0</v>
      </c>
      <c r="H278" s="195">
        <v>0</v>
      </c>
      <c r="I278" s="194">
        <f t="shared" si="4"/>
        <v>0</v>
      </c>
      <c r="J278" s="195"/>
    </row>
    <row r="279" spans="1:10">
      <c r="A279" s="1249"/>
      <c r="B279" s="196"/>
      <c r="D279" s="200" t="s">
        <v>43</v>
      </c>
      <c r="E279" s="199">
        <v>1</v>
      </c>
      <c r="F279" s="195">
        <v>0</v>
      </c>
      <c r="G279" s="195">
        <v>0</v>
      </c>
      <c r="H279" s="195">
        <v>0</v>
      </c>
      <c r="I279" s="194">
        <f t="shared" si="4"/>
        <v>0</v>
      </c>
      <c r="J279" s="195"/>
    </row>
    <row r="280" spans="1:10">
      <c r="A280" s="1249"/>
      <c r="B280" s="196"/>
      <c r="D280" s="200" t="s">
        <v>1399</v>
      </c>
      <c r="E280" s="199">
        <v>1</v>
      </c>
      <c r="F280" s="195">
        <v>0</v>
      </c>
      <c r="G280" s="195">
        <v>0</v>
      </c>
      <c r="H280" s="195">
        <v>0</v>
      </c>
      <c r="I280" s="194">
        <f t="shared" si="4"/>
        <v>0</v>
      </c>
      <c r="J280" s="195"/>
    </row>
    <row r="281" spans="1:10">
      <c r="A281" s="1249"/>
      <c r="B281" s="196" t="s">
        <v>738</v>
      </c>
      <c r="C281" s="197" t="s">
        <v>738</v>
      </c>
      <c r="D281" s="200" t="s">
        <v>39</v>
      </c>
      <c r="E281" s="199">
        <v>1</v>
      </c>
      <c r="F281" s="195">
        <v>0</v>
      </c>
      <c r="G281" s="195">
        <v>0</v>
      </c>
      <c r="H281" s="195">
        <v>0</v>
      </c>
      <c r="I281" s="194">
        <f t="shared" si="4"/>
        <v>0</v>
      </c>
      <c r="J281" s="195"/>
    </row>
    <row r="282" spans="1:10">
      <c r="A282" s="1249"/>
      <c r="B282" s="196"/>
      <c r="D282" s="200" t="s">
        <v>43</v>
      </c>
      <c r="E282" s="199">
        <v>1</v>
      </c>
      <c r="F282" s="195">
        <v>0</v>
      </c>
      <c r="G282" s="195">
        <v>0</v>
      </c>
      <c r="H282" s="195">
        <v>0</v>
      </c>
      <c r="I282" s="194">
        <f t="shared" si="4"/>
        <v>0</v>
      </c>
      <c r="J282" s="195"/>
    </row>
    <row r="283" spans="1:10">
      <c r="A283" s="1249"/>
      <c r="B283" s="196"/>
      <c r="D283" s="200" t="s">
        <v>1399</v>
      </c>
      <c r="E283" s="199">
        <v>1</v>
      </c>
      <c r="F283" s="195">
        <v>0</v>
      </c>
      <c r="G283" s="195">
        <v>0</v>
      </c>
      <c r="H283" s="195">
        <v>0</v>
      </c>
      <c r="I283" s="194">
        <f t="shared" si="4"/>
        <v>0</v>
      </c>
      <c r="J283" s="195"/>
    </row>
    <row r="284" spans="1:10">
      <c r="A284" s="1249"/>
      <c r="B284" s="196" t="s">
        <v>739</v>
      </c>
      <c r="C284" s="197" t="s">
        <v>739</v>
      </c>
      <c r="D284" s="200" t="s">
        <v>39</v>
      </c>
      <c r="E284" s="199">
        <v>1</v>
      </c>
      <c r="F284" s="195">
        <v>0</v>
      </c>
      <c r="G284" s="195">
        <v>0</v>
      </c>
      <c r="H284" s="195">
        <v>0</v>
      </c>
      <c r="I284" s="194">
        <f t="shared" si="4"/>
        <v>0</v>
      </c>
      <c r="J284" s="195"/>
    </row>
    <row r="285" spans="1:10">
      <c r="A285" s="1249"/>
      <c r="B285" s="196"/>
      <c r="D285" s="200" t="s">
        <v>43</v>
      </c>
      <c r="E285" s="199">
        <v>1</v>
      </c>
      <c r="F285" s="195">
        <v>0</v>
      </c>
      <c r="G285" s="195">
        <v>0</v>
      </c>
      <c r="H285" s="195">
        <v>0</v>
      </c>
      <c r="I285" s="194">
        <f t="shared" si="4"/>
        <v>0</v>
      </c>
      <c r="J285" s="195"/>
    </row>
    <row r="286" spans="1:10">
      <c r="A286" s="1249"/>
      <c r="B286" s="196"/>
      <c r="D286" s="200" t="s">
        <v>1399</v>
      </c>
      <c r="E286" s="199">
        <v>1</v>
      </c>
      <c r="F286" s="195">
        <v>0</v>
      </c>
      <c r="G286" s="195">
        <v>0</v>
      </c>
      <c r="H286" s="195">
        <v>0</v>
      </c>
      <c r="I286" s="194">
        <f t="shared" si="4"/>
        <v>0</v>
      </c>
      <c r="J286" s="195"/>
    </row>
    <row r="287" spans="1:10">
      <c r="A287" s="1249"/>
      <c r="B287" s="196" t="s">
        <v>740</v>
      </c>
      <c r="C287" s="197" t="s">
        <v>740</v>
      </c>
      <c r="D287" s="200" t="s">
        <v>39</v>
      </c>
      <c r="E287" s="199">
        <v>1</v>
      </c>
      <c r="F287" s="195">
        <v>0</v>
      </c>
      <c r="G287" s="195">
        <v>0</v>
      </c>
      <c r="H287" s="195">
        <v>0</v>
      </c>
      <c r="I287" s="194">
        <f t="shared" si="4"/>
        <v>0</v>
      </c>
      <c r="J287" s="195"/>
    </row>
    <row r="288" spans="1:10">
      <c r="A288" s="1249"/>
      <c r="B288" s="196"/>
      <c r="D288" s="200" t="s">
        <v>43</v>
      </c>
      <c r="E288" s="199">
        <v>2</v>
      </c>
      <c r="F288" s="195">
        <v>0</v>
      </c>
      <c r="G288" s="195">
        <v>0</v>
      </c>
      <c r="H288" s="195">
        <v>0</v>
      </c>
      <c r="I288" s="194">
        <f t="shared" si="4"/>
        <v>0</v>
      </c>
      <c r="J288" s="195"/>
    </row>
    <row r="289" spans="1:10">
      <c r="A289" s="1249"/>
      <c r="B289" s="196"/>
      <c r="D289" s="200" t="s">
        <v>1399</v>
      </c>
      <c r="E289" s="199">
        <v>1</v>
      </c>
      <c r="F289" s="195">
        <v>0</v>
      </c>
      <c r="G289" s="195">
        <v>0</v>
      </c>
      <c r="H289" s="195">
        <v>0</v>
      </c>
      <c r="I289" s="194">
        <f t="shared" si="4"/>
        <v>0</v>
      </c>
      <c r="J289" s="195"/>
    </row>
    <row r="290" spans="1:10">
      <c r="A290" s="1249"/>
      <c r="B290" s="196" t="s">
        <v>741</v>
      </c>
      <c r="C290" s="197" t="s">
        <v>741</v>
      </c>
      <c r="D290" s="200" t="s">
        <v>39</v>
      </c>
      <c r="E290" s="199">
        <v>1</v>
      </c>
      <c r="F290" s="195">
        <v>0</v>
      </c>
      <c r="G290" s="195">
        <v>0</v>
      </c>
      <c r="H290" s="195">
        <v>0</v>
      </c>
      <c r="I290" s="194">
        <f t="shared" si="4"/>
        <v>0</v>
      </c>
      <c r="J290" s="195"/>
    </row>
    <row r="291" spans="1:10">
      <c r="A291" s="1249"/>
      <c r="B291" s="196"/>
      <c r="D291" s="200" t="s">
        <v>43</v>
      </c>
      <c r="E291" s="199">
        <v>1</v>
      </c>
      <c r="F291" s="195">
        <v>0</v>
      </c>
      <c r="G291" s="195">
        <v>0</v>
      </c>
      <c r="H291" s="195">
        <v>0</v>
      </c>
      <c r="I291" s="194">
        <f t="shared" si="4"/>
        <v>0</v>
      </c>
      <c r="J291" s="195"/>
    </row>
    <row r="292" spans="1:10">
      <c r="A292" s="1249"/>
      <c r="B292" s="196" t="s">
        <v>742</v>
      </c>
      <c r="C292" s="197" t="s">
        <v>742</v>
      </c>
      <c r="D292" s="200" t="s">
        <v>39</v>
      </c>
      <c r="E292" s="199">
        <v>1</v>
      </c>
      <c r="F292" s="195">
        <v>0</v>
      </c>
      <c r="G292" s="195">
        <v>0</v>
      </c>
      <c r="H292" s="195">
        <v>0</v>
      </c>
      <c r="I292" s="194">
        <f t="shared" si="4"/>
        <v>0</v>
      </c>
      <c r="J292" s="195"/>
    </row>
    <row r="293" spans="1:10">
      <c r="A293" s="1249"/>
      <c r="B293" s="196"/>
      <c r="D293" s="200" t="s">
        <v>43</v>
      </c>
      <c r="E293" s="199">
        <v>1</v>
      </c>
      <c r="F293" s="195">
        <v>0</v>
      </c>
      <c r="G293" s="195">
        <v>0</v>
      </c>
      <c r="H293" s="195">
        <v>0</v>
      </c>
      <c r="I293" s="194">
        <f t="shared" si="4"/>
        <v>0</v>
      </c>
      <c r="J293" s="195"/>
    </row>
    <row r="294" spans="1:10">
      <c r="A294" s="1249"/>
      <c r="B294" s="196" t="s">
        <v>743</v>
      </c>
      <c r="C294" s="197" t="s">
        <v>743</v>
      </c>
      <c r="D294" s="200" t="s">
        <v>39</v>
      </c>
      <c r="E294" s="199">
        <v>1</v>
      </c>
      <c r="F294" s="195">
        <v>0</v>
      </c>
      <c r="G294" s="195">
        <v>0</v>
      </c>
      <c r="H294" s="195">
        <v>0</v>
      </c>
      <c r="I294" s="194">
        <f t="shared" si="4"/>
        <v>0</v>
      </c>
      <c r="J294" s="195"/>
    </row>
    <row r="295" spans="1:10">
      <c r="A295" s="1249"/>
      <c r="B295" s="196"/>
      <c r="D295" s="200" t="s">
        <v>43</v>
      </c>
      <c r="E295" s="199">
        <v>1</v>
      </c>
      <c r="F295" s="195">
        <v>0</v>
      </c>
      <c r="G295" s="195">
        <v>0</v>
      </c>
      <c r="H295" s="195">
        <v>0</v>
      </c>
      <c r="I295" s="194">
        <f t="shared" si="4"/>
        <v>0</v>
      </c>
      <c r="J295" s="195"/>
    </row>
    <row r="296" spans="1:10">
      <c r="A296" s="1249"/>
      <c r="B296" s="196" t="s">
        <v>744</v>
      </c>
      <c r="C296" s="197" t="s">
        <v>744</v>
      </c>
      <c r="D296" s="200" t="s">
        <v>39</v>
      </c>
      <c r="E296" s="199">
        <v>1</v>
      </c>
      <c r="F296" s="195">
        <v>0</v>
      </c>
      <c r="G296" s="195">
        <v>0</v>
      </c>
      <c r="H296" s="195">
        <v>0</v>
      </c>
      <c r="I296" s="194">
        <f t="shared" si="4"/>
        <v>0</v>
      </c>
      <c r="J296" s="195"/>
    </row>
    <row r="297" spans="1:10">
      <c r="A297" s="1249"/>
      <c r="B297" s="196"/>
      <c r="D297" s="200" t="s">
        <v>43</v>
      </c>
      <c r="E297" s="199">
        <v>1</v>
      </c>
      <c r="F297" s="195">
        <v>0</v>
      </c>
      <c r="G297" s="195">
        <v>0</v>
      </c>
      <c r="H297" s="195">
        <v>0</v>
      </c>
      <c r="I297" s="194">
        <f t="shared" si="4"/>
        <v>0</v>
      </c>
      <c r="J297" s="195"/>
    </row>
    <row r="298" spans="1:10">
      <c r="A298" s="1249"/>
      <c r="B298" s="196" t="s">
        <v>745</v>
      </c>
      <c r="C298" s="197" t="s">
        <v>745</v>
      </c>
      <c r="D298" s="200" t="s">
        <v>39</v>
      </c>
      <c r="E298" s="199">
        <v>1</v>
      </c>
      <c r="F298" s="195">
        <v>0</v>
      </c>
      <c r="G298" s="195">
        <v>0</v>
      </c>
      <c r="H298" s="195">
        <v>0</v>
      </c>
      <c r="I298" s="194">
        <f t="shared" si="4"/>
        <v>0</v>
      </c>
      <c r="J298" s="195"/>
    </row>
    <row r="299" spans="1:10">
      <c r="A299" s="1249"/>
      <c r="B299" s="196"/>
      <c r="D299" s="200" t="s">
        <v>43</v>
      </c>
      <c r="E299" s="199">
        <v>1</v>
      </c>
      <c r="F299" s="195">
        <v>0</v>
      </c>
      <c r="G299" s="195">
        <v>0</v>
      </c>
      <c r="H299" s="195">
        <v>0</v>
      </c>
      <c r="I299" s="194">
        <f t="shared" si="4"/>
        <v>0</v>
      </c>
      <c r="J299" s="195"/>
    </row>
    <row r="300" spans="1:10">
      <c r="A300" s="1249"/>
      <c r="B300" s="196" t="s">
        <v>746</v>
      </c>
      <c r="C300" s="197" t="s">
        <v>746</v>
      </c>
      <c r="D300" s="200" t="s">
        <v>39</v>
      </c>
      <c r="E300" s="199">
        <v>1</v>
      </c>
      <c r="F300" s="195">
        <v>0</v>
      </c>
      <c r="G300" s="195">
        <v>0</v>
      </c>
      <c r="H300" s="195">
        <v>0</v>
      </c>
      <c r="I300" s="194">
        <f t="shared" si="4"/>
        <v>0</v>
      </c>
      <c r="J300" s="195"/>
    </row>
    <row r="301" spans="1:10">
      <c r="A301" s="1249"/>
      <c r="B301" s="196"/>
      <c r="D301" s="200" t="s">
        <v>43</v>
      </c>
      <c r="E301" s="199">
        <v>1</v>
      </c>
      <c r="F301" s="195">
        <v>0</v>
      </c>
      <c r="G301" s="195">
        <v>0</v>
      </c>
      <c r="H301" s="195">
        <v>0</v>
      </c>
      <c r="I301" s="194">
        <f t="shared" si="4"/>
        <v>0</v>
      </c>
      <c r="J301" s="195"/>
    </row>
    <row r="302" spans="1:10">
      <c r="A302" s="1249"/>
      <c r="B302" s="196" t="s">
        <v>747</v>
      </c>
      <c r="C302" s="197" t="s">
        <v>747</v>
      </c>
      <c r="D302" s="198" t="s">
        <v>39</v>
      </c>
      <c r="E302" s="199">
        <v>2</v>
      </c>
      <c r="F302" s="195">
        <v>0</v>
      </c>
      <c r="G302" s="195">
        <v>0</v>
      </c>
      <c r="H302" s="195">
        <v>0</v>
      </c>
      <c r="I302" s="194">
        <f t="shared" si="4"/>
        <v>0</v>
      </c>
      <c r="J302" s="195"/>
    </row>
    <row r="303" spans="1:10">
      <c r="A303" s="1249"/>
      <c r="B303" s="196"/>
      <c r="D303" s="198" t="s">
        <v>43</v>
      </c>
      <c r="E303" s="199">
        <v>1</v>
      </c>
      <c r="F303" s="195">
        <v>0</v>
      </c>
      <c r="G303" s="195">
        <v>0</v>
      </c>
      <c r="H303" s="195">
        <v>0</v>
      </c>
      <c r="I303" s="194">
        <f t="shared" si="4"/>
        <v>0</v>
      </c>
      <c r="J303" s="195"/>
    </row>
    <row r="304" spans="1:10">
      <c r="A304" s="1249"/>
      <c r="B304" s="196"/>
      <c r="D304" s="200" t="s">
        <v>1399</v>
      </c>
      <c r="E304" s="199">
        <v>1</v>
      </c>
      <c r="F304" s="195">
        <v>0</v>
      </c>
      <c r="G304" s="195">
        <v>0</v>
      </c>
      <c r="H304" s="195">
        <v>0</v>
      </c>
      <c r="I304" s="194">
        <f t="shared" si="4"/>
        <v>0</v>
      </c>
      <c r="J304" s="195"/>
    </row>
    <row r="305" spans="1:10">
      <c r="A305" s="1249"/>
      <c r="B305" s="196"/>
      <c r="C305" s="197" t="s">
        <v>349</v>
      </c>
      <c r="D305" s="200" t="s">
        <v>43</v>
      </c>
      <c r="E305" s="199">
        <v>1</v>
      </c>
      <c r="F305" s="195">
        <v>0</v>
      </c>
      <c r="G305" s="195">
        <v>0</v>
      </c>
      <c r="H305" s="195">
        <v>0</v>
      </c>
      <c r="I305" s="194">
        <f t="shared" si="4"/>
        <v>0</v>
      </c>
      <c r="J305" s="195"/>
    </row>
    <row r="306" spans="1:10">
      <c r="A306" s="1249"/>
      <c r="B306" s="196" t="s">
        <v>748</v>
      </c>
      <c r="C306" s="197" t="s">
        <v>748</v>
      </c>
      <c r="D306" s="200" t="s">
        <v>39</v>
      </c>
      <c r="E306" s="199">
        <v>1</v>
      </c>
      <c r="F306" s="195">
        <v>0</v>
      </c>
      <c r="G306" s="195">
        <v>0</v>
      </c>
      <c r="H306" s="195">
        <v>0</v>
      </c>
      <c r="I306" s="194">
        <f t="shared" si="4"/>
        <v>0</v>
      </c>
      <c r="J306" s="195"/>
    </row>
    <row r="307" spans="1:10">
      <c r="A307" s="1250"/>
      <c r="B307" s="205"/>
      <c r="C307" s="206"/>
      <c r="D307" s="207" t="s">
        <v>43</v>
      </c>
      <c r="E307" s="193">
        <v>1</v>
      </c>
      <c r="F307" s="195">
        <v>0</v>
      </c>
      <c r="G307" s="195">
        <v>0</v>
      </c>
      <c r="H307" s="195">
        <v>0</v>
      </c>
      <c r="I307" s="194">
        <f t="shared" si="4"/>
        <v>0</v>
      </c>
      <c r="J307" s="195"/>
    </row>
    <row r="308" spans="1:10">
      <c r="A308" s="1248" t="s">
        <v>749</v>
      </c>
      <c r="B308" s="189" t="s">
        <v>750</v>
      </c>
      <c r="C308" s="190" t="s">
        <v>750</v>
      </c>
      <c r="D308" s="201" t="s">
        <v>39</v>
      </c>
      <c r="E308" s="192">
        <v>2</v>
      </c>
      <c r="F308" s="195">
        <v>0</v>
      </c>
      <c r="G308" s="195">
        <v>0</v>
      </c>
      <c r="H308" s="195">
        <v>0</v>
      </c>
      <c r="I308" s="194">
        <f t="shared" si="4"/>
        <v>0</v>
      </c>
      <c r="J308" s="195"/>
    </row>
    <row r="309" spans="1:10">
      <c r="A309" s="1249"/>
      <c r="B309" s="196"/>
      <c r="D309" s="200" t="s">
        <v>43</v>
      </c>
      <c r="E309" s="199">
        <v>1</v>
      </c>
      <c r="F309" s="195">
        <v>0</v>
      </c>
      <c r="G309" s="195">
        <v>0</v>
      </c>
      <c r="H309" s="195">
        <v>0</v>
      </c>
      <c r="I309" s="194">
        <f t="shared" si="4"/>
        <v>0</v>
      </c>
      <c r="J309" s="195"/>
    </row>
    <row r="310" spans="1:10">
      <c r="A310" s="1249"/>
      <c r="B310" s="196"/>
      <c r="D310" s="200" t="s">
        <v>1399</v>
      </c>
      <c r="E310" s="199">
        <v>1</v>
      </c>
      <c r="F310" s="195">
        <v>0</v>
      </c>
      <c r="G310" s="195">
        <v>0</v>
      </c>
      <c r="H310" s="195">
        <v>0</v>
      </c>
      <c r="I310" s="194">
        <f t="shared" si="4"/>
        <v>0</v>
      </c>
      <c r="J310" s="195"/>
    </row>
    <row r="311" spans="1:10">
      <c r="A311" s="1249"/>
      <c r="B311" s="196" t="s">
        <v>751</v>
      </c>
      <c r="C311" s="197" t="s">
        <v>751</v>
      </c>
      <c r="D311" s="200" t="s">
        <v>39</v>
      </c>
      <c r="E311" s="199">
        <v>1</v>
      </c>
      <c r="F311" s="195">
        <v>0</v>
      </c>
      <c r="G311" s="195">
        <v>0</v>
      </c>
      <c r="H311" s="195">
        <v>0</v>
      </c>
      <c r="I311" s="194">
        <f t="shared" si="4"/>
        <v>0</v>
      </c>
      <c r="J311" s="195"/>
    </row>
    <row r="312" spans="1:10">
      <c r="A312" s="1249"/>
      <c r="B312" s="196"/>
      <c r="D312" s="200" t="s">
        <v>43</v>
      </c>
      <c r="E312" s="199">
        <v>1</v>
      </c>
      <c r="F312" s="195">
        <v>0</v>
      </c>
      <c r="G312" s="195">
        <v>0</v>
      </c>
      <c r="H312" s="195">
        <v>0</v>
      </c>
      <c r="I312" s="194">
        <f t="shared" si="4"/>
        <v>0</v>
      </c>
      <c r="J312" s="195"/>
    </row>
    <row r="313" spans="1:10">
      <c r="A313" s="1249"/>
      <c r="B313" s="196"/>
      <c r="D313" s="200" t="s">
        <v>1399</v>
      </c>
      <c r="E313" s="199">
        <v>1</v>
      </c>
      <c r="F313" s="195">
        <v>0</v>
      </c>
      <c r="G313" s="195">
        <v>0</v>
      </c>
      <c r="H313" s="195">
        <v>0</v>
      </c>
      <c r="I313" s="194">
        <f t="shared" si="4"/>
        <v>0</v>
      </c>
      <c r="J313" s="195"/>
    </row>
    <row r="314" spans="1:10">
      <c r="A314" s="1249"/>
      <c r="B314" s="196" t="s">
        <v>752</v>
      </c>
      <c r="C314" s="197" t="s">
        <v>752</v>
      </c>
      <c r="D314" s="200" t="s">
        <v>39</v>
      </c>
      <c r="E314" s="199">
        <v>1</v>
      </c>
      <c r="F314" s="195">
        <v>0</v>
      </c>
      <c r="G314" s="195">
        <v>0</v>
      </c>
      <c r="H314" s="195">
        <v>0</v>
      </c>
      <c r="I314" s="194">
        <f t="shared" si="4"/>
        <v>0</v>
      </c>
      <c r="J314" s="195"/>
    </row>
    <row r="315" spans="1:10">
      <c r="A315" s="1249"/>
      <c r="B315" s="196"/>
      <c r="D315" s="200" t="s">
        <v>43</v>
      </c>
      <c r="E315" s="199">
        <v>1</v>
      </c>
      <c r="F315" s="195">
        <v>0</v>
      </c>
      <c r="G315" s="195">
        <v>0</v>
      </c>
      <c r="H315" s="195">
        <v>0</v>
      </c>
      <c r="I315" s="194">
        <f t="shared" si="4"/>
        <v>0</v>
      </c>
      <c r="J315" s="195"/>
    </row>
    <row r="316" spans="1:10">
      <c r="A316" s="1249"/>
      <c r="B316" s="196"/>
      <c r="D316" s="200" t="s">
        <v>1399</v>
      </c>
      <c r="E316" s="199">
        <v>1</v>
      </c>
      <c r="F316" s="195">
        <v>0</v>
      </c>
      <c r="G316" s="195">
        <v>0</v>
      </c>
      <c r="H316" s="195">
        <v>0</v>
      </c>
      <c r="I316" s="194">
        <f t="shared" si="4"/>
        <v>0</v>
      </c>
      <c r="J316" s="195"/>
    </row>
    <row r="317" spans="1:10">
      <c r="A317" s="1249"/>
      <c r="B317" s="196" t="s">
        <v>753</v>
      </c>
      <c r="C317" s="197" t="s">
        <v>753</v>
      </c>
      <c r="D317" s="200" t="s">
        <v>39</v>
      </c>
      <c r="E317" s="199">
        <v>1</v>
      </c>
      <c r="F317" s="195">
        <v>0</v>
      </c>
      <c r="G317" s="195">
        <v>0</v>
      </c>
      <c r="H317" s="195">
        <v>0</v>
      </c>
      <c r="I317" s="194">
        <f t="shared" si="4"/>
        <v>0</v>
      </c>
      <c r="J317" s="195"/>
    </row>
    <row r="318" spans="1:10">
      <c r="A318" s="1249"/>
      <c r="B318" s="196"/>
      <c r="D318" s="200" t="s">
        <v>43</v>
      </c>
      <c r="E318" s="199">
        <v>1</v>
      </c>
      <c r="F318" s="195">
        <v>0</v>
      </c>
      <c r="G318" s="195">
        <v>0</v>
      </c>
      <c r="H318" s="195">
        <v>0</v>
      </c>
      <c r="I318" s="194">
        <f t="shared" si="4"/>
        <v>0</v>
      </c>
      <c r="J318" s="195"/>
    </row>
    <row r="319" spans="1:10">
      <c r="A319" s="1249"/>
      <c r="B319" s="196" t="s">
        <v>754</v>
      </c>
      <c r="C319" s="197" t="s">
        <v>754</v>
      </c>
      <c r="D319" s="200" t="s">
        <v>39</v>
      </c>
      <c r="E319" s="199">
        <v>1</v>
      </c>
      <c r="F319" s="195">
        <v>0</v>
      </c>
      <c r="G319" s="195">
        <v>0</v>
      </c>
      <c r="H319" s="195">
        <v>0</v>
      </c>
      <c r="I319" s="194">
        <f t="shared" si="4"/>
        <v>0</v>
      </c>
      <c r="J319" s="195"/>
    </row>
    <row r="320" spans="1:10">
      <c r="A320" s="1249"/>
      <c r="B320" s="196"/>
      <c r="D320" s="200" t="s">
        <v>43</v>
      </c>
      <c r="E320" s="199">
        <v>1</v>
      </c>
      <c r="F320" s="195">
        <v>0</v>
      </c>
      <c r="G320" s="195">
        <v>0</v>
      </c>
      <c r="H320" s="195">
        <v>0</v>
      </c>
      <c r="I320" s="194">
        <f t="shared" si="4"/>
        <v>0</v>
      </c>
      <c r="J320" s="195"/>
    </row>
    <row r="321" spans="1:10">
      <c r="A321" s="1249"/>
      <c r="B321" s="196" t="s">
        <v>755</v>
      </c>
      <c r="C321" s="197" t="s">
        <v>755</v>
      </c>
      <c r="D321" s="200" t="s">
        <v>39</v>
      </c>
      <c r="E321" s="199">
        <v>1</v>
      </c>
      <c r="F321" s="195">
        <v>0</v>
      </c>
      <c r="G321" s="195">
        <v>0</v>
      </c>
      <c r="H321" s="195">
        <v>0</v>
      </c>
      <c r="I321" s="194">
        <f t="shared" si="4"/>
        <v>0</v>
      </c>
      <c r="J321" s="195"/>
    </row>
    <row r="322" spans="1:10">
      <c r="A322" s="1249"/>
      <c r="B322" s="196"/>
      <c r="D322" s="200" t="s">
        <v>43</v>
      </c>
      <c r="E322" s="199">
        <v>1</v>
      </c>
      <c r="F322" s="195">
        <v>0</v>
      </c>
      <c r="G322" s="195">
        <v>0</v>
      </c>
      <c r="H322" s="195">
        <v>0</v>
      </c>
      <c r="I322" s="194">
        <f t="shared" ref="I322:I385" si="5">ROUNDUP(((F322+G322+H322)/3)/E322*100%,2)</f>
        <v>0</v>
      </c>
      <c r="J322" s="195"/>
    </row>
    <row r="323" spans="1:10">
      <c r="A323" s="1249"/>
      <c r="B323" s="196" t="s">
        <v>756</v>
      </c>
      <c r="C323" s="197" t="s">
        <v>756</v>
      </c>
      <c r="D323" s="200" t="s">
        <v>39</v>
      </c>
      <c r="E323" s="199">
        <v>1</v>
      </c>
      <c r="F323" s="195">
        <v>0</v>
      </c>
      <c r="G323" s="195">
        <v>0</v>
      </c>
      <c r="H323" s="195">
        <v>0</v>
      </c>
      <c r="I323" s="194">
        <f t="shared" si="5"/>
        <v>0</v>
      </c>
      <c r="J323" s="195"/>
    </row>
    <row r="324" spans="1:10">
      <c r="A324" s="1249"/>
      <c r="B324" s="196"/>
      <c r="D324" s="200" t="s">
        <v>43</v>
      </c>
      <c r="E324" s="199">
        <v>1</v>
      </c>
      <c r="F324" s="195">
        <v>0</v>
      </c>
      <c r="G324" s="195">
        <v>0</v>
      </c>
      <c r="H324" s="195">
        <v>0</v>
      </c>
      <c r="I324" s="194">
        <f t="shared" si="5"/>
        <v>0</v>
      </c>
      <c r="J324" s="195"/>
    </row>
    <row r="325" spans="1:10">
      <c r="A325" s="1249"/>
      <c r="B325" s="196" t="s">
        <v>757</v>
      </c>
      <c r="C325" s="197" t="s">
        <v>757</v>
      </c>
      <c r="D325" s="200" t="s">
        <v>39</v>
      </c>
      <c r="E325" s="199">
        <v>1</v>
      </c>
      <c r="F325" s="195">
        <v>0</v>
      </c>
      <c r="G325" s="195">
        <v>0</v>
      </c>
      <c r="H325" s="195">
        <v>0</v>
      </c>
      <c r="I325" s="194">
        <f t="shared" si="5"/>
        <v>0</v>
      </c>
      <c r="J325" s="195"/>
    </row>
    <row r="326" spans="1:10">
      <c r="A326" s="1249"/>
      <c r="B326" s="196"/>
      <c r="D326" s="200" t="s">
        <v>43</v>
      </c>
      <c r="E326" s="199">
        <v>1</v>
      </c>
      <c r="F326" s="195">
        <v>0</v>
      </c>
      <c r="G326" s="195">
        <v>0</v>
      </c>
      <c r="H326" s="195">
        <v>0</v>
      </c>
      <c r="I326" s="194">
        <f t="shared" si="5"/>
        <v>0</v>
      </c>
      <c r="J326" s="195"/>
    </row>
    <row r="327" spans="1:10">
      <c r="A327" s="1249"/>
      <c r="B327" s="196"/>
      <c r="D327" s="200" t="s">
        <v>1399</v>
      </c>
      <c r="E327" s="199">
        <v>1</v>
      </c>
      <c r="F327" s="195">
        <v>0</v>
      </c>
      <c r="G327" s="195">
        <v>0</v>
      </c>
      <c r="H327" s="195">
        <v>0</v>
      </c>
      <c r="I327" s="194">
        <f t="shared" si="5"/>
        <v>0</v>
      </c>
      <c r="J327" s="195"/>
    </row>
    <row r="328" spans="1:10">
      <c r="A328" s="1249"/>
      <c r="B328" s="196" t="s">
        <v>758</v>
      </c>
      <c r="C328" s="197" t="s">
        <v>758</v>
      </c>
      <c r="D328" s="200" t="s">
        <v>39</v>
      </c>
      <c r="E328" s="199">
        <v>1</v>
      </c>
      <c r="F328" s="195">
        <v>0</v>
      </c>
      <c r="G328" s="195">
        <v>0</v>
      </c>
      <c r="H328" s="195">
        <v>0</v>
      </c>
      <c r="I328" s="194">
        <f t="shared" si="5"/>
        <v>0</v>
      </c>
      <c r="J328" s="195"/>
    </row>
    <row r="329" spans="1:10">
      <c r="A329" s="1250"/>
      <c r="B329" s="205"/>
      <c r="C329" s="206"/>
      <c r="D329" s="207" t="s">
        <v>43</v>
      </c>
      <c r="E329" s="193">
        <v>1</v>
      </c>
      <c r="F329" s="195">
        <v>0</v>
      </c>
      <c r="G329" s="195">
        <v>0</v>
      </c>
      <c r="H329" s="195">
        <v>0</v>
      </c>
      <c r="I329" s="194">
        <f t="shared" si="5"/>
        <v>0</v>
      </c>
      <c r="J329" s="195"/>
    </row>
    <row r="330" spans="1:10">
      <c r="A330" s="1248" t="s">
        <v>705</v>
      </c>
      <c r="B330" s="189" t="s">
        <v>706</v>
      </c>
      <c r="C330" s="190" t="s">
        <v>706</v>
      </c>
      <c r="D330" s="201" t="s">
        <v>39</v>
      </c>
      <c r="E330" s="192">
        <v>2</v>
      </c>
      <c r="F330" s="195">
        <v>0</v>
      </c>
      <c r="G330" s="195">
        <v>0</v>
      </c>
      <c r="H330" s="195">
        <v>0</v>
      </c>
      <c r="I330" s="194">
        <f t="shared" si="5"/>
        <v>0</v>
      </c>
      <c r="J330" s="195"/>
    </row>
    <row r="331" spans="1:10">
      <c r="A331" s="1249"/>
      <c r="B331" s="196"/>
      <c r="D331" s="200" t="s">
        <v>43</v>
      </c>
      <c r="E331" s="199">
        <v>1</v>
      </c>
      <c r="F331" s="195">
        <v>0</v>
      </c>
      <c r="G331" s="195">
        <v>0</v>
      </c>
      <c r="H331" s="195">
        <v>0</v>
      </c>
      <c r="I331" s="194">
        <f t="shared" si="5"/>
        <v>0</v>
      </c>
      <c r="J331" s="195"/>
    </row>
    <row r="332" spans="1:10">
      <c r="A332" s="1249"/>
      <c r="B332" s="196"/>
      <c r="D332" s="200" t="s">
        <v>1399</v>
      </c>
      <c r="E332" s="199">
        <v>1</v>
      </c>
      <c r="F332" s="195">
        <v>0</v>
      </c>
      <c r="G332" s="195">
        <v>0</v>
      </c>
      <c r="H332" s="195">
        <v>0</v>
      </c>
      <c r="I332" s="194">
        <f t="shared" si="5"/>
        <v>0</v>
      </c>
      <c r="J332" s="195"/>
    </row>
    <row r="333" spans="1:10">
      <c r="A333" s="1249"/>
      <c r="B333" s="196" t="s">
        <v>707</v>
      </c>
      <c r="C333" s="197" t="s">
        <v>707</v>
      </c>
      <c r="D333" s="200" t="s">
        <v>39</v>
      </c>
      <c r="E333" s="199">
        <v>1</v>
      </c>
      <c r="F333" s="195">
        <v>0</v>
      </c>
      <c r="G333" s="195">
        <v>0</v>
      </c>
      <c r="H333" s="195">
        <v>0</v>
      </c>
      <c r="I333" s="194">
        <f t="shared" si="5"/>
        <v>0</v>
      </c>
      <c r="J333" s="195"/>
    </row>
    <row r="334" spans="1:10">
      <c r="A334" s="1249"/>
      <c r="B334" s="196"/>
      <c r="D334" s="200" t="s">
        <v>43</v>
      </c>
      <c r="E334" s="199">
        <v>1</v>
      </c>
      <c r="F334" s="195">
        <v>0</v>
      </c>
      <c r="G334" s="195">
        <v>0</v>
      </c>
      <c r="H334" s="195">
        <v>0</v>
      </c>
      <c r="I334" s="194">
        <f t="shared" si="5"/>
        <v>0</v>
      </c>
      <c r="J334" s="195"/>
    </row>
    <row r="335" spans="1:10">
      <c r="A335" s="1249"/>
      <c r="B335" s="196"/>
      <c r="D335" s="200" t="s">
        <v>1387</v>
      </c>
      <c r="E335" s="199">
        <v>1</v>
      </c>
      <c r="F335" s="195">
        <v>0</v>
      </c>
      <c r="G335" s="195">
        <v>0</v>
      </c>
      <c r="H335" s="195">
        <v>0</v>
      </c>
      <c r="I335" s="194">
        <f t="shared" si="5"/>
        <v>0</v>
      </c>
      <c r="J335" s="195"/>
    </row>
    <row r="336" spans="1:10">
      <c r="A336" s="1249"/>
      <c r="B336" s="196" t="s">
        <v>708</v>
      </c>
      <c r="C336" s="197" t="s">
        <v>708</v>
      </c>
      <c r="D336" s="200" t="s">
        <v>39</v>
      </c>
      <c r="E336" s="199">
        <v>1</v>
      </c>
      <c r="F336" s="195">
        <v>0</v>
      </c>
      <c r="G336" s="195">
        <v>0</v>
      </c>
      <c r="H336" s="195">
        <v>0</v>
      </c>
      <c r="I336" s="194">
        <f t="shared" si="5"/>
        <v>0</v>
      </c>
      <c r="J336" s="195"/>
    </row>
    <row r="337" spans="1:10">
      <c r="A337" s="1249"/>
      <c r="B337" s="196" t="s">
        <v>709</v>
      </c>
      <c r="C337" s="197" t="s">
        <v>709</v>
      </c>
      <c r="D337" s="200" t="s">
        <v>39</v>
      </c>
      <c r="E337" s="199">
        <v>1</v>
      </c>
      <c r="F337" s="195">
        <v>0</v>
      </c>
      <c r="G337" s="195">
        <v>0</v>
      </c>
      <c r="H337" s="195">
        <v>0</v>
      </c>
      <c r="I337" s="194">
        <f t="shared" si="5"/>
        <v>0</v>
      </c>
      <c r="J337" s="195"/>
    </row>
    <row r="338" spans="1:10">
      <c r="A338" s="1249"/>
      <c r="B338" s="196"/>
      <c r="D338" s="200" t="s">
        <v>43</v>
      </c>
      <c r="E338" s="199">
        <v>1</v>
      </c>
      <c r="F338" s="195">
        <v>0</v>
      </c>
      <c r="G338" s="195">
        <v>0</v>
      </c>
      <c r="H338" s="195">
        <v>0</v>
      </c>
      <c r="I338" s="194">
        <f t="shared" si="5"/>
        <v>0</v>
      </c>
      <c r="J338" s="195"/>
    </row>
    <row r="339" spans="1:10">
      <c r="A339" s="1249"/>
      <c r="B339" s="196" t="s">
        <v>710</v>
      </c>
      <c r="C339" s="197" t="s">
        <v>710</v>
      </c>
      <c r="D339" s="200" t="s">
        <v>39</v>
      </c>
      <c r="E339" s="199">
        <v>1</v>
      </c>
      <c r="F339" s="195">
        <v>0</v>
      </c>
      <c r="G339" s="195">
        <v>0</v>
      </c>
      <c r="H339" s="195">
        <v>0</v>
      </c>
      <c r="I339" s="194">
        <f t="shared" si="5"/>
        <v>0</v>
      </c>
      <c r="J339" s="195"/>
    </row>
    <row r="340" spans="1:10">
      <c r="A340" s="1249"/>
      <c r="B340" s="196"/>
      <c r="D340" s="200" t="s">
        <v>43</v>
      </c>
      <c r="E340" s="199">
        <v>1</v>
      </c>
      <c r="F340" s="195">
        <v>0</v>
      </c>
      <c r="G340" s="195">
        <v>0</v>
      </c>
      <c r="H340" s="195">
        <v>0</v>
      </c>
      <c r="I340" s="194">
        <f t="shared" si="5"/>
        <v>0</v>
      </c>
      <c r="J340" s="195"/>
    </row>
    <row r="341" spans="1:10">
      <c r="A341" s="1249"/>
      <c r="B341" s="196"/>
      <c r="D341" s="200" t="s">
        <v>1387</v>
      </c>
      <c r="E341" s="199">
        <v>1</v>
      </c>
      <c r="F341" s="195">
        <v>0</v>
      </c>
      <c r="G341" s="195">
        <v>0</v>
      </c>
      <c r="H341" s="195">
        <v>0</v>
      </c>
      <c r="I341" s="194">
        <f t="shared" si="5"/>
        <v>0</v>
      </c>
      <c r="J341" s="195"/>
    </row>
    <row r="342" spans="1:10">
      <c r="A342" s="1249"/>
      <c r="B342" s="196" t="s">
        <v>711</v>
      </c>
      <c r="C342" s="197" t="s">
        <v>711</v>
      </c>
      <c r="D342" s="200" t="s">
        <v>39</v>
      </c>
      <c r="E342" s="199">
        <v>1</v>
      </c>
      <c r="F342" s="195">
        <v>0</v>
      </c>
      <c r="G342" s="195">
        <v>0</v>
      </c>
      <c r="H342" s="195">
        <v>0</v>
      </c>
      <c r="I342" s="194">
        <f t="shared" si="5"/>
        <v>0</v>
      </c>
      <c r="J342" s="195"/>
    </row>
    <row r="343" spans="1:10">
      <c r="A343" s="1249"/>
      <c r="B343" s="196"/>
      <c r="D343" s="200" t="s">
        <v>43</v>
      </c>
      <c r="E343" s="199">
        <v>1</v>
      </c>
      <c r="F343" s="195">
        <v>0</v>
      </c>
      <c r="G343" s="195">
        <v>0</v>
      </c>
      <c r="H343" s="195">
        <v>0</v>
      </c>
      <c r="I343" s="194">
        <f t="shared" si="5"/>
        <v>0</v>
      </c>
      <c r="J343" s="195"/>
    </row>
    <row r="344" spans="1:10">
      <c r="A344" s="1249"/>
      <c r="B344" s="196"/>
      <c r="D344" s="200" t="s">
        <v>1387</v>
      </c>
      <c r="E344" s="199">
        <v>1</v>
      </c>
      <c r="F344" s="195">
        <v>0</v>
      </c>
      <c r="G344" s="195">
        <v>0</v>
      </c>
      <c r="H344" s="195">
        <v>0</v>
      </c>
      <c r="I344" s="194">
        <f t="shared" si="5"/>
        <v>0</v>
      </c>
      <c r="J344" s="195"/>
    </row>
    <row r="345" spans="1:10">
      <c r="A345" s="1249"/>
      <c r="B345" s="196" t="s">
        <v>712</v>
      </c>
      <c r="C345" s="197" t="s">
        <v>712</v>
      </c>
      <c r="D345" s="200" t="s">
        <v>39</v>
      </c>
      <c r="E345" s="199">
        <v>1</v>
      </c>
      <c r="F345" s="195">
        <v>0</v>
      </c>
      <c r="G345" s="195">
        <v>0</v>
      </c>
      <c r="H345" s="195">
        <v>0</v>
      </c>
      <c r="I345" s="194">
        <f t="shared" si="5"/>
        <v>0</v>
      </c>
      <c r="J345" s="195"/>
    </row>
    <row r="346" spans="1:10">
      <c r="A346" s="1249"/>
      <c r="B346" s="196" t="s">
        <v>713</v>
      </c>
      <c r="C346" s="197" t="s">
        <v>713</v>
      </c>
      <c r="D346" s="200" t="s">
        <v>39</v>
      </c>
      <c r="E346" s="199">
        <v>1</v>
      </c>
      <c r="F346" s="195">
        <v>0</v>
      </c>
      <c r="G346" s="195">
        <v>0</v>
      </c>
      <c r="H346" s="195">
        <v>0</v>
      </c>
      <c r="I346" s="194">
        <f t="shared" si="5"/>
        <v>0</v>
      </c>
      <c r="J346" s="195"/>
    </row>
    <row r="347" spans="1:10">
      <c r="A347" s="1249"/>
      <c r="B347" s="196"/>
      <c r="D347" s="200" t="s">
        <v>43</v>
      </c>
      <c r="E347" s="199">
        <v>1</v>
      </c>
      <c r="F347" s="195">
        <v>0</v>
      </c>
      <c r="G347" s="195">
        <v>0</v>
      </c>
      <c r="H347" s="195">
        <v>0</v>
      </c>
      <c r="I347" s="194">
        <f t="shared" si="5"/>
        <v>0</v>
      </c>
      <c r="J347" s="195"/>
    </row>
    <row r="348" spans="1:10">
      <c r="A348" s="1249"/>
      <c r="B348" s="196" t="s">
        <v>714</v>
      </c>
      <c r="C348" s="197" t="s">
        <v>714</v>
      </c>
      <c r="D348" s="200" t="s">
        <v>39</v>
      </c>
      <c r="E348" s="199">
        <v>2</v>
      </c>
      <c r="F348" s="195">
        <v>0</v>
      </c>
      <c r="G348" s="195">
        <v>0</v>
      </c>
      <c r="H348" s="195">
        <v>0</v>
      </c>
      <c r="I348" s="194">
        <f t="shared" si="5"/>
        <v>0</v>
      </c>
      <c r="J348" s="195"/>
    </row>
    <row r="349" spans="1:10">
      <c r="A349" s="1249"/>
      <c r="B349" s="196"/>
      <c r="D349" s="200" t="s">
        <v>43</v>
      </c>
      <c r="E349" s="199">
        <v>1</v>
      </c>
      <c r="F349" s="195">
        <v>0</v>
      </c>
      <c r="G349" s="195">
        <v>0</v>
      </c>
      <c r="H349" s="195">
        <v>0</v>
      </c>
      <c r="I349" s="194">
        <f t="shared" si="5"/>
        <v>0</v>
      </c>
      <c r="J349" s="195"/>
    </row>
    <row r="350" spans="1:10">
      <c r="A350" s="1249"/>
      <c r="B350" s="196"/>
      <c r="D350" s="200" t="s">
        <v>1387</v>
      </c>
      <c r="E350" s="199">
        <v>1</v>
      </c>
      <c r="F350" s="195">
        <v>0</v>
      </c>
      <c r="G350" s="195">
        <v>0</v>
      </c>
      <c r="H350" s="195">
        <v>0</v>
      </c>
      <c r="I350" s="194">
        <f t="shared" si="5"/>
        <v>0</v>
      </c>
      <c r="J350" s="195"/>
    </row>
    <row r="351" spans="1:10">
      <c r="A351" s="1249"/>
      <c r="B351" s="196" t="s">
        <v>715</v>
      </c>
      <c r="C351" s="197" t="s">
        <v>715</v>
      </c>
      <c r="D351" s="200" t="s">
        <v>39</v>
      </c>
      <c r="E351" s="199">
        <v>1</v>
      </c>
      <c r="F351" s="195">
        <v>0</v>
      </c>
      <c r="G351" s="195">
        <v>0</v>
      </c>
      <c r="H351" s="195">
        <v>0</v>
      </c>
      <c r="I351" s="194">
        <f t="shared" si="5"/>
        <v>0</v>
      </c>
      <c r="J351" s="195"/>
    </row>
    <row r="352" spans="1:10">
      <c r="A352" s="1249"/>
      <c r="B352" s="196"/>
      <c r="D352" s="200" t="s">
        <v>43</v>
      </c>
      <c r="E352" s="199">
        <v>1</v>
      </c>
      <c r="F352" s="195">
        <v>0</v>
      </c>
      <c r="G352" s="195">
        <v>0</v>
      </c>
      <c r="H352" s="195">
        <v>0</v>
      </c>
      <c r="I352" s="194">
        <f t="shared" si="5"/>
        <v>0</v>
      </c>
      <c r="J352" s="195"/>
    </row>
    <row r="353" spans="1:10">
      <c r="A353" s="1249"/>
      <c r="B353" s="196" t="s">
        <v>716</v>
      </c>
      <c r="C353" s="197" t="s">
        <v>716</v>
      </c>
      <c r="D353" s="200" t="s">
        <v>39</v>
      </c>
      <c r="E353" s="199">
        <v>1</v>
      </c>
      <c r="F353" s="195">
        <v>0</v>
      </c>
      <c r="G353" s="195">
        <v>0</v>
      </c>
      <c r="H353" s="195">
        <v>0</v>
      </c>
      <c r="I353" s="194">
        <f t="shared" si="5"/>
        <v>0</v>
      </c>
      <c r="J353" s="195"/>
    </row>
    <row r="354" spans="1:10">
      <c r="A354" s="1249"/>
      <c r="B354" s="196"/>
      <c r="D354" s="200" t="s">
        <v>43</v>
      </c>
      <c r="E354" s="199">
        <v>1</v>
      </c>
      <c r="F354" s="195">
        <v>0</v>
      </c>
      <c r="G354" s="195">
        <v>0</v>
      </c>
      <c r="H354" s="195">
        <v>0</v>
      </c>
      <c r="I354" s="194">
        <f t="shared" si="5"/>
        <v>0</v>
      </c>
      <c r="J354" s="195"/>
    </row>
    <row r="355" spans="1:10">
      <c r="A355" s="1249"/>
      <c r="B355" s="196" t="s">
        <v>717</v>
      </c>
      <c r="C355" s="197" t="s">
        <v>717</v>
      </c>
      <c r="D355" s="200" t="s">
        <v>39</v>
      </c>
      <c r="E355" s="199">
        <v>1</v>
      </c>
      <c r="F355" s="195">
        <v>0</v>
      </c>
      <c r="G355" s="195">
        <v>0</v>
      </c>
      <c r="H355" s="195">
        <v>0</v>
      </c>
      <c r="I355" s="194">
        <f t="shared" si="5"/>
        <v>0</v>
      </c>
      <c r="J355" s="195"/>
    </row>
    <row r="356" spans="1:10">
      <c r="A356" s="1249"/>
      <c r="B356" s="196"/>
      <c r="D356" s="200" t="s">
        <v>43</v>
      </c>
      <c r="E356" s="199">
        <v>1</v>
      </c>
      <c r="F356" s="195">
        <v>0</v>
      </c>
      <c r="G356" s="195">
        <v>0</v>
      </c>
      <c r="H356" s="195">
        <v>0</v>
      </c>
      <c r="I356" s="194">
        <f t="shared" si="5"/>
        <v>0</v>
      </c>
      <c r="J356" s="195"/>
    </row>
    <row r="357" spans="1:10">
      <c r="A357" s="1249"/>
      <c r="B357" s="196" t="s">
        <v>718</v>
      </c>
      <c r="C357" s="197" t="s">
        <v>718</v>
      </c>
      <c r="D357" s="200" t="s">
        <v>39</v>
      </c>
      <c r="E357" s="199">
        <v>1</v>
      </c>
      <c r="F357" s="195">
        <v>0</v>
      </c>
      <c r="G357" s="195">
        <v>0</v>
      </c>
      <c r="H357" s="195">
        <v>0</v>
      </c>
      <c r="I357" s="194">
        <f t="shared" si="5"/>
        <v>0</v>
      </c>
      <c r="J357" s="195"/>
    </row>
    <row r="358" spans="1:10">
      <c r="A358" s="1249"/>
      <c r="B358" s="196"/>
      <c r="D358" s="200" t="s">
        <v>43</v>
      </c>
      <c r="E358" s="199">
        <v>1</v>
      </c>
      <c r="F358" s="195">
        <v>0</v>
      </c>
      <c r="G358" s="195">
        <v>0</v>
      </c>
      <c r="H358" s="195">
        <v>0</v>
      </c>
      <c r="I358" s="194">
        <f t="shared" si="5"/>
        <v>0</v>
      </c>
      <c r="J358" s="195"/>
    </row>
    <row r="359" spans="1:10">
      <c r="A359" s="1249"/>
      <c r="B359" s="196" t="s">
        <v>719</v>
      </c>
      <c r="C359" s="197" t="s">
        <v>719</v>
      </c>
      <c r="D359" s="200" t="s">
        <v>39</v>
      </c>
      <c r="E359" s="199">
        <v>1</v>
      </c>
      <c r="F359" s="195">
        <v>0</v>
      </c>
      <c r="G359" s="195">
        <v>0</v>
      </c>
      <c r="H359" s="195">
        <v>0</v>
      </c>
      <c r="I359" s="194">
        <f t="shared" si="5"/>
        <v>0</v>
      </c>
      <c r="J359" s="195"/>
    </row>
    <row r="360" spans="1:10">
      <c r="A360" s="1249"/>
      <c r="B360" s="196"/>
      <c r="D360" s="200" t="s">
        <v>43</v>
      </c>
      <c r="E360" s="199">
        <v>1</v>
      </c>
      <c r="F360" s="195">
        <v>0</v>
      </c>
      <c r="G360" s="195">
        <v>0</v>
      </c>
      <c r="H360" s="195">
        <v>0</v>
      </c>
      <c r="I360" s="194">
        <f t="shared" si="5"/>
        <v>0</v>
      </c>
      <c r="J360" s="195"/>
    </row>
    <row r="361" spans="1:10">
      <c r="A361" s="1249"/>
      <c r="B361" s="196" t="s">
        <v>720</v>
      </c>
      <c r="C361" s="197" t="s">
        <v>720</v>
      </c>
      <c r="D361" s="200" t="s">
        <v>39</v>
      </c>
      <c r="E361" s="199">
        <v>1</v>
      </c>
      <c r="F361" s="195">
        <v>0</v>
      </c>
      <c r="G361" s="195">
        <v>0</v>
      </c>
      <c r="H361" s="195">
        <v>0</v>
      </c>
      <c r="I361" s="194">
        <f t="shared" si="5"/>
        <v>0</v>
      </c>
      <c r="J361" s="195"/>
    </row>
    <row r="362" spans="1:10">
      <c r="A362" s="1249"/>
      <c r="B362" s="196"/>
      <c r="D362" s="200" t="s">
        <v>43</v>
      </c>
      <c r="E362" s="199">
        <v>1</v>
      </c>
      <c r="F362" s="195">
        <v>0</v>
      </c>
      <c r="G362" s="195">
        <v>0</v>
      </c>
      <c r="H362" s="195">
        <v>0</v>
      </c>
      <c r="I362" s="194">
        <f t="shared" si="5"/>
        <v>0</v>
      </c>
      <c r="J362" s="195"/>
    </row>
    <row r="363" spans="1:10">
      <c r="A363" s="1249"/>
      <c r="B363" s="196" t="s">
        <v>721</v>
      </c>
      <c r="C363" s="197" t="s">
        <v>721</v>
      </c>
      <c r="D363" s="200" t="s">
        <v>39</v>
      </c>
      <c r="E363" s="199">
        <v>1</v>
      </c>
      <c r="F363" s="195">
        <v>0</v>
      </c>
      <c r="G363" s="195">
        <v>0</v>
      </c>
      <c r="H363" s="195">
        <v>0</v>
      </c>
      <c r="I363" s="194">
        <f t="shared" si="5"/>
        <v>0</v>
      </c>
      <c r="J363" s="195"/>
    </row>
    <row r="364" spans="1:10">
      <c r="A364" s="1249"/>
      <c r="B364" s="196" t="s">
        <v>722</v>
      </c>
      <c r="C364" s="197" t="s">
        <v>722</v>
      </c>
      <c r="D364" s="200" t="s">
        <v>39</v>
      </c>
      <c r="E364" s="199">
        <v>1</v>
      </c>
      <c r="F364" s="195">
        <v>0</v>
      </c>
      <c r="G364" s="195">
        <v>0</v>
      </c>
      <c r="H364" s="195">
        <v>0</v>
      </c>
      <c r="I364" s="194">
        <f t="shared" si="5"/>
        <v>0</v>
      </c>
      <c r="J364" s="195"/>
    </row>
    <row r="365" spans="1:10">
      <c r="A365" s="1249"/>
      <c r="B365" s="196" t="s">
        <v>723</v>
      </c>
      <c r="C365" s="197" t="s">
        <v>723</v>
      </c>
      <c r="D365" s="200" t="s">
        <v>39</v>
      </c>
      <c r="E365" s="199">
        <v>1</v>
      </c>
      <c r="F365" s="195">
        <v>0</v>
      </c>
      <c r="G365" s="195">
        <v>0</v>
      </c>
      <c r="H365" s="195">
        <v>0</v>
      </c>
      <c r="I365" s="194">
        <f t="shared" si="5"/>
        <v>0</v>
      </c>
      <c r="J365" s="195"/>
    </row>
    <row r="366" spans="1:10">
      <c r="A366" s="1249"/>
      <c r="B366" s="196" t="s">
        <v>724</v>
      </c>
      <c r="C366" s="197" t="s">
        <v>724</v>
      </c>
      <c r="D366" s="200" t="s">
        <v>39</v>
      </c>
      <c r="E366" s="199">
        <v>1</v>
      </c>
      <c r="F366" s="195">
        <v>0</v>
      </c>
      <c r="G366" s="195">
        <v>0</v>
      </c>
      <c r="H366" s="195">
        <v>0</v>
      </c>
      <c r="I366" s="194">
        <f t="shared" si="5"/>
        <v>0</v>
      </c>
      <c r="J366" s="195"/>
    </row>
    <row r="367" spans="1:10">
      <c r="A367" s="1249"/>
      <c r="B367" s="196"/>
      <c r="D367" s="200" t="s">
        <v>43</v>
      </c>
      <c r="E367" s="199">
        <v>1</v>
      </c>
      <c r="F367" s="195">
        <v>0</v>
      </c>
      <c r="G367" s="195">
        <v>0</v>
      </c>
      <c r="H367" s="195">
        <v>0</v>
      </c>
      <c r="I367" s="194">
        <f t="shared" si="5"/>
        <v>0</v>
      </c>
      <c r="J367" s="195"/>
    </row>
    <row r="368" spans="1:10">
      <c r="A368" s="1249"/>
      <c r="B368" s="196" t="s">
        <v>725</v>
      </c>
      <c r="C368" s="197" t="s">
        <v>725</v>
      </c>
      <c r="D368" s="200" t="s">
        <v>39</v>
      </c>
      <c r="E368" s="199">
        <v>1</v>
      </c>
      <c r="F368" s="195">
        <v>0</v>
      </c>
      <c r="G368" s="195">
        <v>0</v>
      </c>
      <c r="H368" s="195">
        <v>0</v>
      </c>
      <c r="I368" s="194">
        <f t="shared" si="5"/>
        <v>0</v>
      </c>
      <c r="J368" s="195"/>
    </row>
    <row r="369" spans="1:10">
      <c r="A369" s="1249"/>
      <c r="B369" s="196"/>
      <c r="D369" s="200" t="s">
        <v>43</v>
      </c>
      <c r="E369" s="199">
        <v>1</v>
      </c>
      <c r="F369" s="195">
        <v>0</v>
      </c>
      <c r="G369" s="195">
        <v>0</v>
      </c>
      <c r="H369" s="195">
        <v>0</v>
      </c>
      <c r="I369" s="194">
        <f t="shared" si="5"/>
        <v>0</v>
      </c>
      <c r="J369" s="195"/>
    </row>
    <row r="370" spans="1:10">
      <c r="A370" s="1249"/>
      <c r="B370" s="196"/>
      <c r="D370" s="200" t="s">
        <v>1387</v>
      </c>
      <c r="E370" s="199">
        <v>1</v>
      </c>
      <c r="F370" s="195">
        <v>0</v>
      </c>
      <c r="G370" s="195">
        <v>0</v>
      </c>
      <c r="H370" s="195">
        <v>0</v>
      </c>
      <c r="I370" s="194">
        <f t="shared" si="5"/>
        <v>0</v>
      </c>
      <c r="J370" s="195"/>
    </row>
    <row r="371" spans="1:10">
      <c r="A371" s="1249"/>
      <c r="B371" s="196" t="s">
        <v>726</v>
      </c>
      <c r="C371" s="197" t="s">
        <v>726</v>
      </c>
      <c r="D371" s="200" t="s">
        <v>39</v>
      </c>
      <c r="E371" s="199">
        <v>1</v>
      </c>
      <c r="F371" s="195">
        <v>0</v>
      </c>
      <c r="G371" s="195">
        <v>0</v>
      </c>
      <c r="H371" s="195">
        <v>0</v>
      </c>
      <c r="I371" s="194">
        <f t="shared" si="5"/>
        <v>0</v>
      </c>
      <c r="J371" s="195"/>
    </row>
    <row r="372" spans="1:10">
      <c r="A372" s="1249"/>
      <c r="B372" s="196"/>
      <c r="D372" s="200" t="s">
        <v>1399</v>
      </c>
      <c r="E372" s="199">
        <v>1</v>
      </c>
      <c r="F372" s="195">
        <v>0</v>
      </c>
      <c r="G372" s="195">
        <v>0</v>
      </c>
      <c r="H372" s="195">
        <v>0</v>
      </c>
      <c r="I372" s="194">
        <f t="shared" si="5"/>
        <v>0</v>
      </c>
      <c r="J372" s="195"/>
    </row>
    <row r="373" spans="1:10">
      <c r="A373" s="1249"/>
      <c r="B373" s="196" t="s">
        <v>727</v>
      </c>
      <c r="C373" s="197" t="s">
        <v>727</v>
      </c>
      <c r="D373" s="200" t="s">
        <v>39</v>
      </c>
      <c r="E373" s="199">
        <v>1</v>
      </c>
      <c r="F373" s="195">
        <v>0</v>
      </c>
      <c r="G373" s="195">
        <v>0</v>
      </c>
      <c r="H373" s="195">
        <v>0</v>
      </c>
      <c r="I373" s="194">
        <f t="shared" si="5"/>
        <v>0</v>
      </c>
      <c r="J373" s="195"/>
    </row>
    <row r="374" spans="1:10">
      <c r="A374" s="1249"/>
      <c r="B374" s="196"/>
      <c r="D374" s="200" t="s">
        <v>1399</v>
      </c>
      <c r="E374" s="199">
        <v>1</v>
      </c>
      <c r="F374" s="195">
        <v>0</v>
      </c>
      <c r="G374" s="195">
        <v>0</v>
      </c>
      <c r="H374" s="195">
        <v>0</v>
      </c>
      <c r="I374" s="194">
        <f t="shared" si="5"/>
        <v>0</v>
      </c>
      <c r="J374" s="195"/>
    </row>
    <row r="375" spans="1:10">
      <c r="A375" s="1249"/>
      <c r="B375" s="196" t="s">
        <v>728</v>
      </c>
      <c r="C375" s="197" t="s">
        <v>728</v>
      </c>
      <c r="D375" s="200" t="s">
        <v>39</v>
      </c>
      <c r="E375" s="199">
        <v>1</v>
      </c>
      <c r="F375" s="195">
        <v>0</v>
      </c>
      <c r="G375" s="195">
        <v>0</v>
      </c>
      <c r="H375" s="195">
        <v>0</v>
      </c>
      <c r="I375" s="194">
        <f t="shared" si="5"/>
        <v>0</v>
      </c>
      <c r="J375" s="195"/>
    </row>
    <row r="376" spans="1:10">
      <c r="A376" s="1249"/>
      <c r="B376" s="196"/>
      <c r="D376" s="200" t="s">
        <v>1399</v>
      </c>
      <c r="E376" s="199">
        <v>1</v>
      </c>
      <c r="F376" s="195">
        <v>0</v>
      </c>
      <c r="G376" s="195">
        <v>0</v>
      </c>
      <c r="H376" s="195">
        <v>0</v>
      </c>
      <c r="I376" s="194">
        <f t="shared" si="5"/>
        <v>0</v>
      </c>
      <c r="J376" s="195"/>
    </row>
    <row r="377" spans="1:10">
      <c r="A377" s="1249"/>
      <c r="B377" s="196" t="s">
        <v>729</v>
      </c>
      <c r="C377" s="197" t="s">
        <v>729</v>
      </c>
      <c r="D377" s="200" t="s">
        <v>39</v>
      </c>
      <c r="E377" s="199">
        <v>1</v>
      </c>
      <c r="F377" s="195">
        <v>0</v>
      </c>
      <c r="G377" s="195">
        <v>0</v>
      </c>
      <c r="H377" s="195">
        <v>0</v>
      </c>
      <c r="I377" s="194">
        <f t="shared" si="5"/>
        <v>0</v>
      </c>
      <c r="J377" s="195"/>
    </row>
    <row r="378" spans="1:10">
      <c r="A378" s="1249"/>
      <c r="B378" s="196"/>
      <c r="D378" s="200" t="s">
        <v>43</v>
      </c>
      <c r="E378" s="199">
        <v>1</v>
      </c>
      <c r="F378" s="195">
        <v>0</v>
      </c>
      <c r="G378" s="195">
        <v>0</v>
      </c>
      <c r="H378" s="195">
        <v>0</v>
      </c>
      <c r="I378" s="194">
        <f t="shared" si="5"/>
        <v>0</v>
      </c>
      <c r="J378" s="195"/>
    </row>
    <row r="379" spans="1:10">
      <c r="A379" s="1249"/>
      <c r="B379" s="196"/>
      <c r="D379" s="200" t="s">
        <v>1399</v>
      </c>
      <c r="E379" s="199">
        <v>1</v>
      </c>
      <c r="F379" s="195">
        <v>0</v>
      </c>
      <c r="G379" s="195">
        <v>0</v>
      </c>
      <c r="H379" s="195">
        <v>0</v>
      </c>
      <c r="I379" s="194">
        <f t="shared" si="5"/>
        <v>0</v>
      </c>
      <c r="J379" s="195"/>
    </row>
    <row r="380" spans="1:10">
      <c r="A380" s="1249"/>
      <c r="B380" s="196" t="s">
        <v>730</v>
      </c>
      <c r="C380" s="197" t="s">
        <v>730</v>
      </c>
      <c r="D380" s="200" t="s">
        <v>39</v>
      </c>
      <c r="E380" s="199">
        <v>1</v>
      </c>
      <c r="F380" s="195">
        <v>0</v>
      </c>
      <c r="G380" s="195">
        <v>0</v>
      </c>
      <c r="H380" s="195">
        <v>0</v>
      </c>
      <c r="I380" s="194">
        <f t="shared" si="5"/>
        <v>0</v>
      </c>
      <c r="J380" s="195"/>
    </row>
    <row r="381" spans="1:10">
      <c r="A381" s="1249"/>
      <c r="B381" s="196"/>
      <c r="D381" s="200" t="s">
        <v>43</v>
      </c>
      <c r="E381" s="199">
        <v>1</v>
      </c>
      <c r="F381" s="195">
        <v>0</v>
      </c>
      <c r="G381" s="195">
        <v>0</v>
      </c>
      <c r="H381" s="195">
        <v>0</v>
      </c>
      <c r="I381" s="194">
        <f t="shared" si="5"/>
        <v>0</v>
      </c>
      <c r="J381" s="195"/>
    </row>
    <row r="382" spans="1:10">
      <c r="A382" s="1249"/>
      <c r="B382" s="196" t="s">
        <v>731</v>
      </c>
      <c r="C382" s="197" t="s">
        <v>731</v>
      </c>
      <c r="D382" s="200" t="s">
        <v>39</v>
      </c>
      <c r="E382" s="199">
        <v>1</v>
      </c>
      <c r="F382" s="195">
        <v>0</v>
      </c>
      <c r="G382" s="195">
        <v>0</v>
      </c>
      <c r="H382" s="195">
        <v>0</v>
      </c>
      <c r="I382" s="194">
        <f t="shared" si="5"/>
        <v>0</v>
      </c>
      <c r="J382" s="195"/>
    </row>
    <row r="383" spans="1:10">
      <c r="A383" s="1249"/>
      <c r="B383" s="196" t="s">
        <v>732</v>
      </c>
      <c r="C383" s="197" t="s">
        <v>732</v>
      </c>
      <c r="D383" s="200" t="s">
        <v>39</v>
      </c>
      <c r="E383" s="199">
        <v>1</v>
      </c>
      <c r="F383" s="195">
        <v>0</v>
      </c>
      <c r="G383" s="195">
        <v>0</v>
      </c>
      <c r="H383" s="195">
        <v>0</v>
      </c>
      <c r="I383" s="194">
        <f t="shared" si="5"/>
        <v>0</v>
      </c>
      <c r="J383" s="195"/>
    </row>
    <row r="384" spans="1:10">
      <c r="A384" s="1249"/>
      <c r="B384" s="196" t="s">
        <v>733</v>
      </c>
      <c r="C384" s="197" t="s">
        <v>733</v>
      </c>
      <c r="D384" s="200" t="s">
        <v>39</v>
      </c>
      <c r="E384" s="199">
        <v>1</v>
      </c>
      <c r="F384" s="195">
        <v>0</v>
      </c>
      <c r="G384" s="195">
        <v>0</v>
      </c>
      <c r="H384" s="195">
        <v>0</v>
      </c>
      <c r="I384" s="194">
        <f t="shared" si="5"/>
        <v>0</v>
      </c>
      <c r="J384" s="195"/>
    </row>
    <row r="385" spans="1:10">
      <c r="A385" s="1249"/>
      <c r="B385" s="196" t="s">
        <v>734</v>
      </c>
      <c r="C385" s="197" t="s">
        <v>734</v>
      </c>
      <c r="D385" s="200" t="s">
        <v>39</v>
      </c>
      <c r="E385" s="199">
        <v>1</v>
      </c>
      <c r="F385" s="195">
        <v>0</v>
      </c>
      <c r="G385" s="195">
        <v>0</v>
      </c>
      <c r="H385" s="195">
        <v>0</v>
      </c>
      <c r="I385" s="194">
        <f t="shared" si="5"/>
        <v>0</v>
      </c>
      <c r="J385" s="195"/>
    </row>
    <row r="386" spans="1:10">
      <c r="A386" s="1250"/>
      <c r="B386" s="205"/>
      <c r="C386" s="206"/>
      <c r="D386" s="207" t="s">
        <v>43</v>
      </c>
      <c r="E386" s="193">
        <v>1</v>
      </c>
      <c r="F386" s="195">
        <v>0</v>
      </c>
      <c r="G386" s="195">
        <v>0</v>
      </c>
      <c r="H386" s="195">
        <v>0</v>
      </c>
      <c r="I386" s="194">
        <f t="shared" ref="I386:I449" si="6">ROUNDUP(((F386+G386+H386)/3)/E386*100%,2)</f>
        <v>0</v>
      </c>
      <c r="J386" s="195"/>
    </row>
    <row r="387" spans="1:10">
      <c r="A387" s="1248" t="s">
        <v>765</v>
      </c>
      <c r="B387" s="189" t="s">
        <v>765</v>
      </c>
      <c r="C387" s="190" t="s">
        <v>349</v>
      </c>
      <c r="D387" s="201" t="s">
        <v>39</v>
      </c>
      <c r="E387" s="192">
        <v>1</v>
      </c>
      <c r="F387" s="195">
        <v>0</v>
      </c>
      <c r="G387" s="195">
        <v>0</v>
      </c>
      <c r="H387" s="195">
        <v>0</v>
      </c>
      <c r="I387" s="194">
        <f t="shared" si="6"/>
        <v>0</v>
      </c>
      <c r="J387" s="195"/>
    </row>
    <row r="388" spans="1:10">
      <c r="A388" s="1250"/>
      <c r="B388" s="205"/>
      <c r="C388" s="206"/>
      <c r="D388" s="207" t="s">
        <v>43</v>
      </c>
      <c r="E388" s="193">
        <v>1</v>
      </c>
      <c r="F388" s="195">
        <v>0</v>
      </c>
      <c r="G388" s="195">
        <v>0</v>
      </c>
      <c r="H388" s="195">
        <v>0</v>
      </c>
      <c r="I388" s="194">
        <f t="shared" si="6"/>
        <v>0</v>
      </c>
      <c r="J388" s="195"/>
    </row>
    <row r="389" spans="1:10">
      <c r="A389" s="1248" t="s">
        <v>535</v>
      </c>
      <c r="B389" s="189" t="s">
        <v>535</v>
      </c>
      <c r="C389" s="190" t="s">
        <v>349</v>
      </c>
      <c r="D389" s="201" t="s">
        <v>39</v>
      </c>
      <c r="E389" s="192">
        <v>1</v>
      </c>
      <c r="F389" s="195">
        <v>0</v>
      </c>
      <c r="G389" s="195">
        <v>0</v>
      </c>
      <c r="H389" s="195">
        <v>0</v>
      </c>
      <c r="I389" s="194">
        <f t="shared" si="6"/>
        <v>0</v>
      </c>
      <c r="J389" s="195"/>
    </row>
    <row r="390" spans="1:10">
      <c r="A390" s="1250"/>
      <c r="B390" s="205"/>
      <c r="C390" s="206"/>
      <c r="D390" s="207" t="s">
        <v>43</v>
      </c>
      <c r="E390" s="193">
        <v>1</v>
      </c>
      <c r="F390" s="195">
        <v>0</v>
      </c>
      <c r="G390" s="195">
        <v>0</v>
      </c>
      <c r="H390" s="195">
        <v>0</v>
      </c>
      <c r="I390" s="194">
        <f t="shared" si="6"/>
        <v>0</v>
      </c>
      <c r="J390" s="195"/>
    </row>
    <row r="391" spans="1:10">
      <c r="A391" s="1248" t="s">
        <v>534</v>
      </c>
      <c r="B391" s="189" t="s">
        <v>534</v>
      </c>
      <c r="C391" s="190" t="s">
        <v>349</v>
      </c>
      <c r="D391" s="201" t="s">
        <v>39</v>
      </c>
      <c r="E391" s="192">
        <v>1</v>
      </c>
      <c r="F391" s="195">
        <v>0</v>
      </c>
      <c r="G391" s="195">
        <v>0</v>
      </c>
      <c r="H391" s="195">
        <v>0</v>
      </c>
      <c r="I391" s="194">
        <f t="shared" si="6"/>
        <v>0</v>
      </c>
      <c r="J391" s="195"/>
    </row>
    <row r="392" spans="1:10">
      <c r="A392" s="1250"/>
      <c r="B392" s="205"/>
      <c r="C392" s="206"/>
      <c r="D392" s="207" t="s">
        <v>43</v>
      </c>
      <c r="E392" s="193">
        <v>1</v>
      </c>
      <c r="F392" s="195">
        <v>0</v>
      </c>
      <c r="G392" s="195">
        <v>0</v>
      </c>
      <c r="H392" s="195">
        <v>0</v>
      </c>
      <c r="I392" s="194">
        <f t="shared" si="6"/>
        <v>0</v>
      </c>
      <c r="J392" s="195"/>
    </row>
    <row r="393" spans="1:10">
      <c r="A393" s="1248" t="s">
        <v>533</v>
      </c>
      <c r="B393" s="189" t="s">
        <v>533</v>
      </c>
      <c r="C393" s="190" t="s">
        <v>349</v>
      </c>
      <c r="D393" s="201" t="s">
        <v>39</v>
      </c>
      <c r="E393" s="192">
        <v>1</v>
      </c>
      <c r="F393" s="195">
        <v>0</v>
      </c>
      <c r="G393" s="195">
        <v>0</v>
      </c>
      <c r="H393" s="195">
        <v>0</v>
      </c>
      <c r="I393" s="194">
        <f t="shared" si="6"/>
        <v>0</v>
      </c>
      <c r="J393" s="195"/>
    </row>
    <row r="394" spans="1:10">
      <c r="A394" s="1250"/>
      <c r="B394" s="205"/>
      <c r="C394" s="206"/>
      <c r="D394" s="207" t="s">
        <v>43</v>
      </c>
      <c r="E394" s="193">
        <v>1</v>
      </c>
      <c r="F394" s="195">
        <v>0</v>
      </c>
      <c r="G394" s="195">
        <v>0</v>
      </c>
      <c r="H394" s="195">
        <v>0</v>
      </c>
      <c r="I394" s="194">
        <f t="shared" si="6"/>
        <v>0</v>
      </c>
      <c r="J394" s="195"/>
    </row>
    <row r="395" spans="1:10">
      <c r="A395" s="1248" t="s">
        <v>844</v>
      </c>
      <c r="B395" s="189" t="s">
        <v>845</v>
      </c>
      <c r="C395" s="190" t="s">
        <v>349</v>
      </c>
      <c r="D395" s="201" t="s">
        <v>39</v>
      </c>
      <c r="E395" s="192">
        <v>1</v>
      </c>
      <c r="F395" s="195">
        <v>0</v>
      </c>
      <c r="G395" s="195">
        <v>0</v>
      </c>
      <c r="H395" s="195">
        <v>0</v>
      </c>
      <c r="I395" s="194">
        <f t="shared" si="6"/>
        <v>0</v>
      </c>
      <c r="J395" s="195"/>
    </row>
    <row r="396" spans="1:10">
      <c r="A396" s="1249"/>
      <c r="B396" s="196"/>
      <c r="D396" s="200" t="s">
        <v>43</v>
      </c>
      <c r="E396" s="199">
        <v>1</v>
      </c>
      <c r="F396" s="195">
        <v>0</v>
      </c>
      <c r="G396" s="195">
        <v>0</v>
      </c>
      <c r="H396" s="195">
        <v>0</v>
      </c>
      <c r="I396" s="194">
        <f t="shared" si="6"/>
        <v>0</v>
      </c>
      <c r="J396" s="195"/>
    </row>
    <row r="397" spans="1:10">
      <c r="A397" s="1249"/>
      <c r="B397" s="196" t="s">
        <v>846</v>
      </c>
      <c r="C397" s="197" t="s">
        <v>349</v>
      </c>
      <c r="D397" s="200" t="s">
        <v>39</v>
      </c>
      <c r="E397" s="199">
        <v>1</v>
      </c>
      <c r="F397" s="195">
        <v>0</v>
      </c>
      <c r="G397" s="195">
        <v>0</v>
      </c>
      <c r="H397" s="195">
        <v>0</v>
      </c>
      <c r="I397" s="194">
        <f t="shared" si="6"/>
        <v>0</v>
      </c>
      <c r="J397" s="195"/>
    </row>
    <row r="398" spans="1:10">
      <c r="A398" s="46" t="s">
        <v>607</v>
      </c>
      <c r="B398" s="202" t="s">
        <v>566</v>
      </c>
      <c r="C398" s="203" t="s">
        <v>349</v>
      </c>
      <c r="D398" s="204" t="s">
        <v>1399</v>
      </c>
      <c r="E398" s="195">
        <v>2</v>
      </c>
      <c r="F398" s="195">
        <v>0</v>
      </c>
      <c r="G398" s="195">
        <v>0</v>
      </c>
      <c r="H398" s="195">
        <v>0</v>
      </c>
      <c r="I398" s="194">
        <f t="shared" si="6"/>
        <v>0</v>
      </c>
      <c r="J398" s="195"/>
    </row>
    <row r="399" spans="1:10">
      <c r="A399" s="46" t="s">
        <v>804</v>
      </c>
      <c r="B399" s="202" t="s">
        <v>760</v>
      </c>
      <c r="C399" s="203" t="s">
        <v>349</v>
      </c>
      <c r="D399" s="204" t="s">
        <v>39</v>
      </c>
      <c r="E399" s="195">
        <v>2</v>
      </c>
      <c r="F399" s="195">
        <v>0</v>
      </c>
      <c r="G399" s="195">
        <v>0</v>
      </c>
      <c r="H399" s="195">
        <v>0</v>
      </c>
      <c r="I399" s="194">
        <f t="shared" si="6"/>
        <v>0</v>
      </c>
      <c r="J399" s="195"/>
    </row>
    <row r="400" spans="1:10">
      <c r="A400" s="46" t="s">
        <v>1913</v>
      </c>
      <c r="B400" s="202" t="s">
        <v>853</v>
      </c>
      <c r="C400" s="203" t="s">
        <v>349</v>
      </c>
      <c r="D400" s="204" t="s">
        <v>39</v>
      </c>
      <c r="E400" s="195">
        <v>2</v>
      </c>
      <c r="F400" s="195">
        <v>0</v>
      </c>
      <c r="G400" s="195">
        <v>0</v>
      </c>
      <c r="H400" s="195">
        <v>0</v>
      </c>
      <c r="I400" s="194">
        <f t="shared" si="6"/>
        <v>0</v>
      </c>
      <c r="J400" s="195"/>
    </row>
    <row r="401" spans="1:10">
      <c r="A401" s="921" t="s">
        <v>794</v>
      </c>
      <c r="B401" s="189" t="s">
        <v>789</v>
      </c>
      <c r="C401" s="190" t="s">
        <v>349</v>
      </c>
      <c r="D401" s="201" t="s">
        <v>39</v>
      </c>
      <c r="E401" s="192">
        <v>2</v>
      </c>
      <c r="F401" s="195">
        <v>0</v>
      </c>
      <c r="G401" s="195">
        <v>0</v>
      </c>
      <c r="H401" s="195">
        <v>0</v>
      </c>
      <c r="I401" s="194">
        <f t="shared" si="6"/>
        <v>0</v>
      </c>
      <c r="J401" s="195"/>
    </row>
    <row r="402" spans="1:10">
      <c r="A402" s="46" t="s">
        <v>859</v>
      </c>
      <c r="B402" s="202" t="s">
        <v>860</v>
      </c>
      <c r="C402" s="203" t="s">
        <v>349</v>
      </c>
      <c r="D402" s="204" t="s">
        <v>39</v>
      </c>
      <c r="E402" s="195">
        <v>2</v>
      </c>
      <c r="F402" s="195">
        <v>0</v>
      </c>
      <c r="G402" s="195">
        <v>0</v>
      </c>
      <c r="H402" s="195">
        <v>0</v>
      </c>
      <c r="I402" s="194">
        <f t="shared" si="6"/>
        <v>0</v>
      </c>
      <c r="J402" s="195"/>
    </row>
    <row r="403" spans="1:10">
      <c r="A403" s="46" t="s">
        <v>536</v>
      </c>
      <c r="B403" s="202" t="s">
        <v>537</v>
      </c>
      <c r="C403" s="203" t="s">
        <v>349</v>
      </c>
      <c r="D403" s="204" t="s">
        <v>39</v>
      </c>
      <c r="E403" s="195">
        <v>1</v>
      </c>
      <c r="F403" s="195">
        <v>0</v>
      </c>
      <c r="G403" s="195">
        <v>0</v>
      </c>
      <c r="H403" s="195">
        <v>0</v>
      </c>
      <c r="I403" s="194">
        <f t="shared" si="6"/>
        <v>0</v>
      </c>
      <c r="J403" s="195"/>
    </row>
    <row r="404" spans="1:10">
      <c r="A404" s="46" t="s">
        <v>805</v>
      </c>
      <c r="B404" s="202" t="s">
        <v>806</v>
      </c>
      <c r="C404" s="203" t="s">
        <v>349</v>
      </c>
      <c r="D404" s="204" t="s">
        <v>39</v>
      </c>
      <c r="E404" s="195">
        <v>2</v>
      </c>
      <c r="F404" s="195">
        <v>0</v>
      </c>
      <c r="G404" s="195">
        <v>0</v>
      </c>
      <c r="H404" s="195">
        <v>0</v>
      </c>
      <c r="I404" s="194">
        <f t="shared" si="6"/>
        <v>0</v>
      </c>
      <c r="J404" s="195"/>
    </row>
    <row r="405" spans="1:10">
      <c r="A405" s="921" t="s">
        <v>588</v>
      </c>
      <c r="B405" s="189" t="s">
        <v>589</v>
      </c>
      <c r="C405" s="190" t="s">
        <v>349</v>
      </c>
      <c r="D405" s="201" t="s">
        <v>39</v>
      </c>
      <c r="E405" s="192">
        <v>2</v>
      </c>
      <c r="F405" s="195">
        <v>0</v>
      </c>
      <c r="G405" s="195">
        <v>0</v>
      </c>
      <c r="H405" s="195">
        <v>0</v>
      </c>
      <c r="I405" s="194">
        <f t="shared" si="6"/>
        <v>0</v>
      </c>
      <c r="J405" s="195"/>
    </row>
    <row r="406" spans="1:10">
      <c r="A406" s="1248" t="s">
        <v>857</v>
      </c>
      <c r="B406" s="189" t="s">
        <v>824</v>
      </c>
      <c r="C406" s="190" t="s">
        <v>349</v>
      </c>
      <c r="D406" s="201" t="s">
        <v>39</v>
      </c>
      <c r="E406" s="192">
        <v>2</v>
      </c>
      <c r="F406" s="195">
        <v>0</v>
      </c>
      <c r="G406" s="195">
        <v>0</v>
      </c>
      <c r="H406" s="195">
        <v>0</v>
      </c>
      <c r="I406" s="194">
        <f t="shared" si="6"/>
        <v>0</v>
      </c>
      <c r="J406" s="195"/>
    </row>
    <row r="407" spans="1:10">
      <c r="A407" s="1249"/>
      <c r="B407" s="196" t="s">
        <v>858</v>
      </c>
      <c r="C407" s="197" t="s">
        <v>349</v>
      </c>
      <c r="D407" s="200" t="s">
        <v>77</v>
      </c>
      <c r="E407" s="199">
        <v>2</v>
      </c>
      <c r="F407" s="195">
        <v>0</v>
      </c>
      <c r="G407" s="195">
        <v>0</v>
      </c>
      <c r="H407" s="195">
        <v>0</v>
      </c>
      <c r="I407" s="194">
        <f t="shared" si="6"/>
        <v>0</v>
      </c>
      <c r="J407" s="195"/>
    </row>
    <row r="408" spans="1:10">
      <c r="A408" s="1254"/>
      <c r="B408" s="205"/>
      <c r="C408" s="206"/>
      <c r="D408" s="207" t="s">
        <v>53</v>
      </c>
      <c r="E408" s="193">
        <v>2</v>
      </c>
      <c r="F408" s="195">
        <v>2</v>
      </c>
      <c r="G408" s="195">
        <v>2</v>
      </c>
      <c r="H408" s="195">
        <v>0</v>
      </c>
      <c r="I408" s="194">
        <f t="shared" si="6"/>
        <v>0.67</v>
      </c>
      <c r="J408" s="195"/>
    </row>
    <row r="409" spans="1:10">
      <c r="A409" s="1248" t="s">
        <v>773</v>
      </c>
      <c r="B409" s="189" t="s">
        <v>774</v>
      </c>
      <c r="C409" s="190" t="s">
        <v>349</v>
      </c>
      <c r="D409" s="201" t="s">
        <v>39</v>
      </c>
      <c r="E409" s="192">
        <v>2</v>
      </c>
      <c r="F409" s="195">
        <v>0</v>
      </c>
      <c r="G409" s="195">
        <v>0</v>
      </c>
      <c r="H409" s="195">
        <v>0</v>
      </c>
      <c r="I409" s="194">
        <f t="shared" si="6"/>
        <v>0</v>
      </c>
      <c r="J409" s="195"/>
    </row>
    <row r="410" spans="1:10">
      <c r="A410" s="1249"/>
      <c r="B410" s="196" t="s">
        <v>775</v>
      </c>
      <c r="C410" s="197" t="s">
        <v>349</v>
      </c>
      <c r="D410" s="200" t="s">
        <v>39</v>
      </c>
      <c r="E410" s="199">
        <v>4</v>
      </c>
      <c r="F410" s="195">
        <v>0</v>
      </c>
      <c r="G410" s="195">
        <v>0</v>
      </c>
      <c r="H410" s="195">
        <v>0</v>
      </c>
      <c r="I410" s="194">
        <f t="shared" si="6"/>
        <v>0</v>
      </c>
      <c r="J410" s="195"/>
    </row>
    <row r="411" spans="1:10">
      <c r="A411" s="1249"/>
      <c r="B411" s="196" t="s">
        <v>776</v>
      </c>
      <c r="C411" s="197" t="s">
        <v>349</v>
      </c>
      <c r="D411" s="200" t="s">
        <v>43</v>
      </c>
      <c r="E411" s="199">
        <v>3</v>
      </c>
      <c r="F411" s="195">
        <v>0</v>
      </c>
      <c r="G411" s="195">
        <v>0</v>
      </c>
      <c r="H411" s="195">
        <v>0</v>
      </c>
      <c r="I411" s="194">
        <f t="shared" si="6"/>
        <v>0</v>
      </c>
      <c r="J411" s="195"/>
    </row>
    <row r="412" spans="1:10">
      <c r="A412" s="1249"/>
      <c r="B412" s="196" t="s">
        <v>777</v>
      </c>
      <c r="C412" s="197" t="s">
        <v>349</v>
      </c>
      <c r="D412" s="200" t="s">
        <v>43</v>
      </c>
      <c r="E412" s="199">
        <v>1</v>
      </c>
      <c r="F412" s="195">
        <v>0</v>
      </c>
      <c r="G412" s="195">
        <v>0</v>
      </c>
      <c r="H412" s="195">
        <v>0</v>
      </c>
      <c r="I412" s="194">
        <f t="shared" si="6"/>
        <v>0</v>
      </c>
      <c r="J412" s="195"/>
    </row>
    <row r="413" spans="1:10">
      <c r="A413" s="1249"/>
      <c r="B413" s="196" t="s">
        <v>779</v>
      </c>
      <c r="C413" s="197" t="s">
        <v>349</v>
      </c>
      <c r="D413" s="200" t="s">
        <v>1400</v>
      </c>
      <c r="E413" s="199">
        <v>1</v>
      </c>
      <c r="F413" s="195">
        <v>0</v>
      </c>
      <c r="G413" s="195">
        <v>0</v>
      </c>
      <c r="H413" s="195">
        <v>0</v>
      </c>
      <c r="I413" s="194">
        <f t="shared" si="6"/>
        <v>0</v>
      </c>
      <c r="J413" s="195"/>
    </row>
    <row r="414" spans="1:10">
      <c r="A414" s="1253"/>
      <c r="B414" s="196"/>
      <c r="D414" s="198" t="s">
        <v>53</v>
      </c>
      <c r="E414" s="199">
        <v>2</v>
      </c>
      <c r="F414" s="195">
        <v>2</v>
      </c>
      <c r="G414" s="195">
        <v>2</v>
      </c>
      <c r="H414" s="195">
        <v>0</v>
      </c>
      <c r="I414" s="194">
        <f t="shared" si="6"/>
        <v>0.67</v>
      </c>
      <c r="J414" s="195"/>
    </row>
    <row r="415" spans="1:10">
      <c r="A415" s="1249"/>
      <c r="B415" s="196" t="s">
        <v>780</v>
      </c>
      <c r="C415" s="197" t="s">
        <v>349</v>
      </c>
      <c r="D415" s="200" t="s">
        <v>1400</v>
      </c>
      <c r="E415" s="199">
        <v>2</v>
      </c>
      <c r="F415" s="195">
        <v>0</v>
      </c>
      <c r="G415" s="195">
        <v>0</v>
      </c>
      <c r="H415" s="195">
        <v>0</v>
      </c>
      <c r="I415" s="194">
        <f t="shared" si="6"/>
        <v>0</v>
      </c>
      <c r="J415" s="195"/>
    </row>
    <row r="416" spans="1:10">
      <c r="A416" s="1249"/>
      <c r="B416" s="196" t="s">
        <v>781</v>
      </c>
      <c r="C416" s="197" t="s">
        <v>349</v>
      </c>
      <c r="D416" s="200" t="s">
        <v>43</v>
      </c>
      <c r="E416" s="199">
        <v>1</v>
      </c>
      <c r="F416" s="195">
        <v>0</v>
      </c>
      <c r="G416" s="195">
        <v>0</v>
      </c>
      <c r="H416" s="195">
        <v>0</v>
      </c>
      <c r="I416" s="194">
        <f t="shared" si="6"/>
        <v>0</v>
      </c>
      <c r="J416" s="195"/>
    </row>
    <row r="417" spans="1:10">
      <c r="A417" s="1249"/>
      <c r="B417" s="196" t="s">
        <v>782</v>
      </c>
      <c r="C417" s="197" t="s">
        <v>349</v>
      </c>
      <c r="D417" s="200" t="s">
        <v>1387</v>
      </c>
      <c r="E417" s="199">
        <v>1</v>
      </c>
      <c r="F417" s="195">
        <v>0</v>
      </c>
      <c r="G417" s="195">
        <v>0</v>
      </c>
      <c r="H417" s="195">
        <v>0</v>
      </c>
      <c r="I417" s="194">
        <f t="shared" si="6"/>
        <v>0</v>
      </c>
      <c r="J417" s="195"/>
    </row>
    <row r="418" spans="1:10">
      <c r="A418" s="1249"/>
      <c r="B418" s="196" t="s">
        <v>783</v>
      </c>
      <c r="C418" s="197" t="s">
        <v>349</v>
      </c>
      <c r="D418" s="200" t="s">
        <v>43</v>
      </c>
      <c r="E418" s="199">
        <v>1</v>
      </c>
      <c r="F418" s="195">
        <v>0</v>
      </c>
      <c r="G418" s="195">
        <v>0</v>
      </c>
      <c r="H418" s="195">
        <v>0</v>
      </c>
      <c r="I418" s="194">
        <f t="shared" si="6"/>
        <v>0</v>
      </c>
      <c r="J418" s="195"/>
    </row>
    <row r="419" spans="1:10">
      <c r="A419" s="1249"/>
      <c r="B419" s="196" t="s">
        <v>784</v>
      </c>
      <c r="C419" s="197" t="s">
        <v>349</v>
      </c>
      <c r="D419" s="200" t="s">
        <v>43</v>
      </c>
      <c r="E419" s="199">
        <v>1</v>
      </c>
      <c r="F419" s="195">
        <v>0</v>
      </c>
      <c r="G419" s="195">
        <v>0</v>
      </c>
      <c r="H419" s="195">
        <v>0</v>
      </c>
      <c r="I419" s="194">
        <f t="shared" si="6"/>
        <v>0</v>
      </c>
      <c r="J419" s="195"/>
    </row>
    <row r="420" spans="1:10">
      <c r="A420" s="1249"/>
      <c r="B420" s="196" t="s">
        <v>38</v>
      </c>
      <c r="C420" s="197" t="s">
        <v>349</v>
      </c>
      <c r="D420" s="200" t="s">
        <v>43</v>
      </c>
      <c r="E420" s="199">
        <v>2</v>
      </c>
      <c r="F420" s="195">
        <v>0</v>
      </c>
      <c r="G420" s="195">
        <v>0</v>
      </c>
      <c r="H420" s="195">
        <v>0</v>
      </c>
      <c r="I420" s="194">
        <f t="shared" si="6"/>
        <v>0</v>
      </c>
      <c r="J420" s="195"/>
    </row>
    <row r="421" spans="1:10">
      <c r="A421" s="1249"/>
      <c r="B421" s="196" t="s">
        <v>38</v>
      </c>
      <c r="C421" s="197" t="s">
        <v>349</v>
      </c>
      <c r="D421" s="200" t="s">
        <v>43</v>
      </c>
      <c r="E421" s="199">
        <v>1</v>
      </c>
      <c r="F421" s="195">
        <v>0</v>
      </c>
      <c r="G421" s="195">
        <v>0</v>
      </c>
      <c r="H421" s="195">
        <v>0</v>
      </c>
      <c r="I421" s="194">
        <f t="shared" si="6"/>
        <v>0</v>
      </c>
      <c r="J421" s="195"/>
    </row>
    <row r="422" spans="1:10">
      <c r="A422" s="1249"/>
      <c r="B422" s="208" t="s">
        <v>778</v>
      </c>
      <c r="C422" s="197" t="s">
        <v>349</v>
      </c>
      <c r="D422" s="198" t="s">
        <v>1905</v>
      </c>
      <c r="E422" s="199">
        <v>2</v>
      </c>
      <c r="F422" s="195">
        <v>0</v>
      </c>
      <c r="G422" s="195">
        <v>0</v>
      </c>
      <c r="H422" s="195">
        <v>0</v>
      </c>
      <c r="I422" s="194">
        <f t="shared" si="6"/>
        <v>0</v>
      </c>
      <c r="J422" s="195"/>
    </row>
    <row r="423" spans="1:10">
      <c r="A423" s="1248" t="s">
        <v>704</v>
      </c>
      <c r="B423" s="189" t="s">
        <v>636</v>
      </c>
      <c r="C423" s="190" t="s">
        <v>636</v>
      </c>
      <c r="D423" s="201" t="s">
        <v>1905</v>
      </c>
      <c r="E423" s="192">
        <v>2</v>
      </c>
      <c r="F423" s="195">
        <v>0</v>
      </c>
      <c r="G423" s="195">
        <v>0</v>
      </c>
      <c r="H423" s="195">
        <v>0</v>
      </c>
      <c r="I423" s="194">
        <f t="shared" si="6"/>
        <v>0</v>
      </c>
      <c r="J423" s="195"/>
    </row>
    <row r="424" spans="1:10">
      <c r="A424" s="1250"/>
      <c r="B424" s="205"/>
      <c r="C424" s="206"/>
      <c r="D424" s="207" t="s">
        <v>53</v>
      </c>
      <c r="E424" s="193">
        <v>2</v>
      </c>
      <c r="F424" s="195">
        <v>2</v>
      </c>
      <c r="G424" s="195">
        <v>2</v>
      </c>
      <c r="H424" s="195">
        <v>0</v>
      </c>
      <c r="I424" s="194">
        <f t="shared" si="6"/>
        <v>0.67</v>
      </c>
      <c r="J424" s="195"/>
    </row>
    <row r="425" spans="1:10">
      <c r="A425" s="46" t="s">
        <v>605</v>
      </c>
      <c r="B425" s="202" t="s">
        <v>606</v>
      </c>
      <c r="C425" s="203" t="s">
        <v>349</v>
      </c>
      <c r="D425" s="204" t="s">
        <v>39</v>
      </c>
      <c r="E425" s="195">
        <v>2</v>
      </c>
      <c r="F425" s="195">
        <v>0</v>
      </c>
      <c r="G425" s="195">
        <v>0</v>
      </c>
      <c r="H425" s="195">
        <v>0</v>
      </c>
      <c r="I425" s="194">
        <f t="shared" si="6"/>
        <v>0</v>
      </c>
      <c r="J425" s="195"/>
    </row>
    <row r="426" spans="1:10">
      <c r="A426" s="46" t="s">
        <v>809</v>
      </c>
      <c r="B426" s="202" t="s">
        <v>810</v>
      </c>
      <c r="C426" s="203" t="s">
        <v>349</v>
      </c>
      <c r="D426" s="204" t="s">
        <v>39</v>
      </c>
      <c r="E426" s="195">
        <v>2</v>
      </c>
      <c r="F426" s="195">
        <v>0</v>
      </c>
      <c r="G426" s="195">
        <v>0</v>
      </c>
      <c r="H426" s="195">
        <v>0</v>
      </c>
      <c r="I426" s="194">
        <f t="shared" si="6"/>
        <v>0</v>
      </c>
      <c r="J426" s="195"/>
    </row>
    <row r="427" spans="1:10">
      <c r="A427" s="46" t="s">
        <v>609</v>
      </c>
      <c r="B427" s="202" t="s">
        <v>610</v>
      </c>
      <c r="C427" s="203" t="s">
        <v>1914</v>
      </c>
      <c r="D427" s="204" t="s">
        <v>39</v>
      </c>
      <c r="E427" s="195">
        <v>2</v>
      </c>
      <c r="F427" s="195">
        <v>0</v>
      </c>
      <c r="G427" s="195">
        <v>0</v>
      </c>
      <c r="H427" s="195">
        <v>0</v>
      </c>
      <c r="I427" s="194">
        <f t="shared" si="6"/>
        <v>0</v>
      </c>
      <c r="J427" s="195"/>
    </row>
    <row r="428" spans="1:10">
      <c r="A428" s="46" t="s">
        <v>811</v>
      </c>
      <c r="B428" s="202" t="s">
        <v>812</v>
      </c>
      <c r="C428" s="203" t="s">
        <v>349</v>
      </c>
      <c r="D428" s="204" t="s">
        <v>39</v>
      </c>
      <c r="E428" s="195">
        <v>2</v>
      </c>
      <c r="F428" s="195">
        <v>0</v>
      </c>
      <c r="G428" s="195">
        <v>0</v>
      </c>
      <c r="H428" s="195">
        <v>0</v>
      </c>
      <c r="I428" s="194">
        <f t="shared" si="6"/>
        <v>0</v>
      </c>
      <c r="J428" s="195"/>
    </row>
    <row r="429" spans="1:10">
      <c r="A429" s="46" t="s">
        <v>807</v>
      </c>
      <c r="B429" s="202" t="s">
        <v>808</v>
      </c>
      <c r="C429" s="203" t="s">
        <v>349</v>
      </c>
      <c r="D429" s="204" t="s">
        <v>39</v>
      </c>
      <c r="E429" s="195">
        <v>2</v>
      </c>
      <c r="F429" s="195">
        <v>0</v>
      </c>
      <c r="G429" s="195">
        <v>0</v>
      </c>
      <c r="H429" s="195">
        <v>0</v>
      </c>
      <c r="I429" s="194">
        <f t="shared" si="6"/>
        <v>0</v>
      </c>
      <c r="J429" s="195"/>
    </row>
    <row r="430" spans="1:10">
      <c r="A430" s="46" t="s">
        <v>813</v>
      </c>
      <c r="B430" s="202" t="s">
        <v>814</v>
      </c>
      <c r="C430" s="203" t="s">
        <v>349</v>
      </c>
      <c r="D430" s="204" t="s">
        <v>39</v>
      </c>
      <c r="E430" s="195">
        <v>1</v>
      </c>
      <c r="F430" s="195">
        <v>0</v>
      </c>
      <c r="G430" s="195">
        <v>0</v>
      </c>
      <c r="H430" s="195">
        <v>0</v>
      </c>
      <c r="I430" s="194">
        <f t="shared" si="6"/>
        <v>0</v>
      </c>
      <c r="J430" s="195"/>
    </row>
    <row r="431" spans="1:10">
      <c r="A431" s="921" t="s">
        <v>795</v>
      </c>
      <c r="B431" s="189" t="s">
        <v>789</v>
      </c>
      <c r="C431" s="190" t="s">
        <v>349</v>
      </c>
      <c r="D431" s="201" t="s">
        <v>39</v>
      </c>
      <c r="E431" s="192">
        <v>2</v>
      </c>
      <c r="F431" s="195">
        <v>0</v>
      </c>
      <c r="G431" s="195">
        <v>0</v>
      </c>
      <c r="H431" s="195">
        <v>0</v>
      </c>
      <c r="I431" s="194">
        <f t="shared" si="6"/>
        <v>0</v>
      </c>
      <c r="J431" s="195"/>
    </row>
    <row r="432" spans="1:10">
      <c r="A432" s="921" t="s">
        <v>836</v>
      </c>
      <c r="B432" s="189" t="s">
        <v>856</v>
      </c>
      <c r="C432" s="190" t="s">
        <v>349</v>
      </c>
      <c r="D432" s="201" t="s">
        <v>39</v>
      </c>
      <c r="E432" s="192">
        <v>2</v>
      </c>
      <c r="F432" s="195">
        <v>0</v>
      </c>
      <c r="G432" s="195">
        <v>0</v>
      </c>
      <c r="H432" s="195">
        <v>0</v>
      </c>
      <c r="I432" s="194">
        <f t="shared" si="6"/>
        <v>0</v>
      </c>
      <c r="J432" s="195"/>
    </row>
    <row r="433" spans="1:10">
      <c r="A433" s="1248" t="s">
        <v>786</v>
      </c>
      <c r="B433" s="189" t="s">
        <v>787</v>
      </c>
      <c r="C433" s="190" t="s">
        <v>349</v>
      </c>
      <c r="D433" s="201" t="s">
        <v>39</v>
      </c>
      <c r="E433" s="192">
        <v>3</v>
      </c>
      <c r="F433" s="195">
        <v>0</v>
      </c>
      <c r="G433" s="195">
        <v>0</v>
      </c>
      <c r="H433" s="195">
        <v>0</v>
      </c>
      <c r="I433" s="194">
        <f t="shared" si="6"/>
        <v>0</v>
      </c>
      <c r="J433" s="195"/>
    </row>
    <row r="434" spans="1:10">
      <c r="A434" s="1249"/>
      <c r="B434" s="196" t="s">
        <v>788</v>
      </c>
      <c r="C434" s="197" t="s">
        <v>349</v>
      </c>
      <c r="D434" s="198" t="s">
        <v>43</v>
      </c>
      <c r="E434" s="199">
        <v>2</v>
      </c>
      <c r="F434" s="195">
        <v>0</v>
      </c>
      <c r="G434" s="195">
        <v>0</v>
      </c>
      <c r="H434" s="195">
        <v>0</v>
      </c>
      <c r="I434" s="194">
        <f t="shared" si="6"/>
        <v>0</v>
      </c>
      <c r="J434" s="195"/>
    </row>
    <row r="435" spans="1:10">
      <c r="A435" s="1249"/>
      <c r="B435" s="196" t="s">
        <v>789</v>
      </c>
      <c r="C435" s="197" t="s">
        <v>349</v>
      </c>
      <c r="D435" s="200" t="s">
        <v>1399</v>
      </c>
      <c r="E435" s="199">
        <v>2</v>
      </c>
      <c r="F435" s="195">
        <v>0</v>
      </c>
      <c r="G435" s="195">
        <v>0</v>
      </c>
      <c r="H435" s="195">
        <v>0</v>
      </c>
      <c r="I435" s="194">
        <f t="shared" si="6"/>
        <v>0</v>
      </c>
      <c r="J435" s="195"/>
    </row>
    <row r="436" spans="1:10">
      <c r="A436" s="1249"/>
      <c r="B436" s="196" t="s">
        <v>774</v>
      </c>
      <c r="C436" s="197" t="s">
        <v>349</v>
      </c>
      <c r="D436" s="200" t="s">
        <v>39</v>
      </c>
      <c r="E436" s="199">
        <v>4</v>
      </c>
      <c r="F436" s="195">
        <v>0</v>
      </c>
      <c r="G436" s="195">
        <v>0</v>
      </c>
      <c r="H436" s="195">
        <v>0</v>
      </c>
      <c r="I436" s="194">
        <f t="shared" si="6"/>
        <v>0</v>
      </c>
      <c r="J436" s="195"/>
    </row>
    <row r="437" spans="1:10">
      <c r="A437" s="1249"/>
      <c r="B437" s="196" t="s">
        <v>790</v>
      </c>
      <c r="C437" s="197" t="s">
        <v>349</v>
      </c>
      <c r="D437" s="198" t="s">
        <v>43</v>
      </c>
      <c r="E437" s="199">
        <v>1</v>
      </c>
      <c r="F437" s="195">
        <v>0</v>
      </c>
      <c r="G437" s="195">
        <v>0</v>
      </c>
      <c r="H437" s="195">
        <v>0</v>
      </c>
      <c r="I437" s="194">
        <f t="shared" si="6"/>
        <v>0</v>
      </c>
      <c r="J437" s="195"/>
    </row>
    <row r="438" spans="1:10">
      <c r="A438" s="1249"/>
      <c r="B438" s="196" t="s">
        <v>1915</v>
      </c>
      <c r="C438" s="197" t="s">
        <v>349</v>
      </c>
      <c r="D438" s="198" t="s">
        <v>43</v>
      </c>
      <c r="E438" s="199">
        <v>2</v>
      </c>
      <c r="F438" s="195">
        <v>0</v>
      </c>
      <c r="G438" s="195">
        <v>0</v>
      </c>
      <c r="H438" s="195">
        <v>0</v>
      </c>
      <c r="I438" s="194">
        <f t="shared" si="6"/>
        <v>0</v>
      </c>
      <c r="J438" s="195"/>
    </row>
    <row r="439" spans="1:10">
      <c r="A439" s="1249"/>
      <c r="B439" s="196" t="s">
        <v>791</v>
      </c>
      <c r="C439" s="197" t="s">
        <v>349</v>
      </c>
      <c r="D439" s="198" t="s">
        <v>43</v>
      </c>
      <c r="E439" s="199">
        <v>2</v>
      </c>
      <c r="F439" s="195">
        <v>0</v>
      </c>
      <c r="G439" s="195">
        <v>0</v>
      </c>
      <c r="H439" s="195">
        <v>0</v>
      </c>
      <c r="I439" s="194">
        <f t="shared" si="6"/>
        <v>0</v>
      </c>
      <c r="J439" s="195"/>
    </row>
    <row r="440" spans="1:10">
      <c r="A440" s="1249"/>
      <c r="B440" s="196" t="s">
        <v>1916</v>
      </c>
      <c r="C440" s="197" t="s">
        <v>1917</v>
      </c>
      <c r="D440" s="200" t="s">
        <v>39</v>
      </c>
      <c r="E440" s="199">
        <v>2</v>
      </c>
      <c r="F440" s="195">
        <v>0</v>
      </c>
      <c r="G440" s="195">
        <v>0</v>
      </c>
      <c r="H440" s="195">
        <v>0</v>
      </c>
      <c r="I440" s="194">
        <f t="shared" si="6"/>
        <v>0</v>
      </c>
      <c r="J440" s="195"/>
    </row>
    <row r="441" spans="1:10">
      <c r="A441" s="1248" t="s">
        <v>1918</v>
      </c>
      <c r="B441" s="189" t="s">
        <v>526</v>
      </c>
      <c r="C441" s="190" t="s">
        <v>349</v>
      </c>
      <c r="D441" s="201" t="s">
        <v>1400</v>
      </c>
      <c r="E441" s="192">
        <v>1</v>
      </c>
      <c r="F441" s="195">
        <v>0</v>
      </c>
      <c r="G441" s="195">
        <v>0</v>
      </c>
      <c r="H441" s="195">
        <v>0</v>
      </c>
      <c r="I441" s="194">
        <f t="shared" si="6"/>
        <v>0</v>
      </c>
      <c r="J441" s="195"/>
    </row>
    <row r="442" spans="1:10">
      <c r="A442" s="1249"/>
      <c r="B442" s="196"/>
      <c r="D442" s="200" t="s">
        <v>1470</v>
      </c>
      <c r="E442" s="199">
        <v>1</v>
      </c>
      <c r="F442" s="195">
        <v>0</v>
      </c>
      <c r="G442" s="195">
        <v>0</v>
      </c>
      <c r="H442" s="195">
        <v>0</v>
      </c>
      <c r="I442" s="194">
        <f t="shared" si="6"/>
        <v>0</v>
      </c>
      <c r="J442" s="195"/>
    </row>
    <row r="443" spans="1:10">
      <c r="A443" s="1249"/>
      <c r="B443" s="196"/>
      <c r="D443" s="200" t="s">
        <v>1387</v>
      </c>
      <c r="E443" s="199">
        <v>1</v>
      </c>
      <c r="F443" s="195">
        <v>0</v>
      </c>
      <c r="G443" s="195">
        <v>0</v>
      </c>
      <c r="H443" s="195">
        <v>0</v>
      </c>
      <c r="I443" s="194">
        <f t="shared" si="6"/>
        <v>0</v>
      </c>
      <c r="J443" s="195"/>
    </row>
    <row r="444" spans="1:10">
      <c r="A444" s="1249"/>
      <c r="B444" s="196"/>
      <c r="D444" s="200" t="s">
        <v>1399</v>
      </c>
      <c r="E444" s="199">
        <v>1</v>
      </c>
      <c r="F444" s="195">
        <v>0</v>
      </c>
      <c r="G444" s="195">
        <v>0</v>
      </c>
      <c r="H444" s="195">
        <v>0</v>
      </c>
      <c r="I444" s="194">
        <f t="shared" si="6"/>
        <v>0</v>
      </c>
      <c r="J444" s="195"/>
    </row>
    <row r="445" spans="1:10">
      <c r="A445" s="1248" t="s">
        <v>1919</v>
      </c>
      <c r="B445" s="189" t="s">
        <v>526</v>
      </c>
      <c r="C445" s="190" t="s">
        <v>349</v>
      </c>
      <c r="D445" s="201" t="s">
        <v>1400</v>
      </c>
      <c r="E445" s="192">
        <v>2</v>
      </c>
      <c r="F445" s="195">
        <v>0</v>
      </c>
      <c r="G445" s="195">
        <v>0</v>
      </c>
      <c r="H445" s="195">
        <v>0</v>
      </c>
      <c r="I445" s="194">
        <f t="shared" si="6"/>
        <v>0</v>
      </c>
      <c r="J445" s="195"/>
    </row>
    <row r="446" spans="1:10">
      <c r="A446" s="1249"/>
      <c r="B446" s="196"/>
      <c r="D446" s="200" t="s">
        <v>1470</v>
      </c>
      <c r="E446" s="199">
        <v>2</v>
      </c>
      <c r="F446" s="195">
        <v>0</v>
      </c>
      <c r="G446" s="195">
        <v>0</v>
      </c>
      <c r="H446" s="195">
        <v>0</v>
      </c>
      <c r="I446" s="194">
        <f t="shared" si="6"/>
        <v>0</v>
      </c>
      <c r="J446" s="195"/>
    </row>
    <row r="447" spans="1:10">
      <c r="A447" s="1248" t="s">
        <v>1920</v>
      </c>
      <c r="B447" s="189" t="s">
        <v>528</v>
      </c>
      <c r="C447" s="190" t="s">
        <v>349</v>
      </c>
      <c r="D447" s="201" t="s">
        <v>1400</v>
      </c>
      <c r="E447" s="192">
        <v>1</v>
      </c>
      <c r="F447" s="195">
        <v>0</v>
      </c>
      <c r="G447" s="195">
        <v>0</v>
      </c>
      <c r="H447" s="195">
        <v>0</v>
      </c>
      <c r="I447" s="194">
        <f t="shared" si="6"/>
        <v>0</v>
      </c>
      <c r="J447" s="195"/>
    </row>
    <row r="448" spans="1:10">
      <c r="A448" s="1255"/>
      <c r="B448" s="196"/>
      <c r="D448" s="200" t="s">
        <v>43</v>
      </c>
      <c r="E448" s="199">
        <v>2</v>
      </c>
      <c r="F448" s="195">
        <v>0</v>
      </c>
      <c r="G448" s="195">
        <v>0</v>
      </c>
      <c r="H448" s="195">
        <v>0</v>
      </c>
      <c r="I448" s="194">
        <f t="shared" si="6"/>
        <v>0</v>
      </c>
      <c r="J448" s="195"/>
    </row>
    <row r="449" spans="1:10">
      <c r="A449" s="1249" t="s">
        <v>1921</v>
      </c>
      <c r="B449" s="189" t="s">
        <v>532</v>
      </c>
      <c r="C449" s="190" t="s">
        <v>349</v>
      </c>
      <c r="D449" s="201" t="s">
        <v>1400</v>
      </c>
      <c r="E449" s="192">
        <v>1</v>
      </c>
      <c r="F449" s="195">
        <v>0</v>
      </c>
      <c r="G449" s="195">
        <v>0</v>
      </c>
      <c r="H449" s="195">
        <v>0</v>
      </c>
      <c r="I449" s="194">
        <f t="shared" si="6"/>
        <v>0</v>
      </c>
      <c r="J449" s="195"/>
    </row>
    <row r="450" spans="1:10">
      <c r="A450" s="1249"/>
      <c r="B450" s="196"/>
      <c r="D450" s="200" t="s">
        <v>43</v>
      </c>
      <c r="E450" s="199">
        <v>2</v>
      </c>
      <c r="F450" s="195">
        <v>0</v>
      </c>
      <c r="G450" s="195">
        <v>0</v>
      </c>
      <c r="H450" s="195">
        <v>0</v>
      </c>
      <c r="I450" s="194">
        <f t="shared" ref="I450:I513" si="7">ROUNDUP(((F450+G450+H450)/3)/E450*100%,2)</f>
        <v>0</v>
      </c>
      <c r="J450" s="195"/>
    </row>
    <row r="451" spans="1:10">
      <c r="A451" s="1248" t="s">
        <v>1922</v>
      </c>
      <c r="B451" s="189" t="s">
        <v>524</v>
      </c>
      <c r="C451" s="190" t="s">
        <v>349</v>
      </c>
      <c r="D451" s="201" t="s">
        <v>39</v>
      </c>
      <c r="E451" s="192">
        <v>6</v>
      </c>
      <c r="F451" s="195">
        <v>0</v>
      </c>
      <c r="G451" s="195">
        <v>0</v>
      </c>
      <c r="H451" s="195">
        <v>0</v>
      </c>
      <c r="I451" s="194">
        <f t="shared" si="7"/>
        <v>0</v>
      </c>
      <c r="J451" s="195"/>
    </row>
    <row r="452" spans="1:10">
      <c r="A452" s="1249"/>
      <c r="B452" s="196"/>
      <c r="D452" s="200" t="s">
        <v>43</v>
      </c>
      <c r="E452" s="199">
        <v>4</v>
      </c>
      <c r="F452" s="195">
        <v>0</v>
      </c>
      <c r="G452" s="195">
        <v>0</v>
      </c>
      <c r="H452" s="195">
        <v>0</v>
      </c>
      <c r="I452" s="194">
        <f t="shared" si="7"/>
        <v>0</v>
      </c>
      <c r="J452" s="195"/>
    </row>
    <row r="453" spans="1:10" ht="36">
      <c r="A453" s="46" t="s">
        <v>538</v>
      </c>
      <c r="B453" s="202" t="s">
        <v>539</v>
      </c>
      <c r="C453" s="203" t="s">
        <v>349</v>
      </c>
      <c r="D453" s="204" t="s">
        <v>1400</v>
      </c>
      <c r="E453" s="195">
        <v>1</v>
      </c>
      <c r="F453" s="195">
        <v>0</v>
      </c>
      <c r="G453" s="195">
        <v>0</v>
      </c>
      <c r="H453" s="195">
        <v>0</v>
      </c>
      <c r="I453" s="194">
        <f t="shared" si="7"/>
        <v>0</v>
      </c>
      <c r="J453" s="195"/>
    </row>
    <row r="454" spans="1:10">
      <c r="A454" s="1248" t="s">
        <v>766</v>
      </c>
      <c r="B454" s="189" t="s">
        <v>764</v>
      </c>
      <c r="C454" s="190" t="s">
        <v>349</v>
      </c>
      <c r="D454" s="201" t="s">
        <v>39</v>
      </c>
      <c r="E454" s="192">
        <v>1</v>
      </c>
      <c r="F454" s="195">
        <v>0</v>
      </c>
      <c r="G454" s="195">
        <v>0</v>
      </c>
      <c r="H454" s="195">
        <v>0</v>
      </c>
      <c r="I454" s="194">
        <f t="shared" si="7"/>
        <v>0</v>
      </c>
      <c r="J454" s="195"/>
    </row>
    <row r="455" spans="1:10">
      <c r="A455" s="1250"/>
      <c r="B455" s="205"/>
      <c r="C455" s="206"/>
      <c r="D455" s="207" t="s">
        <v>43</v>
      </c>
      <c r="E455" s="193">
        <v>1</v>
      </c>
      <c r="F455" s="195">
        <v>0</v>
      </c>
      <c r="G455" s="195">
        <v>0</v>
      </c>
      <c r="H455" s="195">
        <v>0</v>
      </c>
      <c r="I455" s="194">
        <f t="shared" si="7"/>
        <v>0</v>
      </c>
      <c r="J455" s="195"/>
    </row>
    <row r="456" spans="1:10">
      <c r="A456" s="1248" t="s">
        <v>763</v>
      </c>
      <c r="B456" s="189" t="s">
        <v>764</v>
      </c>
      <c r="C456" s="190" t="s">
        <v>349</v>
      </c>
      <c r="D456" s="201" t="s">
        <v>39</v>
      </c>
      <c r="E456" s="192">
        <v>2</v>
      </c>
      <c r="F456" s="195">
        <v>0</v>
      </c>
      <c r="G456" s="195">
        <v>0</v>
      </c>
      <c r="H456" s="195">
        <v>0</v>
      </c>
      <c r="I456" s="194">
        <f t="shared" si="7"/>
        <v>0</v>
      </c>
      <c r="J456" s="195"/>
    </row>
    <row r="457" spans="1:10">
      <c r="A457" s="1250"/>
      <c r="B457" s="205"/>
      <c r="C457" s="206"/>
      <c r="D457" s="207" t="s">
        <v>43</v>
      </c>
      <c r="E457" s="193">
        <v>1</v>
      </c>
      <c r="F457" s="195">
        <v>0</v>
      </c>
      <c r="G457" s="195">
        <v>0</v>
      </c>
      <c r="H457" s="195">
        <v>0</v>
      </c>
      <c r="I457" s="194">
        <f t="shared" si="7"/>
        <v>0</v>
      </c>
      <c r="J457" s="195"/>
    </row>
    <row r="458" spans="1:10">
      <c r="A458" s="46" t="s">
        <v>1923</v>
      </c>
      <c r="B458" s="202" t="s">
        <v>619</v>
      </c>
      <c r="C458" s="203" t="s">
        <v>349</v>
      </c>
      <c r="D458" s="204" t="s">
        <v>39</v>
      </c>
      <c r="E458" s="195">
        <v>1</v>
      </c>
      <c r="F458" s="195">
        <v>0</v>
      </c>
      <c r="G458" s="195">
        <v>0</v>
      </c>
      <c r="H458" s="195">
        <v>0</v>
      </c>
      <c r="I458" s="194">
        <f t="shared" si="7"/>
        <v>0</v>
      </c>
      <c r="J458" s="195"/>
    </row>
    <row r="459" spans="1:10">
      <c r="A459" s="46" t="s">
        <v>1924</v>
      </c>
      <c r="B459" s="202" t="s">
        <v>613</v>
      </c>
      <c r="C459" s="203" t="s">
        <v>349</v>
      </c>
      <c r="D459" s="204" t="s">
        <v>39</v>
      </c>
      <c r="E459" s="195">
        <v>1</v>
      </c>
      <c r="F459" s="195">
        <v>0</v>
      </c>
      <c r="G459" s="195">
        <v>0</v>
      </c>
      <c r="H459" s="195">
        <v>0</v>
      </c>
      <c r="I459" s="194">
        <f t="shared" si="7"/>
        <v>0</v>
      </c>
      <c r="J459" s="195"/>
    </row>
    <row r="460" spans="1:10">
      <c r="A460" s="46" t="s">
        <v>1925</v>
      </c>
      <c r="B460" s="202" t="s">
        <v>617</v>
      </c>
      <c r="C460" s="203" t="s">
        <v>349</v>
      </c>
      <c r="D460" s="204" t="s">
        <v>39</v>
      </c>
      <c r="E460" s="195">
        <v>1</v>
      </c>
      <c r="F460" s="195">
        <v>0</v>
      </c>
      <c r="G460" s="195">
        <v>0</v>
      </c>
      <c r="H460" s="195">
        <v>0</v>
      </c>
      <c r="I460" s="194">
        <f t="shared" si="7"/>
        <v>0</v>
      </c>
      <c r="J460" s="195"/>
    </row>
    <row r="461" spans="1:10">
      <c r="A461" s="46" t="s">
        <v>1926</v>
      </c>
      <c r="B461" s="202" t="s">
        <v>621</v>
      </c>
      <c r="C461" s="203" t="s">
        <v>349</v>
      </c>
      <c r="D461" s="204" t="s">
        <v>39</v>
      </c>
      <c r="E461" s="195">
        <v>1</v>
      </c>
      <c r="F461" s="195">
        <v>0</v>
      </c>
      <c r="G461" s="195">
        <v>0</v>
      </c>
      <c r="H461" s="195">
        <v>0</v>
      </c>
      <c r="I461" s="194">
        <f t="shared" si="7"/>
        <v>0</v>
      </c>
      <c r="J461" s="195"/>
    </row>
    <row r="462" spans="1:10">
      <c r="A462" s="46" t="s">
        <v>1927</v>
      </c>
      <c r="B462" s="202" t="s">
        <v>633</v>
      </c>
      <c r="C462" s="203" t="s">
        <v>349</v>
      </c>
      <c r="D462" s="204" t="s">
        <v>39</v>
      </c>
      <c r="E462" s="195">
        <v>1</v>
      </c>
      <c r="F462" s="195">
        <v>0</v>
      </c>
      <c r="G462" s="195">
        <v>0</v>
      </c>
      <c r="H462" s="195">
        <v>0</v>
      </c>
      <c r="I462" s="194">
        <f t="shared" si="7"/>
        <v>0</v>
      </c>
      <c r="J462" s="195"/>
    </row>
    <row r="463" spans="1:10">
      <c r="A463" s="1248" t="s">
        <v>1928</v>
      </c>
      <c r="B463" s="189" t="s">
        <v>551</v>
      </c>
      <c r="C463" s="190" t="s">
        <v>1929</v>
      </c>
      <c r="D463" s="201" t="s">
        <v>39</v>
      </c>
      <c r="E463" s="192">
        <v>2</v>
      </c>
      <c r="F463" s="195">
        <v>0</v>
      </c>
      <c r="G463" s="195">
        <v>0</v>
      </c>
      <c r="H463" s="195">
        <v>0</v>
      </c>
      <c r="I463" s="194">
        <f t="shared" si="7"/>
        <v>0</v>
      </c>
      <c r="J463" s="195"/>
    </row>
    <row r="464" spans="1:10">
      <c r="A464" s="1249"/>
      <c r="B464" s="196"/>
      <c r="C464" s="197" t="s">
        <v>1930</v>
      </c>
      <c r="D464" s="200" t="s">
        <v>39</v>
      </c>
      <c r="E464" s="199">
        <v>2</v>
      </c>
      <c r="F464" s="195">
        <v>0</v>
      </c>
      <c r="G464" s="195">
        <v>0</v>
      </c>
      <c r="H464" s="195">
        <v>0</v>
      </c>
      <c r="I464" s="194">
        <f t="shared" si="7"/>
        <v>0</v>
      </c>
      <c r="J464" s="195"/>
    </row>
    <row r="465" spans="1:10">
      <c r="A465" s="1249"/>
      <c r="B465" s="196" t="s">
        <v>553</v>
      </c>
      <c r="C465" s="197" t="s">
        <v>349</v>
      </c>
      <c r="D465" s="200" t="s">
        <v>39</v>
      </c>
      <c r="E465" s="199">
        <v>1</v>
      </c>
      <c r="F465" s="195">
        <v>0</v>
      </c>
      <c r="G465" s="195">
        <v>0</v>
      </c>
      <c r="H465" s="195">
        <v>0</v>
      </c>
      <c r="I465" s="194">
        <f t="shared" si="7"/>
        <v>0</v>
      </c>
      <c r="J465" s="195"/>
    </row>
    <row r="466" spans="1:10">
      <c r="A466" s="1249"/>
      <c r="B466" s="196" t="s">
        <v>554</v>
      </c>
      <c r="C466" s="197" t="s">
        <v>349</v>
      </c>
      <c r="D466" s="200" t="s">
        <v>39</v>
      </c>
      <c r="E466" s="199">
        <v>2</v>
      </c>
      <c r="F466" s="195">
        <v>0</v>
      </c>
      <c r="G466" s="195">
        <v>0</v>
      </c>
      <c r="H466" s="195">
        <v>0</v>
      </c>
      <c r="I466" s="194">
        <f t="shared" si="7"/>
        <v>0</v>
      </c>
      <c r="J466" s="195"/>
    </row>
    <row r="467" spans="1:10">
      <c r="A467" s="1249"/>
      <c r="B467" s="196" t="s">
        <v>556</v>
      </c>
      <c r="C467" s="197" t="s">
        <v>349</v>
      </c>
      <c r="D467" s="200" t="s">
        <v>39</v>
      </c>
      <c r="E467" s="199">
        <v>2</v>
      </c>
      <c r="F467" s="195">
        <v>0</v>
      </c>
      <c r="G467" s="195">
        <v>0</v>
      </c>
      <c r="H467" s="195">
        <v>0</v>
      </c>
      <c r="I467" s="194">
        <f t="shared" si="7"/>
        <v>0</v>
      </c>
      <c r="J467" s="195"/>
    </row>
    <row r="468" spans="1:10">
      <c r="A468" s="1249"/>
      <c r="B468" s="196" t="s">
        <v>555</v>
      </c>
      <c r="C468" s="197" t="s">
        <v>349</v>
      </c>
      <c r="D468" s="200" t="s">
        <v>39</v>
      </c>
      <c r="E468" s="199">
        <v>4</v>
      </c>
      <c r="F468" s="195">
        <v>0</v>
      </c>
      <c r="G468" s="195">
        <v>0</v>
      </c>
      <c r="H468" s="195">
        <v>0</v>
      </c>
      <c r="I468" s="194">
        <f t="shared" si="7"/>
        <v>0</v>
      </c>
      <c r="J468" s="195"/>
    </row>
    <row r="469" spans="1:10">
      <c r="A469" s="1249"/>
      <c r="B469" s="196" t="s">
        <v>557</v>
      </c>
      <c r="C469" s="197" t="s">
        <v>349</v>
      </c>
      <c r="D469" s="200" t="s">
        <v>39</v>
      </c>
      <c r="E469" s="199">
        <v>2</v>
      </c>
      <c r="F469" s="195">
        <v>0</v>
      </c>
      <c r="G469" s="195">
        <v>0</v>
      </c>
      <c r="H469" s="195">
        <v>0</v>
      </c>
      <c r="I469" s="194">
        <f t="shared" si="7"/>
        <v>0</v>
      </c>
      <c r="J469" s="195"/>
    </row>
    <row r="470" spans="1:10">
      <c r="A470" s="1249"/>
      <c r="B470" s="196" t="s">
        <v>558</v>
      </c>
      <c r="C470" s="197" t="s">
        <v>349</v>
      </c>
      <c r="D470" s="200" t="s">
        <v>39</v>
      </c>
      <c r="E470" s="199">
        <v>2</v>
      </c>
      <c r="F470" s="195">
        <v>0</v>
      </c>
      <c r="G470" s="195">
        <v>0</v>
      </c>
      <c r="H470" s="195">
        <v>0</v>
      </c>
      <c r="I470" s="194">
        <f t="shared" si="7"/>
        <v>0</v>
      </c>
      <c r="J470" s="195"/>
    </row>
    <row r="471" spans="1:10">
      <c r="A471" s="1249"/>
      <c r="B471" s="196" t="s">
        <v>559</v>
      </c>
      <c r="C471" s="197" t="s">
        <v>349</v>
      </c>
      <c r="D471" s="200" t="s">
        <v>39</v>
      </c>
      <c r="E471" s="199">
        <v>1</v>
      </c>
      <c r="F471" s="195">
        <v>0</v>
      </c>
      <c r="G471" s="195">
        <v>0</v>
      </c>
      <c r="H471" s="195">
        <v>0</v>
      </c>
      <c r="I471" s="194">
        <f t="shared" si="7"/>
        <v>0</v>
      </c>
      <c r="J471" s="195"/>
    </row>
    <row r="472" spans="1:10">
      <c r="A472" s="1249"/>
      <c r="B472" s="196" t="s">
        <v>560</v>
      </c>
      <c r="C472" s="197" t="s">
        <v>349</v>
      </c>
      <c r="D472" s="200" t="s">
        <v>39</v>
      </c>
      <c r="E472" s="199">
        <v>1</v>
      </c>
      <c r="F472" s="195">
        <v>0</v>
      </c>
      <c r="G472" s="195">
        <v>0</v>
      </c>
      <c r="H472" s="195">
        <v>0</v>
      </c>
      <c r="I472" s="194">
        <f t="shared" si="7"/>
        <v>0</v>
      </c>
      <c r="J472" s="195"/>
    </row>
    <row r="473" spans="1:10">
      <c r="A473" s="1249"/>
      <c r="B473" s="196" t="s">
        <v>561</v>
      </c>
      <c r="C473" s="197" t="s">
        <v>349</v>
      </c>
      <c r="D473" s="200" t="s">
        <v>39</v>
      </c>
      <c r="E473" s="199">
        <v>1</v>
      </c>
      <c r="F473" s="195">
        <v>0</v>
      </c>
      <c r="G473" s="195">
        <v>0</v>
      </c>
      <c r="H473" s="195">
        <v>0</v>
      </c>
      <c r="I473" s="194">
        <f t="shared" si="7"/>
        <v>0</v>
      </c>
      <c r="J473" s="195"/>
    </row>
    <row r="474" spans="1:10">
      <c r="A474" s="1249"/>
      <c r="B474" s="196" t="s">
        <v>562</v>
      </c>
      <c r="C474" s="197" t="s">
        <v>349</v>
      </c>
      <c r="D474" s="200" t="s">
        <v>39</v>
      </c>
      <c r="E474" s="199">
        <v>4</v>
      </c>
      <c r="F474" s="195">
        <v>0</v>
      </c>
      <c r="G474" s="195">
        <v>0</v>
      </c>
      <c r="H474" s="195">
        <v>0</v>
      </c>
      <c r="I474" s="194">
        <f t="shared" si="7"/>
        <v>0</v>
      </c>
      <c r="J474" s="195"/>
    </row>
    <row r="475" spans="1:10">
      <c r="A475" s="1249"/>
      <c r="B475" s="196"/>
      <c r="D475" s="200" t="s">
        <v>43</v>
      </c>
      <c r="E475" s="199">
        <v>1</v>
      </c>
      <c r="F475" s="195">
        <v>0</v>
      </c>
      <c r="G475" s="195">
        <v>0</v>
      </c>
      <c r="H475" s="195">
        <v>0</v>
      </c>
      <c r="I475" s="194">
        <f t="shared" si="7"/>
        <v>0</v>
      </c>
      <c r="J475" s="195"/>
    </row>
    <row r="476" spans="1:10">
      <c r="A476" s="1249"/>
      <c r="B476" s="196" t="s">
        <v>563</v>
      </c>
      <c r="C476" s="197" t="s">
        <v>349</v>
      </c>
      <c r="D476" s="200" t="s">
        <v>39</v>
      </c>
      <c r="E476" s="199">
        <v>4</v>
      </c>
      <c r="F476" s="195">
        <v>0</v>
      </c>
      <c r="G476" s="195">
        <v>0</v>
      </c>
      <c r="H476" s="195">
        <v>0</v>
      </c>
      <c r="I476" s="194">
        <f t="shared" si="7"/>
        <v>0</v>
      </c>
      <c r="J476" s="195"/>
    </row>
    <row r="477" spans="1:10">
      <c r="A477" s="1249"/>
      <c r="B477" s="196" t="s">
        <v>1931</v>
      </c>
      <c r="C477" s="197" t="s">
        <v>349</v>
      </c>
      <c r="D477" s="200" t="s">
        <v>39</v>
      </c>
      <c r="E477" s="199">
        <v>1</v>
      </c>
      <c r="F477" s="195">
        <v>0</v>
      </c>
      <c r="G477" s="195">
        <v>0</v>
      </c>
      <c r="H477" s="195">
        <v>0</v>
      </c>
      <c r="I477" s="194">
        <f t="shared" si="7"/>
        <v>0</v>
      </c>
      <c r="J477" s="195"/>
    </row>
    <row r="478" spans="1:10">
      <c r="A478" s="1250"/>
      <c r="B478" s="205" t="s">
        <v>1145</v>
      </c>
      <c r="C478" s="206" t="s">
        <v>349</v>
      </c>
      <c r="D478" s="207" t="s">
        <v>39</v>
      </c>
      <c r="E478" s="193">
        <v>5</v>
      </c>
      <c r="F478" s="195">
        <v>0</v>
      </c>
      <c r="G478" s="195">
        <v>0</v>
      </c>
      <c r="H478" s="195">
        <v>0</v>
      </c>
      <c r="I478" s="194">
        <f t="shared" si="7"/>
        <v>0</v>
      </c>
      <c r="J478" s="195"/>
    </row>
    <row r="479" spans="1:10">
      <c r="A479" s="1248" t="s">
        <v>1932</v>
      </c>
      <c r="B479" s="189" t="s">
        <v>595</v>
      </c>
      <c r="C479" s="190" t="s">
        <v>349</v>
      </c>
      <c r="D479" s="201" t="s">
        <v>39</v>
      </c>
      <c r="E479" s="192">
        <v>1</v>
      </c>
      <c r="F479" s="195">
        <v>0</v>
      </c>
      <c r="G479" s="195">
        <v>0</v>
      </c>
      <c r="H479" s="195">
        <v>0</v>
      </c>
      <c r="I479" s="194">
        <f t="shared" si="7"/>
        <v>0</v>
      </c>
      <c r="J479" s="195"/>
    </row>
    <row r="480" spans="1:10">
      <c r="A480" s="1250"/>
      <c r="B480" s="205" t="s">
        <v>596</v>
      </c>
      <c r="C480" s="206" t="s">
        <v>349</v>
      </c>
      <c r="D480" s="207" t="s">
        <v>39</v>
      </c>
      <c r="E480" s="193">
        <v>2</v>
      </c>
      <c r="F480" s="195">
        <v>0</v>
      </c>
      <c r="G480" s="195">
        <v>0</v>
      </c>
      <c r="H480" s="195">
        <v>0</v>
      </c>
      <c r="I480" s="194">
        <f t="shared" si="7"/>
        <v>0</v>
      </c>
      <c r="J480" s="195"/>
    </row>
    <row r="481" spans="1:10">
      <c r="A481" s="46" t="s">
        <v>1933</v>
      </c>
      <c r="B481" s="202" t="s">
        <v>604</v>
      </c>
      <c r="C481" s="203" t="s">
        <v>349</v>
      </c>
      <c r="D481" s="204" t="s">
        <v>39</v>
      </c>
      <c r="E481" s="195">
        <v>2</v>
      </c>
      <c r="F481" s="195">
        <v>0</v>
      </c>
      <c r="G481" s="195">
        <v>0</v>
      </c>
      <c r="H481" s="195">
        <v>0</v>
      </c>
      <c r="I481" s="194">
        <f t="shared" si="7"/>
        <v>0</v>
      </c>
      <c r="J481" s="195"/>
    </row>
    <row r="482" spans="1:10">
      <c r="A482" s="1249" t="s">
        <v>1063</v>
      </c>
      <c r="B482" s="196" t="s">
        <v>543</v>
      </c>
      <c r="C482" s="197" t="s">
        <v>1934</v>
      </c>
      <c r="D482" s="200" t="s">
        <v>39</v>
      </c>
      <c r="E482" s="199">
        <v>4</v>
      </c>
      <c r="F482" s="195">
        <v>0</v>
      </c>
      <c r="G482" s="195">
        <v>0</v>
      </c>
      <c r="H482" s="195">
        <v>0</v>
      </c>
      <c r="I482" s="194">
        <f t="shared" si="7"/>
        <v>0</v>
      </c>
      <c r="J482" s="195"/>
    </row>
    <row r="483" spans="1:10">
      <c r="A483" s="1249"/>
      <c r="B483" s="196"/>
      <c r="D483" s="200" t="s">
        <v>43</v>
      </c>
      <c r="E483" s="199">
        <v>2</v>
      </c>
      <c r="F483" s="195">
        <v>0</v>
      </c>
      <c r="G483" s="195">
        <v>0</v>
      </c>
      <c r="H483" s="195">
        <v>0</v>
      </c>
      <c r="I483" s="194">
        <f t="shared" si="7"/>
        <v>0</v>
      </c>
      <c r="J483" s="195"/>
    </row>
    <row r="484" spans="1:10">
      <c r="A484" s="1249"/>
      <c r="B484" s="196" t="s">
        <v>544</v>
      </c>
      <c r="C484" s="197" t="s">
        <v>1935</v>
      </c>
      <c r="D484" s="200" t="s">
        <v>39</v>
      </c>
      <c r="E484" s="199">
        <v>1</v>
      </c>
      <c r="F484" s="195">
        <v>0</v>
      </c>
      <c r="G484" s="195">
        <v>0</v>
      </c>
      <c r="H484" s="195">
        <v>0</v>
      </c>
      <c r="I484" s="194">
        <f t="shared" si="7"/>
        <v>0</v>
      </c>
      <c r="J484" s="195"/>
    </row>
    <row r="485" spans="1:10">
      <c r="A485" s="1249"/>
      <c r="B485" s="196"/>
      <c r="D485" s="200" t="s">
        <v>43</v>
      </c>
      <c r="E485" s="199">
        <v>2</v>
      </c>
      <c r="F485" s="195">
        <v>0</v>
      </c>
      <c r="G485" s="195">
        <v>0</v>
      </c>
      <c r="H485" s="195">
        <v>0</v>
      </c>
      <c r="I485" s="194">
        <f t="shared" si="7"/>
        <v>0</v>
      </c>
      <c r="J485" s="195"/>
    </row>
    <row r="486" spans="1:10">
      <c r="A486" s="1249"/>
      <c r="B486" s="196"/>
      <c r="C486" s="197" t="s">
        <v>1936</v>
      </c>
      <c r="D486" s="200" t="s">
        <v>39</v>
      </c>
      <c r="E486" s="199">
        <v>7</v>
      </c>
      <c r="F486" s="195">
        <v>0</v>
      </c>
      <c r="G486" s="195">
        <v>0</v>
      </c>
      <c r="H486" s="195">
        <v>0</v>
      </c>
      <c r="I486" s="194">
        <f t="shared" si="7"/>
        <v>0</v>
      </c>
      <c r="J486" s="195"/>
    </row>
    <row r="487" spans="1:10">
      <c r="A487" s="1249"/>
      <c r="B487" s="196"/>
      <c r="D487" s="200" t="s">
        <v>43</v>
      </c>
      <c r="E487" s="199">
        <v>2</v>
      </c>
      <c r="F487" s="195">
        <v>0</v>
      </c>
      <c r="G487" s="195">
        <v>0</v>
      </c>
      <c r="H487" s="195">
        <v>0</v>
      </c>
      <c r="I487" s="194">
        <f t="shared" si="7"/>
        <v>0</v>
      </c>
      <c r="J487" s="195"/>
    </row>
    <row r="488" spans="1:10">
      <c r="A488" s="1249"/>
      <c r="B488" s="196" t="s">
        <v>546</v>
      </c>
      <c r="C488" s="197" t="s">
        <v>349</v>
      </c>
      <c r="D488" s="200" t="s">
        <v>43</v>
      </c>
      <c r="E488" s="199">
        <v>2</v>
      </c>
      <c r="F488" s="195">
        <v>0</v>
      </c>
      <c r="G488" s="195">
        <v>0</v>
      </c>
      <c r="H488" s="195">
        <v>0</v>
      </c>
      <c r="I488" s="194">
        <f t="shared" si="7"/>
        <v>0</v>
      </c>
      <c r="J488" s="195"/>
    </row>
    <row r="489" spans="1:10">
      <c r="A489" s="1249"/>
      <c r="B489" s="196" t="s">
        <v>547</v>
      </c>
      <c r="C489" s="197" t="s">
        <v>349</v>
      </c>
      <c r="D489" s="200" t="s">
        <v>39</v>
      </c>
      <c r="E489" s="199">
        <v>4</v>
      </c>
      <c r="F489" s="195">
        <v>0</v>
      </c>
      <c r="G489" s="195">
        <v>0</v>
      </c>
      <c r="H489" s="195">
        <v>0</v>
      </c>
      <c r="I489" s="194">
        <f t="shared" si="7"/>
        <v>0</v>
      </c>
      <c r="J489" s="195"/>
    </row>
    <row r="490" spans="1:10">
      <c r="A490" s="1249"/>
      <c r="B490" s="196" t="s">
        <v>548</v>
      </c>
      <c r="C490" s="197" t="s">
        <v>349</v>
      </c>
      <c r="D490" s="200" t="s">
        <v>39</v>
      </c>
      <c r="E490" s="199">
        <v>1</v>
      </c>
      <c r="F490" s="195">
        <v>0</v>
      </c>
      <c r="G490" s="195">
        <v>0</v>
      </c>
      <c r="H490" s="195">
        <v>0</v>
      </c>
      <c r="I490" s="194">
        <f t="shared" si="7"/>
        <v>0</v>
      </c>
      <c r="J490" s="195"/>
    </row>
    <row r="491" spans="1:10">
      <c r="A491" s="1249"/>
      <c r="B491" s="196" t="s">
        <v>485</v>
      </c>
      <c r="C491" s="197" t="s">
        <v>349</v>
      </c>
      <c r="D491" s="198" t="s">
        <v>39</v>
      </c>
      <c r="E491" s="199">
        <v>7</v>
      </c>
      <c r="F491" s="195">
        <v>0</v>
      </c>
      <c r="G491" s="195">
        <v>0</v>
      </c>
      <c r="H491" s="195">
        <v>0</v>
      </c>
      <c r="I491" s="194">
        <f t="shared" si="7"/>
        <v>0</v>
      </c>
      <c r="J491" s="195"/>
    </row>
    <row r="492" spans="1:10">
      <c r="A492" s="1249"/>
      <c r="B492" s="196"/>
      <c r="D492" s="198" t="s">
        <v>43</v>
      </c>
      <c r="E492" s="199">
        <v>1</v>
      </c>
      <c r="F492" s="195">
        <v>0</v>
      </c>
      <c r="G492" s="195">
        <v>0</v>
      </c>
      <c r="H492" s="195">
        <v>0</v>
      </c>
      <c r="I492" s="194">
        <f t="shared" si="7"/>
        <v>0</v>
      </c>
      <c r="J492" s="195"/>
    </row>
    <row r="493" spans="1:10">
      <c r="A493" s="1249"/>
      <c r="B493" s="196"/>
      <c r="D493" s="198" t="s">
        <v>1937</v>
      </c>
      <c r="E493" s="199">
        <v>2</v>
      </c>
      <c r="F493" s="195">
        <v>2</v>
      </c>
      <c r="G493" s="195">
        <v>0</v>
      </c>
      <c r="H493" s="195">
        <v>0</v>
      </c>
      <c r="I493" s="194">
        <f t="shared" si="7"/>
        <v>0.34</v>
      </c>
      <c r="J493" s="195"/>
    </row>
    <row r="494" spans="1:10">
      <c r="A494" s="1248" t="s">
        <v>1938</v>
      </c>
      <c r="B494" s="189" t="s">
        <v>591</v>
      </c>
      <c r="C494" s="190" t="s">
        <v>349</v>
      </c>
      <c r="D494" s="201" t="s">
        <v>39</v>
      </c>
      <c r="E494" s="192">
        <v>2</v>
      </c>
      <c r="F494" s="195">
        <v>0</v>
      </c>
      <c r="G494" s="195">
        <v>0</v>
      </c>
      <c r="H494" s="195">
        <v>0</v>
      </c>
      <c r="I494" s="194">
        <f t="shared" si="7"/>
        <v>0</v>
      </c>
      <c r="J494" s="195"/>
    </row>
    <row r="495" spans="1:10">
      <c r="A495" s="1250"/>
      <c r="B495" s="205"/>
      <c r="C495" s="206"/>
      <c r="D495" s="207" t="s">
        <v>1399</v>
      </c>
      <c r="E495" s="209">
        <v>1</v>
      </c>
      <c r="F495" s="195">
        <v>0</v>
      </c>
      <c r="G495" s="195">
        <v>0</v>
      </c>
      <c r="H495" s="195">
        <v>0</v>
      </c>
      <c r="I495" s="194">
        <f t="shared" si="7"/>
        <v>0</v>
      </c>
      <c r="J495" s="195"/>
    </row>
    <row r="496" spans="1:10">
      <c r="A496" s="1248" t="s">
        <v>1939</v>
      </c>
      <c r="B496" s="189" t="s">
        <v>571</v>
      </c>
      <c r="C496" s="190" t="s">
        <v>1940</v>
      </c>
      <c r="D496" s="201" t="s">
        <v>39</v>
      </c>
      <c r="E496" s="192">
        <v>3</v>
      </c>
      <c r="F496" s="195">
        <v>0</v>
      </c>
      <c r="G496" s="195">
        <v>0</v>
      </c>
      <c r="H496" s="195">
        <v>0</v>
      </c>
      <c r="I496" s="194">
        <f t="shared" si="7"/>
        <v>0</v>
      </c>
      <c r="J496" s="195"/>
    </row>
    <row r="497" spans="1:10">
      <c r="A497" s="1249"/>
      <c r="B497" s="196"/>
      <c r="C497" s="197" t="s">
        <v>1941</v>
      </c>
      <c r="D497" s="200" t="s">
        <v>39</v>
      </c>
      <c r="E497" s="199">
        <v>4</v>
      </c>
      <c r="F497" s="195">
        <v>0</v>
      </c>
      <c r="G497" s="195">
        <v>0</v>
      </c>
      <c r="H497" s="195">
        <v>0</v>
      </c>
      <c r="I497" s="194">
        <f t="shared" si="7"/>
        <v>0</v>
      </c>
      <c r="J497" s="195"/>
    </row>
    <row r="498" spans="1:10">
      <c r="A498" s="1249"/>
      <c r="B498" s="196"/>
      <c r="C498" s="197" t="s">
        <v>1942</v>
      </c>
      <c r="D498" s="200" t="s">
        <v>39</v>
      </c>
      <c r="E498" s="199">
        <v>1</v>
      </c>
      <c r="F498" s="195">
        <v>0</v>
      </c>
      <c r="G498" s="195">
        <v>0</v>
      </c>
      <c r="H498" s="195">
        <v>0</v>
      </c>
      <c r="I498" s="194">
        <f t="shared" si="7"/>
        <v>0</v>
      </c>
      <c r="J498" s="195"/>
    </row>
    <row r="499" spans="1:10">
      <c r="A499" s="1249"/>
      <c r="B499" s="196" t="s">
        <v>576</v>
      </c>
      <c r="C499" s="197" t="s">
        <v>1943</v>
      </c>
      <c r="D499" s="200" t="s">
        <v>1399</v>
      </c>
      <c r="E499" s="199">
        <v>2</v>
      </c>
      <c r="F499" s="195">
        <v>0</v>
      </c>
      <c r="G499" s="195">
        <v>0</v>
      </c>
      <c r="H499" s="195">
        <v>0</v>
      </c>
      <c r="I499" s="194">
        <f t="shared" si="7"/>
        <v>0</v>
      </c>
      <c r="J499" s="195"/>
    </row>
    <row r="500" spans="1:10">
      <c r="A500" s="1250"/>
      <c r="B500" s="205" t="s">
        <v>577</v>
      </c>
      <c r="C500" s="206" t="s">
        <v>1944</v>
      </c>
      <c r="D500" s="207" t="s">
        <v>39</v>
      </c>
      <c r="E500" s="193">
        <v>1</v>
      </c>
      <c r="F500" s="195">
        <v>0</v>
      </c>
      <c r="G500" s="195">
        <v>0</v>
      </c>
      <c r="H500" s="195">
        <v>0</v>
      </c>
      <c r="I500" s="194">
        <f t="shared" si="7"/>
        <v>0</v>
      </c>
      <c r="J500" s="195"/>
    </row>
    <row r="501" spans="1:10">
      <c r="A501" s="1248" t="s">
        <v>1945</v>
      </c>
      <c r="B501" s="189" t="s">
        <v>571</v>
      </c>
      <c r="C501" s="190" t="s">
        <v>1940</v>
      </c>
      <c r="D501" s="201" t="s">
        <v>39</v>
      </c>
      <c r="E501" s="192">
        <v>1</v>
      </c>
      <c r="F501" s="195">
        <v>0</v>
      </c>
      <c r="G501" s="195">
        <v>0</v>
      </c>
      <c r="H501" s="195">
        <v>0</v>
      </c>
      <c r="I501" s="194">
        <f t="shared" si="7"/>
        <v>0</v>
      </c>
      <c r="J501" s="195"/>
    </row>
    <row r="502" spans="1:10">
      <c r="A502" s="1249"/>
      <c r="B502" s="196" t="s">
        <v>572</v>
      </c>
      <c r="C502" s="197" t="s">
        <v>349</v>
      </c>
      <c r="D502" s="200" t="s">
        <v>1399</v>
      </c>
      <c r="E502" s="199">
        <v>2</v>
      </c>
      <c r="F502" s="195">
        <v>0</v>
      </c>
      <c r="G502" s="195">
        <v>0</v>
      </c>
      <c r="H502" s="195">
        <v>0</v>
      </c>
      <c r="I502" s="194">
        <f t="shared" si="7"/>
        <v>0</v>
      </c>
      <c r="J502" s="195"/>
    </row>
    <row r="503" spans="1:10">
      <c r="A503" s="1249"/>
      <c r="B503" s="196" t="s">
        <v>573</v>
      </c>
      <c r="C503" s="197" t="s">
        <v>349</v>
      </c>
      <c r="D503" s="200" t="s">
        <v>39</v>
      </c>
      <c r="E503" s="199">
        <v>7</v>
      </c>
      <c r="F503" s="195">
        <v>0</v>
      </c>
      <c r="G503" s="195">
        <v>0</v>
      </c>
      <c r="H503" s="195">
        <v>0</v>
      </c>
      <c r="I503" s="194">
        <f t="shared" si="7"/>
        <v>0</v>
      </c>
      <c r="J503" s="195"/>
    </row>
    <row r="504" spans="1:10">
      <c r="A504" s="1250"/>
      <c r="B504" s="205" t="s">
        <v>574</v>
      </c>
      <c r="C504" s="206" t="s">
        <v>349</v>
      </c>
      <c r="D504" s="207" t="s">
        <v>39</v>
      </c>
      <c r="E504" s="193">
        <v>4</v>
      </c>
      <c r="F504" s="195">
        <v>0</v>
      </c>
      <c r="G504" s="195">
        <v>0</v>
      </c>
      <c r="H504" s="195">
        <v>0</v>
      </c>
      <c r="I504" s="194">
        <f t="shared" si="7"/>
        <v>0</v>
      </c>
      <c r="J504" s="195"/>
    </row>
    <row r="505" spans="1:10">
      <c r="A505" s="1248" t="s">
        <v>1946</v>
      </c>
      <c r="B505" s="189" t="s">
        <v>579</v>
      </c>
      <c r="C505" s="190" t="s">
        <v>349</v>
      </c>
      <c r="D505" s="201" t="s">
        <v>1399</v>
      </c>
      <c r="E505" s="192">
        <v>2</v>
      </c>
      <c r="F505" s="195">
        <v>0</v>
      </c>
      <c r="G505" s="195">
        <v>0</v>
      </c>
      <c r="H505" s="195">
        <v>0</v>
      </c>
      <c r="I505" s="194">
        <f t="shared" si="7"/>
        <v>0</v>
      </c>
      <c r="J505" s="195"/>
    </row>
    <row r="506" spans="1:10">
      <c r="A506" s="1249"/>
      <c r="B506" s="196" t="s">
        <v>580</v>
      </c>
      <c r="C506" s="197" t="s">
        <v>349</v>
      </c>
      <c r="D506" s="200" t="s">
        <v>39</v>
      </c>
      <c r="E506" s="199">
        <v>4</v>
      </c>
      <c r="F506" s="195">
        <v>0</v>
      </c>
      <c r="G506" s="195">
        <v>0</v>
      </c>
      <c r="H506" s="195">
        <v>0</v>
      </c>
      <c r="I506" s="194">
        <f t="shared" si="7"/>
        <v>0</v>
      </c>
      <c r="J506" s="195"/>
    </row>
    <row r="507" spans="1:10">
      <c r="A507" s="1250"/>
      <c r="B507" s="205" t="s">
        <v>1947</v>
      </c>
      <c r="C507" s="206" t="s">
        <v>349</v>
      </c>
      <c r="D507" s="207" t="s">
        <v>39</v>
      </c>
      <c r="E507" s="193">
        <v>1</v>
      </c>
      <c r="F507" s="195">
        <v>0</v>
      </c>
      <c r="G507" s="195">
        <v>0</v>
      </c>
      <c r="H507" s="195">
        <v>0</v>
      </c>
      <c r="I507" s="194">
        <f t="shared" si="7"/>
        <v>0</v>
      </c>
      <c r="J507" s="195"/>
    </row>
    <row r="508" spans="1:10">
      <c r="A508" s="1248" t="s">
        <v>1948</v>
      </c>
      <c r="B508" s="189" t="s">
        <v>584</v>
      </c>
      <c r="C508" s="190" t="s">
        <v>1949</v>
      </c>
      <c r="D508" s="201" t="s">
        <v>39</v>
      </c>
      <c r="E508" s="192">
        <v>2</v>
      </c>
      <c r="F508" s="195">
        <v>0</v>
      </c>
      <c r="G508" s="195">
        <v>0</v>
      </c>
      <c r="H508" s="195">
        <v>0</v>
      </c>
      <c r="I508" s="194">
        <f t="shared" si="7"/>
        <v>0</v>
      </c>
      <c r="J508" s="195"/>
    </row>
    <row r="509" spans="1:10">
      <c r="A509" s="1250"/>
      <c r="B509" s="205" t="s">
        <v>585</v>
      </c>
      <c r="C509" s="206" t="s">
        <v>1950</v>
      </c>
      <c r="D509" s="207" t="s">
        <v>39</v>
      </c>
      <c r="E509" s="193">
        <v>2</v>
      </c>
      <c r="F509" s="195">
        <v>0</v>
      </c>
      <c r="G509" s="195">
        <v>0</v>
      </c>
      <c r="H509" s="195">
        <v>0</v>
      </c>
      <c r="I509" s="194">
        <f t="shared" si="7"/>
        <v>0</v>
      </c>
      <c r="J509" s="195"/>
    </row>
    <row r="510" spans="1:10">
      <c r="A510" s="46" t="s">
        <v>1951</v>
      </c>
      <c r="B510" s="202" t="s">
        <v>598</v>
      </c>
      <c r="C510" s="203" t="s">
        <v>349</v>
      </c>
      <c r="D510" s="204" t="s">
        <v>39</v>
      </c>
      <c r="E510" s="195">
        <v>2</v>
      </c>
      <c r="F510" s="195">
        <v>0</v>
      </c>
      <c r="G510" s="195">
        <v>0</v>
      </c>
      <c r="H510" s="195">
        <v>0</v>
      </c>
      <c r="I510" s="194">
        <f t="shared" si="7"/>
        <v>0</v>
      </c>
      <c r="J510" s="195"/>
    </row>
    <row r="511" spans="1:10">
      <c r="A511" s="46" t="s">
        <v>1952</v>
      </c>
      <c r="B511" s="202" t="s">
        <v>635</v>
      </c>
      <c r="C511" s="203" t="s">
        <v>349</v>
      </c>
      <c r="D511" s="204" t="s">
        <v>39</v>
      </c>
      <c r="E511" s="195">
        <v>1</v>
      </c>
      <c r="F511" s="195">
        <v>0</v>
      </c>
      <c r="G511" s="195">
        <v>0</v>
      </c>
      <c r="H511" s="195">
        <v>0</v>
      </c>
      <c r="I511" s="194">
        <f t="shared" si="7"/>
        <v>0</v>
      </c>
      <c r="J511" s="195"/>
    </row>
    <row r="512" spans="1:10">
      <c r="A512" s="46" t="s">
        <v>1953</v>
      </c>
      <c r="B512" s="202" t="s">
        <v>615</v>
      </c>
      <c r="C512" s="203" t="s">
        <v>349</v>
      </c>
      <c r="D512" s="204" t="s">
        <v>39</v>
      </c>
      <c r="E512" s="195">
        <v>1</v>
      </c>
      <c r="F512" s="195">
        <v>0</v>
      </c>
      <c r="G512" s="195">
        <v>0</v>
      </c>
      <c r="H512" s="195">
        <v>0</v>
      </c>
      <c r="I512" s="194">
        <f t="shared" si="7"/>
        <v>0</v>
      </c>
      <c r="J512" s="195"/>
    </row>
    <row r="513" spans="1:10">
      <c r="A513" s="1248" t="s">
        <v>1074</v>
      </c>
      <c r="B513" s="189" t="s">
        <v>1954</v>
      </c>
      <c r="C513" s="190" t="s">
        <v>349</v>
      </c>
      <c r="D513" s="191" t="s">
        <v>39</v>
      </c>
      <c r="E513" s="192">
        <v>3</v>
      </c>
      <c r="F513" s="195">
        <v>0</v>
      </c>
      <c r="G513" s="195">
        <v>0</v>
      </c>
      <c r="H513" s="195">
        <v>0</v>
      </c>
      <c r="I513" s="194">
        <f t="shared" si="7"/>
        <v>0</v>
      </c>
      <c r="J513" s="195"/>
    </row>
    <row r="514" spans="1:10">
      <c r="A514" s="1249"/>
      <c r="B514" s="196"/>
      <c r="D514" s="198" t="s">
        <v>1399</v>
      </c>
      <c r="E514" s="199">
        <v>2</v>
      </c>
      <c r="F514" s="195">
        <v>0</v>
      </c>
      <c r="G514" s="195">
        <v>0</v>
      </c>
      <c r="H514" s="195">
        <v>0</v>
      </c>
      <c r="I514" s="194">
        <f t="shared" ref="I514:I577" si="8">ROUNDUP(((F514+G514+H514)/3)/E514*100%,2)</f>
        <v>0</v>
      </c>
      <c r="J514" s="195"/>
    </row>
    <row r="515" spans="1:10">
      <c r="A515" s="1249"/>
      <c r="B515" s="196"/>
      <c r="D515" s="198" t="s">
        <v>77</v>
      </c>
      <c r="E515" s="199">
        <v>2</v>
      </c>
      <c r="F515" s="195">
        <v>0</v>
      </c>
      <c r="G515" s="195">
        <v>0</v>
      </c>
      <c r="H515" s="195">
        <v>0</v>
      </c>
      <c r="I515" s="194">
        <f t="shared" si="8"/>
        <v>0</v>
      </c>
      <c r="J515" s="195"/>
    </row>
    <row r="516" spans="1:10">
      <c r="A516" s="1249"/>
      <c r="B516" s="196"/>
      <c r="D516" s="198" t="s">
        <v>53</v>
      </c>
      <c r="E516" s="199">
        <v>2</v>
      </c>
      <c r="F516" s="195">
        <v>2</v>
      </c>
      <c r="G516" s="195">
        <v>2</v>
      </c>
      <c r="H516" s="195">
        <v>0</v>
      </c>
      <c r="I516" s="194">
        <f t="shared" si="8"/>
        <v>0.67</v>
      </c>
      <c r="J516" s="195"/>
    </row>
    <row r="517" spans="1:10">
      <c r="A517" s="1249"/>
      <c r="B517" s="196" t="s">
        <v>568</v>
      </c>
      <c r="C517" s="197" t="s">
        <v>349</v>
      </c>
      <c r="D517" s="198" t="s">
        <v>39</v>
      </c>
      <c r="E517" s="199">
        <v>4</v>
      </c>
      <c r="F517" s="195">
        <v>0</v>
      </c>
      <c r="G517" s="195">
        <v>0</v>
      </c>
      <c r="H517" s="195">
        <v>0</v>
      </c>
      <c r="I517" s="194">
        <f t="shared" si="8"/>
        <v>0</v>
      </c>
      <c r="J517" s="195"/>
    </row>
    <row r="518" spans="1:10">
      <c r="A518" s="1249"/>
      <c r="B518" s="196"/>
      <c r="D518" s="198" t="s">
        <v>43</v>
      </c>
      <c r="E518" s="199">
        <v>3</v>
      </c>
      <c r="F518" s="195">
        <v>0</v>
      </c>
      <c r="G518" s="195">
        <v>0</v>
      </c>
      <c r="H518" s="195">
        <v>0</v>
      </c>
      <c r="I518" s="194">
        <f t="shared" si="8"/>
        <v>0</v>
      </c>
      <c r="J518" s="195"/>
    </row>
    <row r="519" spans="1:10">
      <c r="A519" s="1250"/>
      <c r="B519" s="205" t="s">
        <v>569</v>
      </c>
      <c r="C519" s="206" t="s">
        <v>349</v>
      </c>
      <c r="D519" s="210" t="s">
        <v>39</v>
      </c>
      <c r="E519" s="193">
        <v>1</v>
      </c>
      <c r="F519" s="195">
        <v>0</v>
      </c>
      <c r="G519" s="195">
        <v>0</v>
      </c>
      <c r="H519" s="195">
        <v>0</v>
      </c>
      <c r="I519" s="194">
        <f t="shared" si="8"/>
        <v>0</v>
      </c>
      <c r="J519" s="195"/>
    </row>
    <row r="520" spans="1:10">
      <c r="A520" s="46" t="s">
        <v>1955</v>
      </c>
      <c r="B520" s="202" t="s">
        <v>623</v>
      </c>
      <c r="C520" s="203" t="s">
        <v>349</v>
      </c>
      <c r="D520" s="204" t="s">
        <v>39</v>
      </c>
      <c r="E520" s="195">
        <v>1</v>
      </c>
      <c r="F520" s="195">
        <v>0</v>
      </c>
      <c r="G520" s="195">
        <v>0</v>
      </c>
      <c r="H520" s="195">
        <v>0</v>
      </c>
      <c r="I520" s="194">
        <f t="shared" si="8"/>
        <v>0</v>
      </c>
      <c r="J520" s="195"/>
    </row>
    <row r="521" spans="1:10">
      <c r="A521" s="46" t="s">
        <v>1956</v>
      </c>
      <c r="B521" s="202" t="s">
        <v>625</v>
      </c>
      <c r="C521" s="203" t="s">
        <v>349</v>
      </c>
      <c r="D521" s="204" t="s">
        <v>39</v>
      </c>
      <c r="E521" s="195">
        <v>1</v>
      </c>
      <c r="F521" s="195">
        <v>0</v>
      </c>
      <c r="G521" s="195">
        <v>0</v>
      </c>
      <c r="H521" s="195">
        <v>0</v>
      </c>
      <c r="I521" s="194">
        <f t="shared" si="8"/>
        <v>0</v>
      </c>
      <c r="J521" s="195"/>
    </row>
    <row r="522" spans="1:10">
      <c r="A522" s="46" t="s">
        <v>1957</v>
      </c>
      <c r="B522" s="202" t="s">
        <v>627</v>
      </c>
      <c r="C522" s="203" t="s">
        <v>349</v>
      </c>
      <c r="D522" s="204" t="s">
        <v>39</v>
      </c>
      <c r="E522" s="195">
        <v>1</v>
      </c>
      <c r="F522" s="195">
        <v>0</v>
      </c>
      <c r="G522" s="195">
        <v>0</v>
      </c>
      <c r="H522" s="195">
        <v>0</v>
      </c>
      <c r="I522" s="194">
        <f t="shared" si="8"/>
        <v>0</v>
      </c>
      <c r="J522" s="195"/>
    </row>
    <row r="523" spans="1:10">
      <c r="A523" s="46" t="s">
        <v>1958</v>
      </c>
      <c r="B523" s="202" t="s">
        <v>629</v>
      </c>
      <c r="C523" s="203" t="s">
        <v>349</v>
      </c>
      <c r="D523" s="204" t="s">
        <v>39</v>
      </c>
      <c r="E523" s="195">
        <v>1</v>
      </c>
      <c r="F523" s="195">
        <v>0</v>
      </c>
      <c r="G523" s="195">
        <v>0</v>
      </c>
      <c r="H523" s="195">
        <v>0</v>
      </c>
      <c r="I523" s="194">
        <f t="shared" si="8"/>
        <v>0</v>
      </c>
      <c r="J523" s="195"/>
    </row>
    <row r="524" spans="1:10">
      <c r="A524" s="46" t="s">
        <v>1959</v>
      </c>
      <c r="B524" s="202" t="s">
        <v>631</v>
      </c>
      <c r="C524" s="203" t="s">
        <v>349</v>
      </c>
      <c r="D524" s="204" t="s">
        <v>39</v>
      </c>
      <c r="E524" s="195">
        <v>1</v>
      </c>
      <c r="F524" s="195">
        <v>0</v>
      </c>
      <c r="G524" s="195">
        <v>0</v>
      </c>
      <c r="H524" s="195">
        <v>0</v>
      </c>
      <c r="I524" s="194">
        <f t="shared" si="8"/>
        <v>0</v>
      </c>
      <c r="J524" s="195"/>
    </row>
    <row r="525" spans="1:10">
      <c r="A525" s="46" t="s">
        <v>1960</v>
      </c>
      <c r="B525" s="202" t="s">
        <v>587</v>
      </c>
      <c r="C525" s="203" t="s">
        <v>349</v>
      </c>
      <c r="D525" s="204" t="s">
        <v>39</v>
      </c>
      <c r="E525" s="195">
        <v>3</v>
      </c>
      <c r="F525" s="195">
        <v>0</v>
      </c>
      <c r="G525" s="195">
        <v>0</v>
      </c>
      <c r="H525" s="195">
        <v>0</v>
      </c>
      <c r="I525" s="194">
        <f t="shared" si="8"/>
        <v>0</v>
      </c>
      <c r="J525" s="195"/>
    </row>
    <row r="526" spans="1:10">
      <c r="A526" s="46" t="s">
        <v>540</v>
      </c>
      <c r="B526" s="202" t="s">
        <v>528</v>
      </c>
      <c r="C526" s="203" t="s">
        <v>349</v>
      </c>
      <c r="D526" s="204" t="s">
        <v>39</v>
      </c>
      <c r="E526" s="195">
        <v>1</v>
      </c>
      <c r="F526" s="195">
        <v>0</v>
      </c>
      <c r="G526" s="195">
        <v>0</v>
      </c>
      <c r="H526" s="195">
        <v>0</v>
      </c>
      <c r="I526" s="194">
        <f t="shared" si="8"/>
        <v>0</v>
      </c>
      <c r="J526" s="195"/>
    </row>
    <row r="527" spans="1:10">
      <c r="A527" s="46" t="s">
        <v>611</v>
      </c>
      <c r="B527" s="202" t="s">
        <v>485</v>
      </c>
      <c r="C527" s="203" t="s">
        <v>349</v>
      </c>
      <c r="D527" s="211" t="s">
        <v>1937</v>
      </c>
      <c r="E527" s="195">
        <v>2</v>
      </c>
      <c r="F527" s="195">
        <v>0</v>
      </c>
      <c r="G527" s="195">
        <v>0</v>
      </c>
      <c r="H527" s="195">
        <v>0</v>
      </c>
      <c r="I527" s="194">
        <f t="shared" si="8"/>
        <v>0</v>
      </c>
      <c r="J527" s="195"/>
    </row>
    <row r="528" spans="1:10" ht="36">
      <c r="A528" s="46" t="s">
        <v>769</v>
      </c>
      <c r="B528" s="202" t="s">
        <v>770</v>
      </c>
      <c r="C528" s="203" t="s">
        <v>349</v>
      </c>
      <c r="D528" s="204" t="s">
        <v>39</v>
      </c>
      <c r="E528" s="195">
        <v>1</v>
      </c>
      <c r="F528" s="195">
        <v>0</v>
      </c>
      <c r="G528" s="195">
        <v>0</v>
      </c>
      <c r="H528" s="195">
        <v>0</v>
      </c>
      <c r="I528" s="194">
        <f t="shared" si="8"/>
        <v>0</v>
      </c>
      <c r="J528" s="195"/>
    </row>
    <row r="529" spans="1:10">
      <c r="A529" s="1248" t="s">
        <v>701</v>
      </c>
      <c r="B529" s="189" t="s">
        <v>1961</v>
      </c>
      <c r="C529" s="190" t="s">
        <v>349</v>
      </c>
      <c r="D529" s="201" t="s">
        <v>39</v>
      </c>
      <c r="E529" s="192">
        <v>1</v>
      </c>
      <c r="F529" s="195">
        <v>0</v>
      </c>
      <c r="G529" s="195">
        <v>0</v>
      </c>
      <c r="H529" s="195">
        <v>0</v>
      </c>
      <c r="I529" s="194">
        <f t="shared" si="8"/>
        <v>0</v>
      </c>
      <c r="J529" s="195"/>
    </row>
    <row r="530" spans="1:10">
      <c r="A530" s="1249"/>
      <c r="B530" s="196"/>
      <c r="D530" s="200" t="s">
        <v>43</v>
      </c>
      <c r="E530" s="199">
        <v>2</v>
      </c>
      <c r="F530" s="195">
        <v>0</v>
      </c>
      <c r="G530" s="195">
        <v>0</v>
      </c>
      <c r="H530" s="195">
        <v>0</v>
      </c>
      <c r="I530" s="194">
        <f t="shared" si="8"/>
        <v>0</v>
      </c>
      <c r="J530" s="195"/>
    </row>
    <row r="531" spans="1:10">
      <c r="A531" s="1249"/>
      <c r="B531" s="196" t="s">
        <v>703</v>
      </c>
      <c r="C531" s="197" t="s">
        <v>349</v>
      </c>
      <c r="D531" s="200" t="s">
        <v>39</v>
      </c>
      <c r="E531" s="199">
        <v>2</v>
      </c>
      <c r="F531" s="195">
        <v>0</v>
      </c>
      <c r="G531" s="195">
        <v>0</v>
      </c>
      <c r="H531" s="195">
        <v>0</v>
      </c>
      <c r="I531" s="194">
        <f t="shared" si="8"/>
        <v>0</v>
      </c>
      <c r="J531" s="195"/>
    </row>
    <row r="532" spans="1:10">
      <c r="A532" s="1249"/>
      <c r="B532" s="196"/>
      <c r="D532" s="200" t="s">
        <v>43</v>
      </c>
      <c r="E532" s="199">
        <v>1</v>
      </c>
      <c r="F532" s="195">
        <v>0</v>
      </c>
      <c r="G532" s="195">
        <v>0</v>
      </c>
      <c r="H532" s="195">
        <v>0</v>
      </c>
      <c r="I532" s="194">
        <f t="shared" si="8"/>
        <v>0</v>
      </c>
      <c r="J532" s="195"/>
    </row>
    <row r="533" spans="1:10">
      <c r="A533" s="1250"/>
      <c r="B533" s="205"/>
      <c r="C533" s="206"/>
      <c r="D533" s="207" t="s">
        <v>1399</v>
      </c>
      <c r="E533" s="193">
        <v>2</v>
      </c>
      <c r="F533" s="195">
        <v>0</v>
      </c>
      <c r="G533" s="195">
        <v>0</v>
      </c>
      <c r="H533" s="195">
        <v>0</v>
      </c>
      <c r="I533" s="194">
        <f t="shared" si="8"/>
        <v>0</v>
      </c>
      <c r="J533" s="195"/>
    </row>
    <row r="534" spans="1:10">
      <c r="A534" s="1248" t="s">
        <v>637</v>
      </c>
      <c r="B534" s="189" t="s">
        <v>648</v>
      </c>
      <c r="C534" s="190" t="s">
        <v>648</v>
      </c>
      <c r="D534" s="201" t="s">
        <v>39</v>
      </c>
      <c r="E534" s="192">
        <v>1</v>
      </c>
      <c r="F534" s="195">
        <v>0</v>
      </c>
      <c r="G534" s="195">
        <v>0</v>
      </c>
      <c r="H534" s="195">
        <v>0</v>
      </c>
      <c r="I534" s="194">
        <f t="shared" si="8"/>
        <v>0</v>
      </c>
      <c r="J534" s="195"/>
    </row>
    <row r="535" spans="1:10">
      <c r="A535" s="1249"/>
      <c r="B535" s="196"/>
      <c r="D535" s="200" t="s">
        <v>43</v>
      </c>
      <c r="E535" s="199">
        <v>1</v>
      </c>
      <c r="F535" s="195">
        <v>0</v>
      </c>
      <c r="G535" s="195">
        <v>0</v>
      </c>
      <c r="H535" s="195">
        <v>0</v>
      </c>
      <c r="I535" s="194">
        <f t="shared" si="8"/>
        <v>0</v>
      </c>
      <c r="J535" s="195"/>
    </row>
    <row r="536" spans="1:10">
      <c r="A536" s="1249"/>
      <c r="B536" s="196" t="s">
        <v>649</v>
      </c>
      <c r="C536" s="197" t="s">
        <v>649</v>
      </c>
      <c r="D536" s="200" t="s">
        <v>39</v>
      </c>
      <c r="E536" s="199">
        <v>1</v>
      </c>
      <c r="F536" s="195">
        <v>0</v>
      </c>
      <c r="G536" s="195">
        <v>0</v>
      </c>
      <c r="H536" s="195">
        <v>0</v>
      </c>
      <c r="I536" s="194">
        <f t="shared" si="8"/>
        <v>0</v>
      </c>
      <c r="J536" s="195"/>
    </row>
    <row r="537" spans="1:10">
      <c r="A537" s="1249"/>
      <c r="B537" s="196"/>
      <c r="D537" s="200" t="s">
        <v>43</v>
      </c>
      <c r="E537" s="199">
        <v>1</v>
      </c>
      <c r="F537" s="195">
        <v>0</v>
      </c>
      <c r="G537" s="195">
        <v>0</v>
      </c>
      <c r="H537" s="195">
        <v>0</v>
      </c>
      <c r="I537" s="194">
        <f t="shared" si="8"/>
        <v>0</v>
      </c>
      <c r="J537" s="195"/>
    </row>
    <row r="538" spans="1:10">
      <c r="A538" s="1249"/>
      <c r="B538" s="196"/>
      <c r="D538" s="200" t="s">
        <v>1399</v>
      </c>
      <c r="E538" s="199">
        <v>1</v>
      </c>
      <c r="F538" s="195">
        <v>0</v>
      </c>
      <c r="G538" s="195">
        <v>0</v>
      </c>
      <c r="H538" s="195">
        <v>0</v>
      </c>
      <c r="I538" s="194">
        <f t="shared" si="8"/>
        <v>0</v>
      </c>
      <c r="J538" s="195"/>
    </row>
    <row r="539" spans="1:10">
      <c r="A539" s="1249"/>
      <c r="B539" s="196" t="s">
        <v>650</v>
      </c>
      <c r="C539" s="197" t="s">
        <v>650</v>
      </c>
      <c r="D539" s="200" t="s">
        <v>39</v>
      </c>
      <c r="E539" s="199">
        <v>2</v>
      </c>
      <c r="F539" s="195">
        <v>0</v>
      </c>
      <c r="G539" s="195">
        <v>0</v>
      </c>
      <c r="H539" s="195">
        <v>0</v>
      </c>
      <c r="I539" s="194">
        <f t="shared" si="8"/>
        <v>0</v>
      </c>
      <c r="J539" s="195"/>
    </row>
    <row r="540" spans="1:10">
      <c r="A540" s="1249"/>
      <c r="B540" s="196"/>
      <c r="D540" s="200" t="s">
        <v>43</v>
      </c>
      <c r="E540" s="199">
        <v>1</v>
      </c>
      <c r="F540" s="195">
        <v>0</v>
      </c>
      <c r="G540" s="195">
        <v>0</v>
      </c>
      <c r="H540" s="195">
        <v>0</v>
      </c>
      <c r="I540" s="194">
        <f t="shared" si="8"/>
        <v>0</v>
      </c>
      <c r="J540" s="195"/>
    </row>
    <row r="541" spans="1:10">
      <c r="A541" s="1249"/>
      <c r="B541" s="196"/>
      <c r="D541" s="200" t="s">
        <v>1387</v>
      </c>
      <c r="E541" s="199">
        <v>1</v>
      </c>
      <c r="F541" s="195">
        <v>0</v>
      </c>
      <c r="G541" s="195">
        <v>0</v>
      </c>
      <c r="H541" s="195">
        <v>0</v>
      </c>
      <c r="I541" s="194">
        <f t="shared" si="8"/>
        <v>0</v>
      </c>
      <c r="J541" s="195"/>
    </row>
    <row r="542" spans="1:10">
      <c r="A542" s="1249"/>
      <c r="B542" s="196"/>
      <c r="D542" s="200" t="s">
        <v>1399</v>
      </c>
      <c r="E542" s="199">
        <v>1</v>
      </c>
      <c r="F542" s="195">
        <v>0</v>
      </c>
      <c r="G542" s="195">
        <v>0</v>
      </c>
      <c r="H542" s="195">
        <v>0</v>
      </c>
      <c r="I542" s="194">
        <f t="shared" si="8"/>
        <v>0</v>
      </c>
      <c r="J542" s="195"/>
    </row>
    <row r="543" spans="1:10">
      <c r="A543" s="1249"/>
      <c r="B543" s="196"/>
      <c r="C543" s="197" t="s">
        <v>349</v>
      </c>
      <c r="D543" s="200" t="s">
        <v>39</v>
      </c>
      <c r="E543" s="199">
        <v>1</v>
      </c>
      <c r="F543" s="195">
        <v>0</v>
      </c>
      <c r="G543" s="195">
        <v>0</v>
      </c>
      <c r="H543" s="195">
        <v>0</v>
      </c>
      <c r="I543" s="194">
        <f t="shared" si="8"/>
        <v>0</v>
      </c>
      <c r="J543" s="195"/>
    </row>
    <row r="544" spans="1:10">
      <c r="A544" s="1249"/>
      <c r="B544" s="196" t="s">
        <v>651</v>
      </c>
      <c r="C544" s="197" t="s">
        <v>651</v>
      </c>
      <c r="D544" s="200" t="s">
        <v>39</v>
      </c>
      <c r="E544" s="199">
        <v>1</v>
      </c>
      <c r="F544" s="195">
        <v>0</v>
      </c>
      <c r="G544" s="195">
        <v>0</v>
      </c>
      <c r="H544" s="195">
        <v>0</v>
      </c>
      <c r="I544" s="194">
        <f t="shared" si="8"/>
        <v>0</v>
      </c>
      <c r="J544" s="195"/>
    </row>
    <row r="545" spans="1:10">
      <c r="A545" s="1249"/>
      <c r="B545" s="196"/>
      <c r="D545" s="200" t="s">
        <v>43</v>
      </c>
      <c r="E545" s="199">
        <v>1</v>
      </c>
      <c r="F545" s="195">
        <v>0</v>
      </c>
      <c r="G545" s="195">
        <v>0</v>
      </c>
      <c r="H545" s="195">
        <v>0</v>
      </c>
      <c r="I545" s="194">
        <f t="shared" si="8"/>
        <v>0</v>
      </c>
      <c r="J545" s="195"/>
    </row>
    <row r="546" spans="1:10">
      <c r="A546" s="1249"/>
      <c r="B546" s="196"/>
      <c r="D546" s="200" t="s">
        <v>1387</v>
      </c>
      <c r="E546" s="199">
        <v>1</v>
      </c>
      <c r="F546" s="195">
        <v>0</v>
      </c>
      <c r="G546" s="195">
        <v>0</v>
      </c>
      <c r="H546" s="195">
        <v>0</v>
      </c>
      <c r="I546" s="194">
        <f t="shared" si="8"/>
        <v>0</v>
      </c>
      <c r="J546" s="195"/>
    </row>
    <row r="547" spans="1:10">
      <c r="A547" s="1249"/>
      <c r="B547" s="196"/>
      <c r="D547" s="200" t="s">
        <v>1399</v>
      </c>
      <c r="E547" s="199">
        <v>1</v>
      </c>
      <c r="F547" s="195">
        <v>0</v>
      </c>
      <c r="G547" s="195">
        <v>0</v>
      </c>
      <c r="H547" s="195">
        <v>0</v>
      </c>
      <c r="I547" s="194">
        <f t="shared" si="8"/>
        <v>0</v>
      </c>
      <c r="J547" s="195"/>
    </row>
    <row r="548" spans="1:10">
      <c r="A548" s="1249"/>
      <c r="B548" s="196" t="s">
        <v>652</v>
      </c>
      <c r="C548" s="197" t="s">
        <v>652</v>
      </c>
      <c r="D548" s="200" t="s">
        <v>39</v>
      </c>
      <c r="E548" s="199">
        <v>1</v>
      </c>
      <c r="F548" s="195">
        <v>0</v>
      </c>
      <c r="G548" s="195">
        <v>0</v>
      </c>
      <c r="H548" s="195">
        <v>0</v>
      </c>
      <c r="I548" s="194">
        <f t="shared" si="8"/>
        <v>0</v>
      </c>
      <c r="J548" s="195"/>
    </row>
    <row r="549" spans="1:10">
      <c r="A549" s="1249"/>
      <c r="B549" s="196"/>
      <c r="D549" s="200" t="s">
        <v>43</v>
      </c>
      <c r="E549" s="199">
        <v>1</v>
      </c>
      <c r="F549" s="195">
        <v>0</v>
      </c>
      <c r="G549" s="195">
        <v>0</v>
      </c>
      <c r="H549" s="195">
        <v>0</v>
      </c>
      <c r="I549" s="194">
        <f t="shared" si="8"/>
        <v>0</v>
      </c>
      <c r="J549" s="195"/>
    </row>
    <row r="550" spans="1:10">
      <c r="A550" s="1249"/>
      <c r="B550" s="196"/>
      <c r="D550" s="200" t="s">
        <v>1387</v>
      </c>
      <c r="E550" s="199">
        <v>1</v>
      </c>
      <c r="F550" s="195">
        <v>0</v>
      </c>
      <c r="G550" s="195">
        <v>0</v>
      </c>
      <c r="H550" s="195">
        <v>0</v>
      </c>
      <c r="I550" s="194">
        <f t="shared" si="8"/>
        <v>0</v>
      </c>
      <c r="J550" s="195"/>
    </row>
    <row r="551" spans="1:10">
      <c r="A551" s="1249"/>
      <c r="B551" s="196" t="s">
        <v>653</v>
      </c>
      <c r="C551" s="197" t="s">
        <v>653</v>
      </c>
      <c r="D551" s="200" t="s">
        <v>39</v>
      </c>
      <c r="E551" s="199">
        <v>1</v>
      </c>
      <c r="F551" s="195">
        <v>0</v>
      </c>
      <c r="G551" s="195">
        <v>0</v>
      </c>
      <c r="H551" s="195">
        <v>0</v>
      </c>
      <c r="I551" s="194">
        <f t="shared" si="8"/>
        <v>0</v>
      </c>
      <c r="J551" s="195"/>
    </row>
    <row r="552" spans="1:10">
      <c r="A552" s="1249"/>
      <c r="B552" s="196"/>
      <c r="D552" s="200" t="s">
        <v>43</v>
      </c>
      <c r="E552" s="199">
        <v>1</v>
      </c>
      <c r="F552" s="195">
        <v>0</v>
      </c>
      <c r="G552" s="195">
        <v>0</v>
      </c>
      <c r="H552" s="195">
        <v>0</v>
      </c>
      <c r="I552" s="194">
        <f t="shared" si="8"/>
        <v>0</v>
      </c>
      <c r="J552" s="195"/>
    </row>
    <row r="553" spans="1:10">
      <c r="A553" s="1249"/>
      <c r="B553" s="196" t="s">
        <v>654</v>
      </c>
      <c r="C553" s="197" t="s">
        <v>654</v>
      </c>
      <c r="D553" s="200" t="s">
        <v>39</v>
      </c>
      <c r="E553" s="199">
        <v>1</v>
      </c>
      <c r="F553" s="195">
        <v>0</v>
      </c>
      <c r="G553" s="195">
        <v>0</v>
      </c>
      <c r="H553" s="195">
        <v>0</v>
      </c>
      <c r="I553" s="194">
        <f t="shared" si="8"/>
        <v>0</v>
      </c>
      <c r="J553" s="195"/>
    </row>
    <row r="554" spans="1:10">
      <c r="A554" s="1249"/>
      <c r="B554" s="196"/>
      <c r="D554" s="200" t="s">
        <v>43</v>
      </c>
      <c r="E554" s="199">
        <v>1</v>
      </c>
      <c r="F554" s="195">
        <v>0</v>
      </c>
      <c r="G554" s="195">
        <v>0</v>
      </c>
      <c r="H554" s="195">
        <v>0</v>
      </c>
      <c r="I554" s="194">
        <f t="shared" si="8"/>
        <v>0</v>
      </c>
      <c r="J554" s="195"/>
    </row>
    <row r="555" spans="1:10">
      <c r="A555" s="1249"/>
      <c r="B555" s="196"/>
      <c r="D555" s="200" t="s">
        <v>1387</v>
      </c>
      <c r="E555" s="199">
        <v>1</v>
      </c>
      <c r="F555" s="195">
        <v>0</v>
      </c>
      <c r="G555" s="195">
        <v>0</v>
      </c>
      <c r="H555" s="195">
        <v>0</v>
      </c>
      <c r="I555" s="194">
        <f t="shared" si="8"/>
        <v>0</v>
      </c>
      <c r="J555" s="195"/>
    </row>
    <row r="556" spans="1:10">
      <c r="A556" s="1249"/>
      <c r="B556" s="196" t="s">
        <v>655</v>
      </c>
      <c r="C556" s="197" t="s">
        <v>655</v>
      </c>
      <c r="D556" s="198" t="s">
        <v>39</v>
      </c>
      <c r="E556" s="199">
        <v>4</v>
      </c>
      <c r="F556" s="195">
        <v>0</v>
      </c>
      <c r="G556" s="195">
        <v>0</v>
      </c>
      <c r="H556" s="195">
        <v>0</v>
      </c>
      <c r="I556" s="194">
        <f t="shared" si="8"/>
        <v>0</v>
      </c>
      <c r="J556" s="195"/>
    </row>
    <row r="557" spans="1:10">
      <c r="A557" s="1249"/>
      <c r="B557" s="196"/>
      <c r="D557" s="200" t="s">
        <v>43</v>
      </c>
      <c r="E557" s="199">
        <v>3</v>
      </c>
      <c r="F557" s="195">
        <v>0</v>
      </c>
      <c r="G557" s="195">
        <v>0</v>
      </c>
      <c r="H557" s="195">
        <v>0</v>
      </c>
      <c r="I557" s="194">
        <f t="shared" si="8"/>
        <v>0</v>
      </c>
      <c r="J557" s="195"/>
    </row>
    <row r="558" spans="1:10">
      <c r="A558" s="1249"/>
      <c r="B558" s="196"/>
      <c r="D558" s="200" t="s">
        <v>1387</v>
      </c>
      <c r="E558" s="199">
        <v>2</v>
      </c>
      <c r="F558" s="195">
        <v>0</v>
      </c>
      <c r="G558" s="195">
        <v>0</v>
      </c>
      <c r="H558" s="195">
        <v>0</v>
      </c>
      <c r="I558" s="194">
        <f t="shared" si="8"/>
        <v>0</v>
      </c>
      <c r="J558" s="195"/>
    </row>
    <row r="559" spans="1:10">
      <c r="A559" s="1249"/>
      <c r="B559" s="196" t="s">
        <v>656</v>
      </c>
      <c r="C559" s="197" t="s">
        <v>656</v>
      </c>
      <c r="D559" s="198" t="s">
        <v>39</v>
      </c>
      <c r="E559" s="199">
        <v>3</v>
      </c>
      <c r="F559" s="195">
        <v>0</v>
      </c>
      <c r="G559" s="195">
        <v>0</v>
      </c>
      <c r="H559" s="195">
        <v>0</v>
      </c>
      <c r="I559" s="194">
        <f t="shared" si="8"/>
        <v>0</v>
      </c>
      <c r="J559" s="195"/>
    </row>
    <row r="560" spans="1:10">
      <c r="A560" s="1249"/>
      <c r="B560" s="196"/>
      <c r="D560" s="200" t="s">
        <v>43</v>
      </c>
      <c r="E560" s="199">
        <v>1</v>
      </c>
      <c r="F560" s="195">
        <v>0</v>
      </c>
      <c r="G560" s="195">
        <v>0</v>
      </c>
      <c r="H560" s="195">
        <v>0</v>
      </c>
      <c r="I560" s="194">
        <f t="shared" si="8"/>
        <v>0</v>
      </c>
      <c r="J560" s="195"/>
    </row>
    <row r="561" spans="1:10">
      <c r="A561" s="1249"/>
      <c r="B561" s="196"/>
      <c r="D561" s="200" t="s">
        <v>1387</v>
      </c>
      <c r="E561" s="199">
        <v>1</v>
      </c>
      <c r="F561" s="195">
        <v>0</v>
      </c>
      <c r="G561" s="195">
        <v>0</v>
      </c>
      <c r="H561" s="195">
        <v>0</v>
      </c>
      <c r="I561" s="194">
        <f t="shared" si="8"/>
        <v>0</v>
      </c>
      <c r="J561" s="195"/>
    </row>
    <row r="562" spans="1:10">
      <c r="A562" s="1249"/>
      <c r="B562" s="196"/>
      <c r="D562" s="200" t="s">
        <v>1399</v>
      </c>
      <c r="E562" s="199">
        <v>1</v>
      </c>
      <c r="F562" s="195">
        <v>0</v>
      </c>
      <c r="G562" s="195">
        <v>0</v>
      </c>
      <c r="H562" s="195">
        <v>0</v>
      </c>
      <c r="I562" s="194">
        <f t="shared" si="8"/>
        <v>0</v>
      </c>
      <c r="J562" s="195"/>
    </row>
    <row r="563" spans="1:10">
      <c r="A563" s="1249"/>
      <c r="B563" s="196" t="s">
        <v>657</v>
      </c>
      <c r="C563" s="197" t="s">
        <v>657</v>
      </c>
      <c r="D563" s="200" t="s">
        <v>39</v>
      </c>
      <c r="E563" s="199">
        <v>2</v>
      </c>
      <c r="F563" s="195">
        <v>0</v>
      </c>
      <c r="G563" s="195">
        <v>0</v>
      </c>
      <c r="H563" s="195">
        <v>0</v>
      </c>
      <c r="I563" s="194">
        <f t="shared" si="8"/>
        <v>0</v>
      </c>
      <c r="J563" s="195"/>
    </row>
    <row r="564" spans="1:10">
      <c r="A564" s="1249"/>
      <c r="B564" s="196"/>
      <c r="D564" s="200" t="s">
        <v>43</v>
      </c>
      <c r="E564" s="199">
        <v>2</v>
      </c>
      <c r="F564" s="195">
        <v>0</v>
      </c>
      <c r="G564" s="195">
        <v>0</v>
      </c>
      <c r="H564" s="195">
        <v>0</v>
      </c>
      <c r="I564" s="194">
        <f t="shared" si="8"/>
        <v>0</v>
      </c>
      <c r="J564" s="195"/>
    </row>
    <row r="565" spans="1:10">
      <c r="A565" s="1249"/>
      <c r="B565" s="196"/>
      <c r="D565" s="200" t="s">
        <v>1387</v>
      </c>
      <c r="E565" s="199">
        <v>1</v>
      </c>
      <c r="F565" s="195">
        <v>0</v>
      </c>
      <c r="G565" s="195">
        <v>0</v>
      </c>
      <c r="H565" s="195">
        <v>0</v>
      </c>
      <c r="I565" s="194">
        <f t="shared" si="8"/>
        <v>0</v>
      </c>
      <c r="J565" s="195"/>
    </row>
    <row r="566" spans="1:10">
      <c r="A566" s="1249"/>
      <c r="B566" s="196"/>
      <c r="C566" s="197" t="s">
        <v>349</v>
      </c>
      <c r="D566" s="200" t="s">
        <v>39</v>
      </c>
      <c r="E566" s="199">
        <v>1</v>
      </c>
      <c r="F566" s="195">
        <v>0</v>
      </c>
      <c r="G566" s="195">
        <v>0</v>
      </c>
      <c r="H566" s="195">
        <v>0</v>
      </c>
      <c r="I566" s="194">
        <f t="shared" si="8"/>
        <v>0</v>
      </c>
      <c r="J566" s="195"/>
    </row>
    <row r="567" spans="1:10">
      <c r="A567" s="1249"/>
      <c r="B567" s="196" t="s">
        <v>658</v>
      </c>
      <c r="C567" s="197" t="s">
        <v>658</v>
      </c>
      <c r="D567" s="198" t="s">
        <v>39</v>
      </c>
      <c r="E567" s="199">
        <v>1</v>
      </c>
      <c r="F567" s="195">
        <v>0</v>
      </c>
      <c r="G567" s="195">
        <v>0</v>
      </c>
      <c r="H567" s="195">
        <v>0</v>
      </c>
      <c r="I567" s="194">
        <f t="shared" si="8"/>
        <v>0</v>
      </c>
      <c r="J567" s="195"/>
    </row>
    <row r="568" spans="1:10">
      <c r="A568" s="1249"/>
      <c r="B568" s="196"/>
      <c r="D568" s="200" t="s">
        <v>43</v>
      </c>
      <c r="E568" s="199">
        <v>1</v>
      </c>
      <c r="F568" s="195">
        <v>0</v>
      </c>
      <c r="G568" s="195">
        <v>0</v>
      </c>
      <c r="H568" s="195">
        <v>0</v>
      </c>
      <c r="I568" s="194">
        <f t="shared" si="8"/>
        <v>0</v>
      </c>
      <c r="J568" s="195"/>
    </row>
    <row r="569" spans="1:10">
      <c r="A569" s="1249"/>
      <c r="B569" s="196"/>
      <c r="D569" s="200" t="s">
        <v>1387</v>
      </c>
      <c r="E569" s="199">
        <v>1</v>
      </c>
      <c r="F569" s="195">
        <v>0</v>
      </c>
      <c r="G569" s="195">
        <v>0</v>
      </c>
      <c r="H569" s="195">
        <v>0</v>
      </c>
      <c r="I569" s="194">
        <f t="shared" si="8"/>
        <v>0</v>
      </c>
      <c r="J569" s="195"/>
    </row>
    <row r="570" spans="1:10">
      <c r="A570" s="1249"/>
      <c r="B570" s="196"/>
      <c r="C570" s="197" t="s">
        <v>349</v>
      </c>
      <c r="D570" s="200" t="s">
        <v>39</v>
      </c>
      <c r="E570" s="199">
        <v>1</v>
      </c>
      <c r="F570" s="195">
        <v>0</v>
      </c>
      <c r="G570" s="195">
        <v>0</v>
      </c>
      <c r="H570" s="195">
        <v>0</v>
      </c>
      <c r="I570" s="194">
        <f t="shared" si="8"/>
        <v>0</v>
      </c>
      <c r="J570" s="195"/>
    </row>
    <row r="571" spans="1:10">
      <c r="A571" s="1249"/>
      <c r="B571" s="196" t="s">
        <v>659</v>
      </c>
      <c r="C571" s="197" t="s">
        <v>659</v>
      </c>
      <c r="D571" s="200" t="s">
        <v>39</v>
      </c>
      <c r="E571" s="199">
        <v>1</v>
      </c>
      <c r="F571" s="195">
        <v>0</v>
      </c>
      <c r="G571" s="195">
        <v>0</v>
      </c>
      <c r="H571" s="195">
        <v>0</v>
      </c>
      <c r="I571" s="194">
        <f t="shared" si="8"/>
        <v>0</v>
      </c>
      <c r="J571" s="195"/>
    </row>
    <row r="572" spans="1:10">
      <c r="A572" s="1249"/>
      <c r="B572" s="196"/>
      <c r="D572" s="200" t="s">
        <v>43</v>
      </c>
      <c r="E572" s="199">
        <v>1</v>
      </c>
      <c r="F572" s="195">
        <v>0</v>
      </c>
      <c r="G572" s="195">
        <v>0</v>
      </c>
      <c r="H572" s="195">
        <v>0</v>
      </c>
      <c r="I572" s="194">
        <f t="shared" si="8"/>
        <v>0</v>
      </c>
      <c r="J572" s="195"/>
    </row>
    <row r="573" spans="1:10">
      <c r="A573" s="1249"/>
      <c r="B573" s="196"/>
      <c r="D573" s="200" t="s">
        <v>1399</v>
      </c>
      <c r="E573" s="199">
        <v>1</v>
      </c>
      <c r="F573" s="195">
        <v>0</v>
      </c>
      <c r="G573" s="195">
        <v>0</v>
      </c>
      <c r="H573" s="195">
        <v>0</v>
      </c>
      <c r="I573" s="194">
        <f t="shared" si="8"/>
        <v>0</v>
      </c>
      <c r="J573" s="195"/>
    </row>
    <row r="574" spans="1:10">
      <c r="A574" s="1249"/>
      <c r="B574" s="196" t="s">
        <v>660</v>
      </c>
      <c r="C574" s="197" t="s">
        <v>660</v>
      </c>
      <c r="D574" s="200" t="s">
        <v>39</v>
      </c>
      <c r="E574" s="199">
        <v>1</v>
      </c>
      <c r="F574" s="195">
        <v>0</v>
      </c>
      <c r="G574" s="195">
        <v>0</v>
      </c>
      <c r="H574" s="195">
        <v>0</v>
      </c>
      <c r="I574" s="194">
        <f t="shared" si="8"/>
        <v>0</v>
      </c>
      <c r="J574" s="195"/>
    </row>
    <row r="575" spans="1:10">
      <c r="A575" s="1249"/>
      <c r="B575" s="196"/>
      <c r="D575" s="200" t="s">
        <v>43</v>
      </c>
      <c r="E575" s="199">
        <v>1</v>
      </c>
      <c r="F575" s="195">
        <v>0</v>
      </c>
      <c r="G575" s="195">
        <v>0</v>
      </c>
      <c r="H575" s="195">
        <v>0</v>
      </c>
      <c r="I575" s="194">
        <f t="shared" si="8"/>
        <v>0</v>
      </c>
      <c r="J575" s="195"/>
    </row>
    <row r="576" spans="1:10">
      <c r="A576" s="1249"/>
      <c r="B576" s="196" t="s">
        <v>661</v>
      </c>
      <c r="C576" s="197" t="s">
        <v>661</v>
      </c>
      <c r="D576" s="200" t="s">
        <v>39</v>
      </c>
      <c r="E576" s="199">
        <v>1</v>
      </c>
      <c r="F576" s="195">
        <v>0</v>
      </c>
      <c r="G576" s="195">
        <v>0</v>
      </c>
      <c r="H576" s="195">
        <v>0</v>
      </c>
      <c r="I576" s="194">
        <f t="shared" si="8"/>
        <v>0</v>
      </c>
      <c r="J576" s="195"/>
    </row>
    <row r="577" spans="1:10">
      <c r="A577" s="1249"/>
      <c r="B577" s="196"/>
      <c r="D577" s="200" t="s">
        <v>43</v>
      </c>
      <c r="E577" s="199">
        <v>1</v>
      </c>
      <c r="F577" s="195">
        <v>0</v>
      </c>
      <c r="G577" s="195">
        <v>0</v>
      </c>
      <c r="H577" s="195">
        <v>0</v>
      </c>
      <c r="I577" s="194">
        <f t="shared" si="8"/>
        <v>0</v>
      </c>
      <c r="J577" s="195"/>
    </row>
    <row r="578" spans="1:10">
      <c r="A578" s="1249"/>
      <c r="B578" s="196" t="s">
        <v>662</v>
      </c>
      <c r="C578" s="197" t="s">
        <v>662</v>
      </c>
      <c r="D578" s="200" t="s">
        <v>39</v>
      </c>
      <c r="E578" s="199">
        <v>1</v>
      </c>
      <c r="F578" s="195">
        <v>0</v>
      </c>
      <c r="G578" s="195">
        <v>0</v>
      </c>
      <c r="H578" s="195">
        <v>0</v>
      </c>
      <c r="I578" s="194">
        <f t="shared" ref="I578:I641" si="9">ROUNDUP(((F578+G578+H578)/3)/E578*100%,2)</f>
        <v>0</v>
      </c>
      <c r="J578" s="195"/>
    </row>
    <row r="579" spans="1:10">
      <c r="A579" s="1249"/>
      <c r="B579" s="196"/>
      <c r="D579" s="200" t="s">
        <v>43</v>
      </c>
      <c r="E579" s="199">
        <v>1</v>
      </c>
      <c r="F579" s="195">
        <v>0</v>
      </c>
      <c r="G579" s="195">
        <v>0</v>
      </c>
      <c r="H579" s="195">
        <v>0</v>
      </c>
      <c r="I579" s="194">
        <f t="shared" si="9"/>
        <v>0</v>
      </c>
      <c r="J579" s="195"/>
    </row>
    <row r="580" spans="1:10">
      <c r="A580" s="1249"/>
      <c r="B580" s="196" t="s">
        <v>663</v>
      </c>
      <c r="C580" s="197" t="s">
        <v>663</v>
      </c>
      <c r="D580" s="200" t="s">
        <v>39</v>
      </c>
      <c r="E580" s="199">
        <v>1</v>
      </c>
      <c r="F580" s="195">
        <v>0</v>
      </c>
      <c r="G580" s="195">
        <v>0</v>
      </c>
      <c r="H580" s="195">
        <v>0</v>
      </c>
      <c r="I580" s="194">
        <f t="shared" si="9"/>
        <v>0</v>
      </c>
      <c r="J580" s="195"/>
    </row>
    <row r="581" spans="1:10">
      <c r="A581" s="1249"/>
      <c r="B581" s="196"/>
      <c r="D581" s="200" t="s">
        <v>43</v>
      </c>
      <c r="E581" s="199">
        <v>1</v>
      </c>
      <c r="F581" s="195">
        <v>0</v>
      </c>
      <c r="G581" s="195">
        <v>0</v>
      </c>
      <c r="H581" s="195">
        <v>0</v>
      </c>
      <c r="I581" s="194">
        <f t="shared" si="9"/>
        <v>0</v>
      </c>
      <c r="J581" s="195"/>
    </row>
    <row r="582" spans="1:10">
      <c r="A582" s="1249"/>
      <c r="B582" s="196" t="s">
        <v>664</v>
      </c>
      <c r="C582" s="197" t="s">
        <v>664</v>
      </c>
      <c r="D582" s="200" t="s">
        <v>39</v>
      </c>
      <c r="E582" s="199">
        <v>1</v>
      </c>
      <c r="F582" s="195">
        <v>0</v>
      </c>
      <c r="G582" s="195">
        <v>0</v>
      </c>
      <c r="H582" s="195">
        <v>0</v>
      </c>
      <c r="I582" s="194">
        <f t="shared" si="9"/>
        <v>0</v>
      </c>
      <c r="J582" s="195"/>
    </row>
    <row r="583" spans="1:10">
      <c r="A583" s="1249"/>
      <c r="B583" s="196"/>
      <c r="D583" s="200" t="s">
        <v>43</v>
      </c>
      <c r="E583" s="199">
        <v>1</v>
      </c>
      <c r="F583" s="195">
        <v>0</v>
      </c>
      <c r="G583" s="195">
        <v>0</v>
      </c>
      <c r="H583" s="195">
        <v>0</v>
      </c>
      <c r="I583" s="194">
        <f t="shared" si="9"/>
        <v>0</v>
      </c>
      <c r="J583" s="195"/>
    </row>
    <row r="584" spans="1:10">
      <c r="A584" s="1249"/>
      <c r="B584" s="196" t="s">
        <v>665</v>
      </c>
      <c r="C584" s="197" t="s">
        <v>665</v>
      </c>
      <c r="D584" s="200" t="s">
        <v>39</v>
      </c>
      <c r="E584" s="199">
        <v>1</v>
      </c>
      <c r="F584" s="195">
        <v>0</v>
      </c>
      <c r="G584" s="195">
        <v>0</v>
      </c>
      <c r="H584" s="195">
        <v>0</v>
      </c>
      <c r="I584" s="194">
        <f t="shared" si="9"/>
        <v>0</v>
      </c>
      <c r="J584" s="195"/>
    </row>
    <row r="585" spans="1:10">
      <c r="A585" s="1249"/>
      <c r="B585" s="196"/>
      <c r="D585" s="200" t="s">
        <v>43</v>
      </c>
      <c r="E585" s="199">
        <v>1</v>
      </c>
      <c r="F585" s="195">
        <v>0</v>
      </c>
      <c r="G585" s="195">
        <v>0</v>
      </c>
      <c r="H585" s="195">
        <v>0</v>
      </c>
      <c r="I585" s="194">
        <f t="shared" si="9"/>
        <v>0</v>
      </c>
      <c r="J585" s="195"/>
    </row>
    <row r="586" spans="1:10">
      <c r="A586" s="1249"/>
      <c r="B586" s="196" t="s">
        <v>666</v>
      </c>
      <c r="C586" s="197" t="s">
        <v>666</v>
      </c>
      <c r="D586" s="200" t="s">
        <v>39</v>
      </c>
      <c r="E586" s="199">
        <v>1</v>
      </c>
      <c r="F586" s="195">
        <v>0</v>
      </c>
      <c r="G586" s="195">
        <v>0</v>
      </c>
      <c r="H586" s="195">
        <v>0</v>
      </c>
      <c r="I586" s="194">
        <f t="shared" si="9"/>
        <v>0</v>
      </c>
      <c r="J586" s="195"/>
    </row>
    <row r="587" spans="1:10">
      <c r="A587" s="1249"/>
      <c r="B587" s="196"/>
      <c r="D587" s="200" t="s">
        <v>43</v>
      </c>
      <c r="E587" s="199">
        <v>2</v>
      </c>
      <c r="F587" s="195">
        <v>0</v>
      </c>
      <c r="G587" s="195">
        <v>0</v>
      </c>
      <c r="H587" s="195">
        <v>0</v>
      </c>
      <c r="I587" s="194">
        <f t="shared" si="9"/>
        <v>0</v>
      </c>
      <c r="J587" s="195"/>
    </row>
    <row r="588" spans="1:10">
      <c r="A588" s="1249"/>
      <c r="B588" s="196" t="s">
        <v>667</v>
      </c>
      <c r="C588" s="197" t="s">
        <v>667</v>
      </c>
      <c r="D588" s="200" t="s">
        <v>39</v>
      </c>
      <c r="E588" s="199">
        <v>1</v>
      </c>
      <c r="F588" s="195">
        <v>0</v>
      </c>
      <c r="G588" s="195">
        <v>0</v>
      </c>
      <c r="H588" s="195">
        <v>0</v>
      </c>
      <c r="I588" s="194">
        <f t="shared" si="9"/>
        <v>0</v>
      </c>
      <c r="J588" s="195"/>
    </row>
    <row r="589" spans="1:10">
      <c r="A589" s="1249"/>
      <c r="B589" s="196"/>
      <c r="D589" s="200" t="s">
        <v>43</v>
      </c>
      <c r="E589" s="199">
        <v>1</v>
      </c>
      <c r="F589" s="195">
        <v>0</v>
      </c>
      <c r="G589" s="195">
        <v>0</v>
      </c>
      <c r="H589" s="195">
        <v>0</v>
      </c>
      <c r="I589" s="194">
        <f t="shared" si="9"/>
        <v>0</v>
      </c>
      <c r="J589" s="195"/>
    </row>
    <row r="590" spans="1:10">
      <c r="A590" s="1249"/>
      <c r="B590" s="196" t="s">
        <v>668</v>
      </c>
      <c r="C590" s="197" t="s">
        <v>668</v>
      </c>
      <c r="D590" s="200" t="s">
        <v>39</v>
      </c>
      <c r="E590" s="199">
        <v>1</v>
      </c>
      <c r="F590" s="195">
        <v>0</v>
      </c>
      <c r="G590" s="195">
        <v>0</v>
      </c>
      <c r="H590" s="195">
        <v>0</v>
      </c>
      <c r="I590" s="194">
        <f t="shared" si="9"/>
        <v>0</v>
      </c>
      <c r="J590" s="195"/>
    </row>
    <row r="591" spans="1:10">
      <c r="A591" s="1249"/>
      <c r="B591" s="196"/>
      <c r="D591" s="200" t="s">
        <v>43</v>
      </c>
      <c r="E591" s="199">
        <v>1</v>
      </c>
      <c r="F591" s="195">
        <v>0</v>
      </c>
      <c r="G591" s="195">
        <v>0</v>
      </c>
      <c r="H591" s="195">
        <v>0</v>
      </c>
      <c r="I591" s="194">
        <f t="shared" si="9"/>
        <v>0</v>
      </c>
      <c r="J591" s="195"/>
    </row>
    <row r="592" spans="1:10">
      <c r="A592" s="1249"/>
      <c r="B592" s="196" t="s">
        <v>669</v>
      </c>
      <c r="C592" s="197" t="s">
        <v>669</v>
      </c>
      <c r="D592" s="200" t="s">
        <v>39</v>
      </c>
      <c r="E592" s="199">
        <v>1</v>
      </c>
      <c r="F592" s="195">
        <v>0</v>
      </c>
      <c r="G592" s="195">
        <v>0</v>
      </c>
      <c r="H592" s="195">
        <v>0</v>
      </c>
      <c r="I592" s="194">
        <f t="shared" si="9"/>
        <v>0</v>
      </c>
      <c r="J592" s="195"/>
    </row>
    <row r="593" spans="1:10">
      <c r="A593" s="1249"/>
      <c r="B593" s="196"/>
      <c r="D593" s="200" t="s">
        <v>43</v>
      </c>
      <c r="E593" s="199">
        <v>1</v>
      </c>
      <c r="F593" s="195">
        <v>0</v>
      </c>
      <c r="G593" s="195">
        <v>0</v>
      </c>
      <c r="H593" s="195">
        <v>0</v>
      </c>
      <c r="I593" s="194">
        <f t="shared" si="9"/>
        <v>0</v>
      </c>
      <c r="J593" s="195"/>
    </row>
    <row r="594" spans="1:10">
      <c r="A594" s="1249"/>
      <c r="B594" s="196" t="s">
        <v>670</v>
      </c>
      <c r="C594" s="197" t="s">
        <v>670</v>
      </c>
      <c r="D594" s="200" t="s">
        <v>39</v>
      </c>
      <c r="E594" s="199">
        <v>1</v>
      </c>
      <c r="F594" s="195">
        <v>0</v>
      </c>
      <c r="G594" s="195">
        <v>0</v>
      </c>
      <c r="H594" s="195">
        <v>0</v>
      </c>
      <c r="I594" s="194">
        <f t="shared" si="9"/>
        <v>0</v>
      </c>
      <c r="J594" s="195"/>
    </row>
    <row r="595" spans="1:10">
      <c r="A595" s="1249"/>
      <c r="B595" s="196"/>
      <c r="D595" s="200" t="s">
        <v>43</v>
      </c>
      <c r="E595" s="199">
        <v>1</v>
      </c>
      <c r="F595" s="195">
        <v>0</v>
      </c>
      <c r="G595" s="195">
        <v>0</v>
      </c>
      <c r="H595" s="195">
        <v>0</v>
      </c>
      <c r="I595" s="194">
        <f t="shared" si="9"/>
        <v>0</v>
      </c>
      <c r="J595" s="195"/>
    </row>
    <row r="596" spans="1:10">
      <c r="A596" s="1249"/>
      <c r="B596" s="196" t="s">
        <v>671</v>
      </c>
      <c r="C596" s="197" t="s">
        <v>671</v>
      </c>
      <c r="D596" s="200" t="s">
        <v>39</v>
      </c>
      <c r="E596" s="199">
        <v>1</v>
      </c>
      <c r="F596" s="195">
        <v>0</v>
      </c>
      <c r="G596" s="195">
        <v>0</v>
      </c>
      <c r="H596" s="195">
        <v>0</v>
      </c>
      <c r="I596" s="194">
        <f t="shared" si="9"/>
        <v>0</v>
      </c>
      <c r="J596" s="195"/>
    </row>
    <row r="597" spans="1:10">
      <c r="A597" s="1249"/>
      <c r="B597" s="196"/>
      <c r="D597" s="200" t="s">
        <v>43</v>
      </c>
      <c r="E597" s="199">
        <v>1</v>
      </c>
      <c r="F597" s="195">
        <v>0</v>
      </c>
      <c r="G597" s="195">
        <v>0</v>
      </c>
      <c r="H597" s="195">
        <v>0</v>
      </c>
      <c r="I597" s="194">
        <f t="shared" si="9"/>
        <v>0</v>
      </c>
      <c r="J597" s="195"/>
    </row>
    <row r="598" spans="1:10">
      <c r="A598" s="1249"/>
      <c r="B598" s="196" t="s">
        <v>672</v>
      </c>
      <c r="C598" s="197" t="s">
        <v>672</v>
      </c>
      <c r="D598" s="200" t="s">
        <v>39</v>
      </c>
      <c r="E598" s="199">
        <v>1</v>
      </c>
      <c r="F598" s="195">
        <v>0</v>
      </c>
      <c r="G598" s="195">
        <v>0</v>
      </c>
      <c r="H598" s="195">
        <v>0</v>
      </c>
      <c r="I598" s="194">
        <f t="shared" si="9"/>
        <v>0</v>
      </c>
      <c r="J598" s="195"/>
    </row>
    <row r="599" spans="1:10">
      <c r="A599" s="1249"/>
      <c r="B599" s="196"/>
      <c r="D599" s="200" t="s">
        <v>43</v>
      </c>
      <c r="E599" s="199">
        <v>1</v>
      </c>
      <c r="F599" s="195">
        <v>0</v>
      </c>
      <c r="G599" s="195">
        <v>0</v>
      </c>
      <c r="H599" s="195">
        <v>0</v>
      </c>
      <c r="I599" s="194">
        <f t="shared" si="9"/>
        <v>0</v>
      </c>
      <c r="J599" s="195"/>
    </row>
    <row r="600" spans="1:10">
      <c r="A600" s="1249"/>
      <c r="B600" s="196" t="s">
        <v>673</v>
      </c>
      <c r="C600" s="197" t="s">
        <v>673</v>
      </c>
      <c r="D600" s="200" t="s">
        <v>39</v>
      </c>
      <c r="E600" s="199">
        <v>1</v>
      </c>
      <c r="F600" s="195">
        <v>0</v>
      </c>
      <c r="G600" s="195">
        <v>0</v>
      </c>
      <c r="H600" s="195">
        <v>0</v>
      </c>
      <c r="I600" s="194">
        <f t="shared" si="9"/>
        <v>0</v>
      </c>
      <c r="J600" s="195"/>
    </row>
    <row r="601" spans="1:10">
      <c r="A601" s="1249"/>
      <c r="B601" s="196"/>
      <c r="D601" s="200" t="s">
        <v>43</v>
      </c>
      <c r="E601" s="199">
        <v>1</v>
      </c>
      <c r="F601" s="195">
        <v>0</v>
      </c>
      <c r="G601" s="195">
        <v>0</v>
      </c>
      <c r="H601" s="195">
        <v>0</v>
      </c>
      <c r="I601" s="194">
        <f t="shared" si="9"/>
        <v>0</v>
      </c>
      <c r="J601" s="195"/>
    </row>
    <row r="602" spans="1:10">
      <c r="A602" s="1249"/>
      <c r="B602" s="196" t="s">
        <v>674</v>
      </c>
      <c r="C602" s="197" t="s">
        <v>674</v>
      </c>
      <c r="D602" s="200" t="s">
        <v>39</v>
      </c>
      <c r="E602" s="199">
        <v>1</v>
      </c>
      <c r="F602" s="195">
        <v>0</v>
      </c>
      <c r="G602" s="195">
        <v>0</v>
      </c>
      <c r="H602" s="195">
        <v>0</v>
      </c>
      <c r="I602" s="194">
        <f t="shared" si="9"/>
        <v>0</v>
      </c>
      <c r="J602" s="195"/>
    </row>
    <row r="603" spans="1:10">
      <c r="A603" s="1249"/>
      <c r="B603" s="196"/>
      <c r="D603" s="200" t="s">
        <v>43</v>
      </c>
      <c r="E603" s="199">
        <v>1</v>
      </c>
      <c r="F603" s="195">
        <v>0</v>
      </c>
      <c r="G603" s="195">
        <v>0</v>
      </c>
      <c r="H603" s="195">
        <v>0</v>
      </c>
      <c r="I603" s="194">
        <f t="shared" si="9"/>
        <v>0</v>
      </c>
      <c r="J603" s="195"/>
    </row>
    <row r="604" spans="1:10">
      <c r="A604" s="1249"/>
      <c r="B604" s="196" t="s">
        <v>675</v>
      </c>
      <c r="C604" s="197" t="s">
        <v>675</v>
      </c>
      <c r="D604" s="200" t="s">
        <v>39</v>
      </c>
      <c r="E604" s="199">
        <v>1</v>
      </c>
      <c r="F604" s="195">
        <v>0</v>
      </c>
      <c r="G604" s="195">
        <v>0</v>
      </c>
      <c r="H604" s="195">
        <v>0</v>
      </c>
      <c r="I604" s="194">
        <f t="shared" si="9"/>
        <v>0</v>
      </c>
      <c r="J604" s="195"/>
    </row>
    <row r="605" spans="1:10">
      <c r="A605" s="1249"/>
      <c r="B605" s="196" t="s">
        <v>676</v>
      </c>
      <c r="C605" s="197" t="s">
        <v>676</v>
      </c>
      <c r="D605" s="200" t="s">
        <v>39</v>
      </c>
      <c r="E605" s="199">
        <v>2</v>
      </c>
      <c r="F605" s="195">
        <v>0</v>
      </c>
      <c r="G605" s="195">
        <v>0</v>
      </c>
      <c r="H605" s="195">
        <v>0</v>
      </c>
      <c r="I605" s="194">
        <f t="shared" si="9"/>
        <v>0</v>
      </c>
      <c r="J605" s="195"/>
    </row>
    <row r="606" spans="1:10">
      <c r="A606" s="1249"/>
      <c r="B606" s="196"/>
      <c r="D606" s="200" t="s">
        <v>43</v>
      </c>
      <c r="E606" s="199">
        <v>1</v>
      </c>
      <c r="F606" s="195">
        <v>0</v>
      </c>
      <c r="G606" s="195">
        <v>0</v>
      </c>
      <c r="H606" s="195">
        <v>0</v>
      </c>
      <c r="I606" s="194">
        <f t="shared" si="9"/>
        <v>0</v>
      </c>
      <c r="J606" s="195"/>
    </row>
    <row r="607" spans="1:10">
      <c r="A607" s="1249"/>
      <c r="B607" s="196" t="s">
        <v>677</v>
      </c>
      <c r="C607" s="197" t="s">
        <v>677</v>
      </c>
      <c r="D607" s="200" t="s">
        <v>39</v>
      </c>
      <c r="E607" s="199">
        <v>2</v>
      </c>
      <c r="F607" s="195">
        <v>0</v>
      </c>
      <c r="G607" s="195">
        <v>0</v>
      </c>
      <c r="H607" s="195">
        <v>0</v>
      </c>
      <c r="I607" s="194">
        <f t="shared" si="9"/>
        <v>0</v>
      </c>
      <c r="J607" s="195"/>
    </row>
    <row r="608" spans="1:10">
      <c r="A608" s="1249"/>
      <c r="B608" s="196"/>
      <c r="D608" s="200" t="s">
        <v>43</v>
      </c>
      <c r="E608" s="199">
        <v>1</v>
      </c>
      <c r="F608" s="195">
        <v>0</v>
      </c>
      <c r="G608" s="195">
        <v>0</v>
      </c>
      <c r="H608" s="195">
        <v>0</v>
      </c>
      <c r="I608" s="194">
        <f t="shared" si="9"/>
        <v>0</v>
      </c>
      <c r="J608" s="195"/>
    </row>
    <row r="609" spans="1:10">
      <c r="A609" s="1249"/>
      <c r="B609" s="196" t="s">
        <v>678</v>
      </c>
      <c r="C609" s="197" t="s">
        <v>678</v>
      </c>
      <c r="D609" s="200" t="s">
        <v>39</v>
      </c>
      <c r="E609" s="199">
        <v>2</v>
      </c>
      <c r="F609" s="195">
        <v>0</v>
      </c>
      <c r="G609" s="195">
        <v>0</v>
      </c>
      <c r="H609" s="195">
        <v>0</v>
      </c>
      <c r="I609" s="194">
        <f t="shared" si="9"/>
        <v>0</v>
      </c>
      <c r="J609" s="195"/>
    </row>
    <row r="610" spans="1:10">
      <c r="A610" s="1249"/>
      <c r="B610" s="196"/>
      <c r="D610" s="200" t="s">
        <v>43</v>
      </c>
      <c r="E610" s="199">
        <v>1</v>
      </c>
      <c r="F610" s="195">
        <v>0</v>
      </c>
      <c r="G610" s="195">
        <v>0</v>
      </c>
      <c r="H610" s="195">
        <v>0</v>
      </c>
      <c r="I610" s="194">
        <f t="shared" si="9"/>
        <v>0</v>
      </c>
      <c r="J610" s="195"/>
    </row>
    <row r="611" spans="1:10">
      <c r="A611" s="1249"/>
      <c r="B611" s="196" t="s">
        <v>679</v>
      </c>
      <c r="C611" s="197" t="s">
        <v>679</v>
      </c>
      <c r="D611" s="200" t="s">
        <v>39</v>
      </c>
      <c r="E611" s="199">
        <v>2</v>
      </c>
      <c r="F611" s="195">
        <v>0</v>
      </c>
      <c r="G611" s="195">
        <v>0</v>
      </c>
      <c r="H611" s="195">
        <v>0</v>
      </c>
      <c r="I611" s="194">
        <f t="shared" si="9"/>
        <v>0</v>
      </c>
      <c r="J611" s="195"/>
    </row>
    <row r="612" spans="1:10">
      <c r="A612" s="1249"/>
      <c r="B612" s="196"/>
      <c r="D612" s="200" t="s">
        <v>43</v>
      </c>
      <c r="E612" s="199">
        <v>1</v>
      </c>
      <c r="F612" s="195">
        <v>0</v>
      </c>
      <c r="G612" s="195">
        <v>0</v>
      </c>
      <c r="H612" s="195">
        <v>0</v>
      </c>
      <c r="I612" s="194">
        <f t="shared" si="9"/>
        <v>0</v>
      </c>
      <c r="J612" s="195"/>
    </row>
    <row r="613" spans="1:10">
      <c r="A613" s="1249"/>
      <c r="B613" s="196" t="s">
        <v>680</v>
      </c>
      <c r="C613" s="197" t="s">
        <v>680</v>
      </c>
      <c r="D613" s="200" t="s">
        <v>39</v>
      </c>
      <c r="E613" s="199">
        <v>2</v>
      </c>
      <c r="F613" s="195">
        <v>0</v>
      </c>
      <c r="G613" s="195">
        <v>0</v>
      </c>
      <c r="H613" s="195">
        <v>0</v>
      </c>
      <c r="I613" s="194">
        <f t="shared" si="9"/>
        <v>0</v>
      </c>
      <c r="J613" s="195"/>
    </row>
    <row r="614" spans="1:10">
      <c r="A614" s="1249"/>
      <c r="B614" s="196"/>
      <c r="D614" s="200" t="s">
        <v>43</v>
      </c>
      <c r="E614" s="199">
        <v>1</v>
      </c>
      <c r="F614" s="195">
        <v>0</v>
      </c>
      <c r="G614" s="195">
        <v>0</v>
      </c>
      <c r="H614" s="195">
        <v>0</v>
      </c>
      <c r="I614" s="194">
        <f t="shared" si="9"/>
        <v>0</v>
      </c>
      <c r="J614" s="195"/>
    </row>
    <row r="615" spans="1:10">
      <c r="A615" s="1249"/>
      <c r="B615" s="196" t="s">
        <v>681</v>
      </c>
      <c r="C615" s="197" t="s">
        <v>681</v>
      </c>
      <c r="D615" s="200" t="s">
        <v>39</v>
      </c>
      <c r="E615" s="199">
        <v>1</v>
      </c>
      <c r="F615" s="195">
        <v>0</v>
      </c>
      <c r="G615" s="195">
        <v>0</v>
      </c>
      <c r="H615" s="195">
        <v>0</v>
      </c>
      <c r="I615" s="194">
        <f t="shared" si="9"/>
        <v>0</v>
      </c>
      <c r="J615" s="195"/>
    </row>
    <row r="616" spans="1:10">
      <c r="A616" s="1249"/>
      <c r="B616" s="196"/>
      <c r="D616" s="200" t="s">
        <v>43</v>
      </c>
      <c r="E616" s="199">
        <v>1</v>
      </c>
      <c r="F616" s="195">
        <v>0</v>
      </c>
      <c r="G616" s="195">
        <v>0</v>
      </c>
      <c r="H616" s="195">
        <v>0</v>
      </c>
      <c r="I616" s="194">
        <f t="shared" si="9"/>
        <v>0</v>
      </c>
      <c r="J616" s="195"/>
    </row>
    <row r="617" spans="1:10">
      <c r="A617" s="1249"/>
      <c r="B617" s="196"/>
      <c r="D617" s="200" t="s">
        <v>1387</v>
      </c>
      <c r="E617" s="199">
        <v>1</v>
      </c>
      <c r="F617" s="195">
        <v>0</v>
      </c>
      <c r="G617" s="195">
        <v>0</v>
      </c>
      <c r="H617" s="195">
        <v>0</v>
      </c>
      <c r="I617" s="194">
        <f t="shared" si="9"/>
        <v>0</v>
      </c>
      <c r="J617" s="195"/>
    </row>
    <row r="618" spans="1:10">
      <c r="A618" s="1249"/>
      <c r="B618" s="196"/>
      <c r="D618" s="200" t="s">
        <v>1399</v>
      </c>
      <c r="E618" s="199">
        <v>1</v>
      </c>
      <c r="F618" s="195">
        <v>0</v>
      </c>
      <c r="G618" s="195">
        <v>0</v>
      </c>
      <c r="H618" s="195">
        <v>0</v>
      </c>
      <c r="I618" s="194">
        <f t="shared" si="9"/>
        <v>0</v>
      </c>
      <c r="J618" s="195"/>
    </row>
    <row r="619" spans="1:10">
      <c r="A619" s="1249"/>
      <c r="B619" s="196" t="s">
        <v>682</v>
      </c>
      <c r="C619" s="197" t="s">
        <v>682</v>
      </c>
      <c r="D619" s="200" t="s">
        <v>39</v>
      </c>
      <c r="E619" s="199">
        <v>1</v>
      </c>
      <c r="F619" s="195">
        <v>0</v>
      </c>
      <c r="G619" s="195">
        <v>0</v>
      </c>
      <c r="H619" s="195">
        <v>0</v>
      </c>
      <c r="I619" s="194">
        <f t="shared" si="9"/>
        <v>0</v>
      </c>
      <c r="J619" s="195"/>
    </row>
    <row r="620" spans="1:10">
      <c r="A620" s="1249"/>
      <c r="B620" s="196"/>
      <c r="D620" s="200" t="s">
        <v>43</v>
      </c>
      <c r="E620" s="199">
        <v>1</v>
      </c>
      <c r="F620" s="195">
        <v>0</v>
      </c>
      <c r="G620" s="195">
        <v>0</v>
      </c>
      <c r="H620" s="195">
        <v>0</v>
      </c>
      <c r="I620" s="194">
        <f t="shared" si="9"/>
        <v>0</v>
      </c>
      <c r="J620" s="195"/>
    </row>
    <row r="621" spans="1:10">
      <c r="A621" s="1249"/>
      <c r="B621" s="196" t="s">
        <v>683</v>
      </c>
      <c r="C621" s="197" t="s">
        <v>683</v>
      </c>
      <c r="D621" s="200" t="s">
        <v>39</v>
      </c>
      <c r="E621" s="199">
        <v>2</v>
      </c>
      <c r="F621" s="195">
        <v>0</v>
      </c>
      <c r="G621" s="195">
        <v>0</v>
      </c>
      <c r="H621" s="195">
        <v>0</v>
      </c>
      <c r="I621" s="194">
        <f t="shared" si="9"/>
        <v>0</v>
      </c>
      <c r="J621" s="195"/>
    </row>
    <row r="622" spans="1:10">
      <c r="A622" s="1249"/>
      <c r="B622" s="196"/>
      <c r="D622" s="200" t="s">
        <v>43</v>
      </c>
      <c r="E622" s="199">
        <v>1</v>
      </c>
      <c r="F622" s="195">
        <v>0</v>
      </c>
      <c r="G622" s="195">
        <v>0</v>
      </c>
      <c r="H622" s="195">
        <v>0</v>
      </c>
      <c r="I622" s="194">
        <f t="shared" si="9"/>
        <v>0</v>
      </c>
      <c r="J622" s="195"/>
    </row>
    <row r="623" spans="1:10">
      <c r="A623" s="1249"/>
      <c r="B623" s="196"/>
      <c r="D623" s="200" t="s">
        <v>1387</v>
      </c>
      <c r="E623" s="199">
        <v>1</v>
      </c>
      <c r="F623" s="195">
        <v>0</v>
      </c>
      <c r="G623" s="195">
        <v>0</v>
      </c>
      <c r="H623" s="195">
        <v>0</v>
      </c>
      <c r="I623" s="194">
        <f t="shared" si="9"/>
        <v>0</v>
      </c>
      <c r="J623" s="195"/>
    </row>
    <row r="624" spans="1:10">
      <c r="A624" s="1249"/>
      <c r="B624" s="196"/>
      <c r="D624" s="200" t="s">
        <v>1399</v>
      </c>
      <c r="E624" s="199">
        <v>1</v>
      </c>
      <c r="F624" s="195">
        <v>0</v>
      </c>
      <c r="G624" s="195">
        <v>0</v>
      </c>
      <c r="H624" s="195">
        <v>0</v>
      </c>
      <c r="I624" s="194">
        <f t="shared" si="9"/>
        <v>0</v>
      </c>
      <c r="J624" s="195"/>
    </row>
    <row r="625" spans="1:10">
      <c r="A625" s="1249"/>
      <c r="B625" s="196" t="s">
        <v>684</v>
      </c>
      <c r="C625" s="197" t="s">
        <v>684</v>
      </c>
      <c r="D625" s="200" t="s">
        <v>39</v>
      </c>
      <c r="E625" s="199">
        <v>1</v>
      </c>
      <c r="F625" s="195">
        <v>0</v>
      </c>
      <c r="G625" s="195">
        <v>0</v>
      </c>
      <c r="H625" s="195">
        <v>0</v>
      </c>
      <c r="I625" s="194">
        <f t="shared" si="9"/>
        <v>0</v>
      </c>
      <c r="J625" s="195"/>
    </row>
    <row r="626" spans="1:10">
      <c r="A626" s="1249"/>
      <c r="B626" s="196"/>
      <c r="D626" s="200" t="s">
        <v>43</v>
      </c>
      <c r="E626" s="199">
        <v>1</v>
      </c>
      <c r="F626" s="195">
        <v>0</v>
      </c>
      <c r="G626" s="195">
        <v>0</v>
      </c>
      <c r="H626" s="195">
        <v>0</v>
      </c>
      <c r="I626" s="194">
        <f t="shared" si="9"/>
        <v>0</v>
      </c>
      <c r="J626" s="195"/>
    </row>
    <row r="627" spans="1:10">
      <c r="A627" s="1249"/>
      <c r="B627" s="196" t="s">
        <v>685</v>
      </c>
      <c r="C627" s="197" t="s">
        <v>685</v>
      </c>
      <c r="D627" s="200" t="s">
        <v>39</v>
      </c>
      <c r="E627" s="199">
        <v>1</v>
      </c>
      <c r="F627" s="195">
        <v>0</v>
      </c>
      <c r="G627" s="195">
        <v>0</v>
      </c>
      <c r="H627" s="195">
        <v>0</v>
      </c>
      <c r="I627" s="194">
        <f t="shared" si="9"/>
        <v>0</v>
      </c>
      <c r="J627" s="195"/>
    </row>
    <row r="628" spans="1:10">
      <c r="A628" s="1249"/>
      <c r="B628" s="196"/>
      <c r="D628" s="200" t="s">
        <v>43</v>
      </c>
      <c r="E628" s="199">
        <v>1</v>
      </c>
      <c r="F628" s="195">
        <v>0</v>
      </c>
      <c r="G628" s="195">
        <v>0</v>
      </c>
      <c r="H628" s="195">
        <v>0</v>
      </c>
      <c r="I628" s="194">
        <f t="shared" si="9"/>
        <v>0</v>
      </c>
      <c r="J628" s="195"/>
    </row>
    <row r="629" spans="1:10">
      <c r="A629" s="1249"/>
      <c r="B629" s="196"/>
      <c r="D629" s="200" t="s">
        <v>1387</v>
      </c>
      <c r="E629" s="199">
        <v>1</v>
      </c>
      <c r="F629" s="195">
        <v>0</v>
      </c>
      <c r="G629" s="195">
        <v>0</v>
      </c>
      <c r="H629" s="195">
        <v>0</v>
      </c>
      <c r="I629" s="194">
        <f t="shared" si="9"/>
        <v>0</v>
      </c>
      <c r="J629" s="195"/>
    </row>
    <row r="630" spans="1:10">
      <c r="A630" s="1249"/>
      <c r="B630" s="196"/>
      <c r="D630" s="200" t="s">
        <v>1399</v>
      </c>
      <c r="E630" s="199">
        <v>1</v>
      </c>
      <c r="F630" s="195">
        <v>0</v>
      </c>
      <c r="G630" s="195">
        <v>0</v>
      </c>
      <c r="H630" s="195">
        <v>0</v>
      </c>
      <c r="I630" s="194">
        <f t="shared" si="9"/>
        <v>0</v>
      </c>
      <c r="J630" s="195"/>
    </row>
    <row r="631" spans="1:10">
      <c r="A631" s="1249"/>
      <c r="B631" s="196" t="s">
        <v>686</v>
      </c>
      <c r="C631" s="197" t="s">
        <v>686</v>
      </c>
      <c r="D631" s="200" t="s">
        <v>39</v>
      </c>
      <c r="E631" s="199">
        <v>2</v>
      </c>
      <c r="F631" s="195">
        <v>0</v>
      </c>
      <c r="G631" s="195">
        <v>0</v>
      </c>
      <c r="H631" s="195">
        <v>0</v>
      </c>
      <c r="I631" s="194">
        <f t="shared" si="9"/>
        <v>0</v>
      </c>
      <c r="J631" s="195"/>
    </row>
    <row r="632" spans="1:10">
      <c r="A632" s="1249"/>
      <c r="B632" s="196"/>
      <c r="D632" s="200" t="s">
        <v>43</v>
      </c>
      <c r="E632" s="199">
        <v>1</v>
      </c>
      <c r="F632" s="195">
        <v>0</v>
      </c>
      <c r="G632" s="195">
        <v>0</v>
      </c>
      <c r="H632" s="195">
        <v>0</v>
      </c>
      <c r="I632" s="194">
        <f t="shared" si="9"/>
        <v>0</v>
      </c>
      <c r="J632" s="195"/>
    </row>
    <row r="633" spans="1:10">
      <c r="A633" s="1249"/>
      <c r="B633" s="196"/>
      <c r="D633" s="200" t="s">
        <v>1387</v>
      </c>
      <c r="E633" s="199">
        <v>1</v>
      </c>
      <c r="F633" s="195">
        <v>0</v>
      </c>
      <c r="G633" s="195">
        <v>0</v>
      </c>
      <c r="H633" s="195">
        <v>0</v>
      </c>
      <c r="I633" s="194">
        <f t="shared" si="9"/>
        <v>0</v>
      </c>
      <c r="J633" s="195"/>
    </row>
    <row r="634" spans="1:10">
      <c r="A634" s="1249"/>
      <c r="B634" s="196"/>
      <c r="D634" s="200" t="s">
        <v>1399</v>
      </c>
      <c r="E634" s="199">
        <v>1</v>
      </c>
      <c r="F634" s="195">
        <v>0</v>
      </c>
      <c r="G634" s="195">
        <v>0</v>
      </c>
      <c r="H634" s="195">
        <v>0</v>
      </c>
      <c r="I634" s="194">
        <f t="shared" si="9"/>
        <v>0</v>
      </c>
      <c r="J634" s="195"/>
    </row>
    <row r="635" spans="1:10">
      <c r="A635" s="1249"/>
      <c r="B635" s="196" t="s">
        <v>687</v>
      </c>
      <c r="C635" s="197" t="s">
        <v>687</v>
      </c>
      <c r="D635" s="200" t="s">
        <v>39</v>
      </c>
      <c r="E635" s="199">
        <v>1</v>
      </c>
      <c r="F635" s="195">
        <v>0</v>
      </c>
      <c r="G635" s="195">
        <v>0</v>
      </c>
      <c r="H635" s="195">
        <v>0</v>
      </c>
      <c r="I635" s="194">
        <f t="shared" si="9"/>
        <v>0</v>
      </c>
      <c r="J635" s="195"/>
    </row>
    <row r="636" spans="1:10">
      <c r="A636" s="1249"/>
      <c r="B636" s="196"/>
      <c r="D636" s="200" t="s">
        <v>43</v>
      </c>
      <c r="E636" s="199">
        <v>1</v>
      </c>
      <c r="F636" s="195">
        <v>0</v>
      </c>
      <c r="G636" s="195">
        <v>0</v>
      </c>
      <c r="H636" s="195">
        <v>0</v>
      </c>
      <c r="I636" s="194">
        <f t="shared" si="9"/>
        <v>0</v>
      </c>
      <c r="J636" s="195"/>
    </row>
    <row r="637" spans="1:10">
      <c r="A637" s="1249"/>
      <c r="B637" s="196" t="s">
        <v>688</v>
      </c>
      <c r="C637" s="197" t="s">
        <v>688</v>
      </c>
      <c r="D637" s="200" t="s">
        <v>39</v>
      </c>
      <c r="E637" s="199">
        <v>1</v>
      </c>
      <c r="F637" s="195">
        <v>0</v>
      </c>
      <c r="G637" s="195">
        <v>0</v>
      </c>
      <c r="H637" s="195">
        <v>0</v>
      </c>
      <c r="I637" s="194">
        <f t="shared" si="9"/>
        <v>0</v>
      </c>
      <c r="J637" s="195"/>
    </row>
    <row r="638" spans="1:10">
      <c r="A638" s="1249"/>
      <c r="B638" s="196" t="s">
        <v>689</v>
      </c>
      <c r="C638" s="197" t="s">
        <v>689</v>
      </c>
      <c r="D638" s="200" t="s">
        <v>39</v>
      </c>
      <c r="E638" s="199">
        <v>1</v>
      </c>
      <c r="F638" s="195">
        <v>0</v>
      </c>
      <c r="G638" s="195">
        <v>0</v>
      </c>
      <c r="H638" s="195">
        <v>0</v>
      </c>
      <c r="I638" s="194">
        <f t="shared" si="9"/>
        <v>0</v>
      </c>
      <c r="J638" s="195"/>
    </row>
    <row r="639" spans="1:10">
      <c r="A639" s="1249"/>
      <c r="B639" s="196" t="s">
        <v>690</v>
      </c>
      <c r="C639" s="197" t="s">
        <v>690</v>
      </c>
      <c r="D639" s="200" t="s">
        <v>39</v>
      </c>
      <c r="E639" s="199">
        <v>1</v>
      </c>
      <c r="F639" s="195">
        <v>0</v>
      </c>
      <c r="G639" s="195">
        <v>0</v>
      </c>
      <c r="H639" s="195">
        <v>0</v>
      </c>
      <c r="I639" s="194">
        <f t="shared" si="9"/>
        <v>0</v>
      </c>
      <c r="J639" s="195"/>
    </row>
    <row r="640" spans="1:10">
      <c r="A640" s="1249"/>
      <c r="B640" s="196" t="s">
        <v>691</v>
      </c>
      <c r="C640" s="197" t="s">
        <v>691</v>
      </c>
      <c r="D640" s="200" t="s">
        <v>39</v>
      </c>
      <c r="E640" s="199">
        <v>1</v>
      </c>
      <c r="F640" s="195">
        <v>0</v>
      </c>
      <c r="G640" s="195">
        <v>0</v>
      </c>
      <c r="H640" s="195">
        <v>0</v>
      </c>
      <c r="I640" s="194">
        <f t="shared" si="9"/>
        <v>0</v>
      </c>
      <c r="J640" s="195"/>
    </row>
    <row r="641" spans="1:10">
      <c r="A641" s="1249"/>
      <c r="B641" s="196" t="s">
        <v>692</v>
      </c>
      <c r="C641" s="197" t="s">
        <v>692</v>
      </c>
      <c r="D641" s="200" t="s">
        <v>39</v>
      </c>
      <c r="E641" s="199">
        <v>1</v>
      </c>
      <c r="F641" s="195">
        <v>0</v>
      </c>
      <c r="G641" s="195">
        <v>0</v>
      </c>
      <c r="H641" s="195">
        <v>0</v>
      </c>
      <c r="I641" s="194">
        <f t="shared" si="9"/>
        <v>0</v>
      </c>
      <c r="J641" s="195"/>
    </row>
    <row r="642" spans="1:10">
      <c r="A642" s="1249"/>
      <c r="B642" s="196" t="s">
        <v>693</v>
      </c>
      <c r="C642" s="197" t="s">
        <v>693</v>
      </c>
      <c r="D642" s="200" t="s">
        <v>39</v>
      </c>
      <c r="E642" s="199">
        <v>1</v>
      </c>
      <c r="F642" s="195">
        <v>0</v>
      </c>
      <c r="G642" s="195">
        <v>0</v>
      </c>
      <c r="H642" s="195">
        <v>0</v>
      </c>
      <c r="I642" s="194">
        <f t="shared" ref="I642:I705" si="10">ROUNDUP(((F642+G642+H642)/3)/E642*100%,2)</f>
        <v>0</v>
      </c>
      <c r="J642" s="195"/>
    </row>
    <row r="643" spans="1:10">
      <c r="A643" s="1249"/>
      <c r="B643" s="196"/>
      <c r="D643" s="200" t="s">
        <v>43</v>
      </c>
      <c r="E643" s="199">
        <v>1</v>
      </c>
      <c r="F643" s="195">
        <v>0</v>
      </c>
      <c r="G643" s="195">
        <v>0</v>
      </c>
      <c r="H643" s="195">
        <v>0</v>
      </c>
      <c r="I643" s="194">
        <f t="shared" si="10"/>
        <v>0</v>
      </c>
      <c r="J643" s="195"/>
    </row>
    <row r="644" spans="1:10">
      <c r="A644" s="1249"/>
      <c r="B644" s="208" t="s">
        <v>638</v>
      </c>
      <c r="C644" s="197" t="s">
        <v>349</v>
      </c>
      <c r="D644" s="198" t="s">
        <v>39</v>
      </c>
      <c r="E644" s="199">
        <v>3</v>
      </c>
      <c r="F644" s="195">
        <v>0</v>
      </c>
      <c r="G644" s="195">
        <v>0</v>
      </c>
      <c r="H644" s="195">
        <v>0</v>
      </c>
      <c r="I644" s="194">
        <f t="shared" si="10"/>
        <v>0</v>
      </c>
      <c r="J644" s="195"/>
    </row>
    <row r="645" spans="1:10">
      <c r="A645" s="1249"/>
      <c r="B645" s="208"/>
      <c r="D645" s="198" t="s">
        <v>43</v>
      </c>
      <c r="E645" s="199">
        <v>2</v>
      </c>
      <c r="F645" s="195">
        <v>0</v>
      </c>
      <c r="G645" s="195">
        <v>0</v>
      </c>
      <c r="H645" s="195">
        <v>0</v>
      </c>
      <c r="I645" s="194">
        <f t="shared" si="10"/>
        <v>0</v>
      </c>
      <c r="J645" s="195"/>
    </row>
    <row r="646" spans="1:10">
      <c r="A646" s="1249"/>
      <c r="B646" s="208" t="s">
        <v>639</v>
      </c>
      <c r="C646" s="197" t="s">
        <v>349</v>
      </c>
      <c r="D646" s="198" t="s">
        <v>39</v>
      </c>
      <c r="E646" s="199">
        <v>3</v>
      </c>
      <c r="F646" s="195">
        <v>0</v>
      </c>
      <c r="G646" s="195">
        <v>0</v>
      </c>
      <c r="H646" s="195">
        <v>0</v>
      </c>
      <c r="I646" s="194">
        <f t="shared" si="10"/>
        <v>0</v>
      </c>
      <c r="J646" s="195"/>
    </row>
    <row r="647" spans="1:10">
      <c r="A647" s="1249"/>
      <c r="B647" s="208"/>
      <c r="D647" s="198" t="s">
        <v>43</v>
      </c>
      <c r="E647" s="199">
        <v>3</v>
      </c>
      <c r="F647" s="195">
        <v>0</v>
      </c>
      <c r="G647" s="195">
        <v>0</v>
      </c>
      <c r="H647" s="195">
        <v>0</v>
      </c>
      <c r="I647" s="194">
        <f t="shared" si="10"/>
        <v>0</v>
      </c>
      <c r="J647" s="195"/>
    </row>
    <row r="648" spans="1:10">
      <c r="A648" s="1249"/>
      <c r="B648" s="208" t="s">
        <v>640</v>
      </c>
      <c r="C648" s="197" t="s">
        <v>349</v>
      </c>
      <c r="D648" s="198" t="s">
        <v>39</v>
      </c>
      <c r="E648" s="199">
        <v>3</v>
      </c>
      <c r="F648" s="195">
        <v>0</v>
      </c>
      <c r="G648" s="195">
        <v>0</v>
      </c>
      <c r="H648" s="195">
        <v>0</v>
      </c>
      <c r="I648" s="194">
        <f t="shared" si="10"/>
        <v>0</v>
      </c>
      <c r="J648" s="195"/>
    </row>
    <row r="649" spans="1:10">
      <c r="A649" s="1249"/>
      <c r="B649" s="208"/>
      <c r="D649" s="198" t="s">
        <v>43</v>
      </c>
      <c r="E649" s="199">
        <v>3</v>
      </c>
      <c r="F649" s="195">
        <v>0</v>
      </c>
      <c r="G649" s="195">
        <v>0</v>
      </c>
      <c r="H649" s="195">
        <v>0</v>
      </c>
      <c r="I649" s="194">
        <f t="shared" si="10"/>
        <v>0</v>
      </c>
      <c r="J649" s="195"/>
    </row>
    <row r="650" spans="1:10">
      <c r="A650" s="1249"/>
      <c r="B650" s="208" t="s">
        <v>641</v>
      </c>
      <c r="C650" s="197" t="s">
        <v>349</v>
      </c>
      <c r="D650" s="198" t="s">
        <v>39</v>
      </c>
      <c r="E650" s="199">
        <v>3</v>
      </c>
      <c r="F650" s="195">
        <v>0</v>
      </c>
      <c r="G650" s="195">
        <v>0</v>
      </c>
      <c r="H650" s="195">
        <v>0</v>
      </c>
      <c r="I650" s="194">
        <f t="shared" si="10"/>
        <v>0</v>
      </c>
      <c r="J650" s="195"/>
    </row>
    <row r="651" spans="1:10">
      <c r="A651" s="1249"/>
      <c r="B651" s="208"/>
      <c r="D651" s="198" t="s">
        <v>43</v>
      </c>
      <c r="E651" s="199">
        <v>3</v>
      </c>
      <c r="F651" s="195">
        <v>0</v>
      </c>
      <c r="G651" s="195">
        <v>0</v>
      </c>
      <c r="H651" s="195">
        <v>0</v>
      </c>
      <c r="I651" s="194">
        <f t="shared" si="10"/>
        <v>0</v>
      </c>
      <c r="J651" s="195"/>
    </row>
    <row r="652" spans="1:10">
      <c r="A652" s="1249"/>
      <c r="B652" s="208" t="s">
        <v>642</v>
      </c>
      <c r="C652" s="197" t="s">
        <v>349</v>
      </c>
      <c r="D652" s="198" t="s">
        <v>39</v>
      </c>
      <c r="E652" s="199">
        <v>3</v>
      </c>
      <c r="F652" s="195">
        <v>0</v>
      </c>
      <c r="G652" s="195">
        <v>0</v>
      </c>
      <c r="H652" s="195">
        <v>0</v>
      </c>
      <c r="I652" s="194">
        <f t="shared" si="10"/>
        <v>0</v>
      </c>
      <c r="J652" s="195"/>
    </row>
    <row r="653" spans="1:10">
      <c r="A653" s="1249"/>
      <c r="B653" s="208"/>
      <c r="D653" s="198" t="s">
        <v>43</v>
      </c>
      <c r="E653" s="199">
        <v>3</v>
      </c>
      <c r="F653" s="195">
        <v>0</v>
      </c>
      <c r="G653" s="195">
        <v>0</v>
      </c>
      <c r="H653" s="195">
        <v>0</v>
      </c>
      <c r="I653" s="194">
        <f t="shared" si="10"/>
        <v>0</v>
      </c>
      <c r="J653" s="195"/>
    </row>
    <row r="654" spans="1:10">
      <c r="A654" s="1249"/>
      <c r="B654" s="208" t="s">
        <v>643</v>
      </c>
      <c r="C654" s="197" t="s">
        <v>349</v>
      </c>
      <c r="D654" s="198" t="s">
        <v>39</v>
      </c>
      <c r="E654" s="199">
        <v>3</v>
      </c>
      <c r="F654" s="195">
        <v>0</v>
      </c>
      <c r="G654" s="195">
        <v>0</v>
      </c>
      <c r="H654" s="195">
        <v>0</v>
      </c>
      <c r="I654" s="194">
        <f t="shared" si="10"/>
        <v>0</v>
      </c>
      <c r="J654" s="195"/>
    </row>
    <row r="655" spans="1:10">
      <c r="A655" s="1249"/>
      <c r="B655" s="208"/>
      <c r="D655" s="198" t="s">
        <v>43</v>
      </c>
      <c r="E655" s="199">
        <v>3</v>
      </c>
      <c r="F655" s="195">
        <v>0</v>
      </c>
      <c r="G655" s="195">
        <v>0</v>
      </c>
      <c r="H655" s="195">
        <v>0</v>
      </c>
      <c r="I655" s="194">
        <f t="shared" si="10"/>
        <v>0</v>
      </c>
      <c r="J655" s="195"/>
    </row>
    <row r="656" spans="1:10">
      <c r="A656" s="1249"/>
      <c r="B656" s="208" t="s">
        <v>644</v>
      </c>
      <c r="C656" s="197" t="s">
        <v>349</v>
      </c>
      <c r="D656" s="198" t="s">
        <v>39</v>
      </c>
      <c r="E656" s="199">
        <v>3</v>
      </c>
      <c r="F656" s="195">
        <v>0</v>
      </c>
      <c r="G656" s="195">
        <v>0</v>
      </c>
      <c r="H656" s="195">
        <v>0</v>
      </c>
      <c r="I656" s="194">
        <f t="shared" si="10"/>
        <v>0</v>
      </c>
      <c r="J656" s="195"/>
    </row>
    <row r="657" spans="1:10">
      <c r="A657" s="1249"/>
      <c r="B657" s="208"/>
      <c r="D657" s="198" t="s">
        <v>43</v>
      </c>
      <c r="E657" s="199">
        <v>3</v>
      </c>
      <c r="F657" s="195">
        <v>0</v>
      </c>
      <c r="G657" s="195">
        <v>0</v>
      </c>
      <c r="H657" s="195">
        <v>0</v>
      </c>
      <c r="I657" s="194">
        <f t="shared" si="10"/>
        <v>0</v>
      </c>
      <c r="J657" s="195"/>
    </row>
    <row r="658" spans="1:10">
      <c r="A658" s="1249"/>
      <c r="B658" s="208" t="s">
        <v>645</v>
      </c>
      <c r="C658" s="197" t="s">
        <v>349</v>
      </c>
      <c r="D658" s="198" t="s">
        <v>39</v>
      </c>
      <c r="E658" s="199">
        <v>3</v>
      </c>
      <c r="F658" s="195">
        <v>0</v>
      </c>
      <c r="G658" s="195">
        <v>0</v>
      </c>
      <c r="H658" s="195">
        <v>0</v>
      </c>
      <c r="I658" s="194">
        <f t="shared" si="10"/>
        <v>0</v>
      </c>
      <c r="J658" s="195"/>
    </row>
    <row r="659" spans="1:10">
      <c r="A659" s="1249"/>
      <c r="B659" s="208"/>
      <c r="D659" s="198" t="s">
        <v>43</v>
      </c>
      <c r="E659" s="199">
        <v>3</v>
      </c>
      <c r="F659" s="195">
        <v>0</v>
      </c>
      <c r="G659" s="195">
        <v>0</v>
      </c>
      <c r="H659" s="195">
        <v>0</v>
      </c>
      <c r="I659" s="194">
        <f t="shared" si="10"/>
        <v>0</v>
      </c>
      <c r="J659" s="195"/>
    </row>
    <row r="660" spans="1:10">
      <c r="A660" s="1249"/>
      <c r="B660" s="208" t="s">
        <v>646</v>
      </c>
      <c r="C660" s="197" t="s">
        <v>349</v>
      </c>
      <c r="D660" s="198" t="s">
        <v>39</v>
      </c>
      <c r="E660" s="199">
        <v>3</v>
      </c>
      <c r="F660" s="195">
        <v>0</v>
      </c>
      <c r="G660" s="195">
        <v>0</v>
      </c>
      <c r="H660" s="195">
        <v>0</v>
      </c>
      <c r="I660" s="194">
        <f t="shared" si="10"/>
        <v>0</v>
      </c>
      <c r="J660" s="195"/>
    </row>
    <row r="661" spans="1:10">
      <c r="A661" s="1249"/>
      <c r="B661" s="208"/>
      <c r="D661" s="198" t="s">
        <v>43</v>
      </c>
      <c r="E661" s="199">
        <v>3</v>
      </c>
      <c r="F661" s="195">
        <v>0</v>
      </c>
      <c r="G661" s="195">
        <v>0</v>
      </c>
      <c r="H661" s="195">
        <v>0</v>
      </c>
      <c r="I661" s="194">
        <f t="shared" si="10"/>
        <v>0</v>
      </c>
      <c r="J661" s="195"/>
    </row>
    <row r="662" spans="1:10">
      <c r="A662" s="1249"/>
      <c r="B662" s="208" t="s">
        <v>647</v>
      </c>
      <c r="C662" s="197" t="s">
        <v>349</v>
      </c>
      <c r="D662" s="198" t="s">
        <v>39</v>
      </c>
      <c r="E662" s="199">
        <v>3</v>
      </c>
      <c r="F662" s="195">
        <v>0</v>
      </c>
      <c r="G662" s="195">
        <v>0</v>
      </c>
      <c r="H662" s="195">
        <v>0</v>
      </c>
      <c r="I662" s="194">
        <f t="shared" si="10"/>
        <v>0</v>
      </c>
      <c r="J662" s="195"/>
    </row>
    <row r="663" spans="1:10">
      <c r="A663" s="1249"/>
      <c r="B663" s="208"/>
      <c r="D663" s="198" t="s">
        <v>43</v>
      </c>
      <c r="E663" s="199">
        <v>3</v>
      </c>
      <c r="F663" s="195">
        <v>0</v>
      </c>
      <c r="G663" s="195">
        <v>0</v>
      </c>
      <c r="H663" s="195">
        <v>0</v>
      </c>
      <c r="I663" s="194">
        <f t="shared" si="10"/>
        <v>0</v>
      </c>
      <c r="J663" s="195"/>
    </row>
    <row r="664" spans="1:10" ht="36">
      <c r="A664" s="46" t="s">
        <v>771</v>
      </c>
      <c r="B664" s="202" t="s">
        <v>772</v>
      </c>
      <c r="C664" s="203" t="s">
        <v>349</v>
      </c>
      <c r="D664" s="204" t="s">
        <v>39</v>
      </c>
      <c r="E664" s="195">
        <v>1</v>
      </c>
      <c r="F664" s="195">
        <v>0</v>
      </c>
      <c r="G664" s="195">
        <v>0</v>
      </c>
      <c r="H664" s="195">
        <v>0</v>
      </c>
      <c r="I664" s="194">
        <f t="shared" si="10"/>
        <v>0</v>
      </c>
      <c r="J664" s="195"/>
    </row>
    <row r="665" spans="1:10">
      <c r="A665" s="46" t="s">
        <v>855</v>
      </c>
      <c r="B665" s="202" t="s">
        <v>856</v>
      </c>
      <c r="C665" s="203" t="s">
        <v>349</v>
      </c>
      <c r="D665" s="204" t="s">
        <v>43</v>
      </c>
      <c r="E665" s="195">
        <v>1</v>
      </c>
      <c r="F665" s="195">
        <v>0</v>
      </c>
      <c r="G665" s="195">
        <v>0</v>
      </c>
      <c r="H665" s="195">
        <v>0</v>
      </c>
      <c r="I665" s="194">
        <f t="shared" si="10"/>
        <v>0</v>
      </c>
      <c r="J665" s="195"/>
    </row>
    <row r="666" spans="1:10">
      <c r="A666" s="1256" t="s">
        <v>847</v>
      </c>
      <c r="B666" s="189" t="s">
        <v>848</v>
      </c>
      <c r="C666" s="190" t="s">
        <v>1962</v>
      </c>
      <c r="D666" s="201" t="s">
        <v>1399</v>
      </c>
      <c r="E666" s="192">
        <v>1</v>
      </c>
      <c r="F666" s="195">
        <v>0</v>
      </c>
      <c r="G666" s="195">
        <v>0</v>
      </c>
      <c r="H666" s="195">
        <v>0</v>
      </c>
      <c r="I666" s="194">
        <f t="shared" si="10"/>
        <v>0</v>
      </c>
      <c r="J666" s="195"/>
    </row>
    <row r="667" spans="1:10">
      <c r="A667" s="1257"/>
      <c r="B667" s="196"/>
      <c r="C667" s="197" t="s">
        <v>349</v>
      </c>
      <c r="D667" s="200" t="s">
        <v>39</v>
      </c>
      <c r="E667" s="199">
        <v>1</v>
      </c>
      <c r="F667" s="195">
        <v>0</v>
      </c>
      <c r="G667" s="195">
        <v>0</v>
      </c>
      <c r="H667" s="195">
        <v>0</v>
      </c>
      <c r="I667" s="194">
        <f t="shared" si="10"/>
        <v>0</v>
      </c>
      <c r="J667" s="195"/>
    </row>
    <row r="668" spans="1:10">
      <c r="A668" s="1257"/>
      <c r="B668" s="196" t="s">
        <v>849</v>
      </c>
      <c r="C668" s="197" t="s">
        <v>349</v>
      </c>
      <c r="D668" s="200" t="s">
        <v>39</v>
      </c>
      <c r="E668" s="199">
        <v>1</v>
      </c>
      <c r="F668" s="195">
        <v>0</v>
      </c>
      <c r="G668" s="195">
        <v>0</v>
      </c>
      <c r="H668" s="195">
        <v>0</v>
      </c>
      <c r="I668" s="194">
        <f t="shared" si="10"/>
        <v>0</v>
      </c>
      <c r="J668" s="195"/>
    </row>
    <row r="669" spans="1:10">
      <c r="A669" s="1258"/>
      <c r="B669" s="205" t="s">
        <v>850</v>
      </c>
      <c r="C669" s="206" t="s">
        <v>349</v>
      </c>
      <c r="D669" s="207" t="s">
        <v>43</v>
      </c>
      <c r="E669" s="193">
        <v>1</v>
      </c>
      <c r="F669" s="195">
        <v>0</v>
      </c>
      <c r="G669" s="195">
        <v>0</v>
      </c>
      <c r="H669" s="195">
        <v>0</v>
      </c>
      <c r="I669" s="194">
        <f t="shared" si="10"/>
        <v>0</v>
      </c>
      <c r="J669" s="195"/>
    </row>
    <row r="670" spans="1:10" ht="36">
      <c r="A670" s="46" t="s">
        <v>854</v>
      </c>
      <c r="B670" s="202" t="s">
        <v>845</v>
      </c>
      <c r="C670" s="203" t="s">
        <v>349</v>
      </c>
      <c r="D670" s="204" t="s">
        <v>1399</v>
      </c>
      <c r="E670" s="195">
        <v>2</v>
      </c>
      <c r="F670" s="195">
        <v>0</v>
      </c>
      <c r="G670" s="195">
        <v>0</v>
      </c>
      <c r="H670" s="195">
        <v>0</v>
      </c>
      <c r="I670" s="194">
        <f t="shared" si="10"/>
        <v>0</v>
      </c>
      <c r="J670" s="195"/>
    </row>
    <row r="671" spans="1:10">
      <c r="A671" s="1248" t="s">
        <v>759</v>
      </c>
      <c r="B671" s="189" t="s">
        <v>520</v>
      </c>
      <c r="C671" s="190" t="s">
        <v>349</v>
      </c>
      <c r="D671" s="201" t="s">
        <v>1399</v>
      </c>
      <c r="E671" s="192">
        <v>1</v>
      </c>
      <c r="F671" s="195">
        <v>0</v>
      </c>
      <c r="G671" s="195">
        <v>0</v>
      </c>
      <c r="H671" s="195">
        <v>0</v>
      </c>
      <c r="I671" s="194">
        <f t="shared" si="10"/>
        <v>0</v>
      </c>
      <c r="J671" s="195"/>
    </row>
    <row r="672" spans="1:10">
      <c r="A672" s="1249"/>
      <c r="B672" s="196" t="s">
        <v>760</v>
      </c>
      <c r="C672" s="197" t="s">
        <v>349</v>
      </c>
      <c r="D672" s="200" t="s">
        <v>39</v>
      </c>
      <c r="E672" s="199">
        <v>1</v>
      </c>
      <c r="F672" s="195">
        <v>0</v>
      </c>
      <c r="G672" s="195">
        <v>0</v>
      </c>
      <c r="H672" s="195">
        <v>0</v>
      </c>
      <c r="I672" s="194">
        <f t="shared" si="10"/>
        <v>0</v>
      </c>
      <c r="J672" s="195"/>
    </row>
    <row r="673" spans="1:10">
      <c r="A673" s="1249"/>
      <c r="B673" s="196" t="s">
        <v>761</v>
      </c>
      <c r="C673" s="197" t="s">
        <v>349</v>
      </c>
      <c r="D673" s="200" t="s">
        <v>39</v>
      </c>
      <c r="E673" s="199">
        <v>1</v>
      </c>
      <c r="F673" s="195">
        <v>0</v>
      </c>
      <c r="G673" s="195">
        <v>0</v>
      </c>
      <c r="H673" s="195">
        <v>0</v>
      </c>
      <c r="I673" s="194">
        <f t="shared" si="10"/>
        <v>0</v>
      </c>
      <c r="J673" s="195"/>
    </row>
    <row r="674" spans="1:10">
      <c r="A674" s="1249"/>
      <c r="B674" s="196"/>
      <c r="D674" s="200" t="s">
        <v>43</v>
      </c>
      <c r="E674" s="199">
        <v>1</v>
      </c>
      <c r="F674" s="195">
        <v>0</v>
      </c>
      <c r="G674" s="195">
        <v>0</v>
      </c>
      <c r="H674" s="195">
        <v>0</v>
      </c>
      <c r="I674" s="194">
        <f t="shared" si="10"/>
        <v>0</v>
      </c>
      <c r="J674" s="195"/>
    </row>
    <row r="675" spans="1:10">
      <c r="A675" s="1249"/>
      <c r="B675" s="196" t="s">
        <v>762</v>
      </c>
      <c r="C675" s="197" t="s">
        <v>349</v>
      </c>
      <c r="D675" s="200" t="s">
        <v>39</v>
      </c>
      <c r="E675" s="199">
        <v>1</v>
      </c>
      <c r="F675" s="195">
        <v>0</v>
      </c>
      <c r="G675" s="195">
        <v>0</v>
      </c>
      <c r="H675" s="195">
        <v>0</v>
      </c>
      <c r="I675" s="194">
        <f t="shared" si="10"/>
        <v>0</v>
      </c>
      <c r="J675" s="195"/>
    </row>
    <row r="676" spans="1:10">
      <c r="A676" s="1249"/>
      <c r="B676" s="196"/>
      <c r="D676" s="200" t="s">
        <v>43</v>
      </c>
      <c r="E676" s="199">
        <v>1</v>
      </c>
      <c r="F676" s="195">
        <v>0</v>
      </c>
      <c r="G676" s="195">
        <v>0</v>
      </c>
      <c r="H676" s="195">
        <v>0</v>
      </c>
      <c r="I676" s="194">
        <f t="shared" si="10"/>
        <v>0</v>
      </c>
      <c r="J676" s="195"/>
    </row>
    <row r="677" spans="1:10">
      <c r="A677" s="1248" t="s">
        <v>519</v>
      </c>
      <c r="B677" s="189" t="s">
        <v>520</v>
      </c>
      <c r="C677" s="190" t="s">
        <v>349</v>
      </c>
      <c r="D677" s="201" t="s">
        <v>1399</v>
      </c>
      <c r="E677" s="192">
        <v>1</v>
      </c>
      <c r="F677" s="195">
        <v>0</v>
      </c>
      <c r="G677" s="195">
        <v>0</v>
      </c>
      <c r="H677" s="195">
        <v>0</v>
      </c>
      <c r="I677" s="194">
        <f t="shared" si="10"/>
        <v>0</v>
      </c>
      <c r="J677" s="195"/>
    </row>
    <row r="678" spans="1:10">
      <c r="A678" s="1249"/>
      <c r="B678" s="196" t="s">
        <v>521</v>
      </c>
      <c r="C678" s="197" t="s">
        <v>349</v>
      </c>
      <c r="D678" s="200" t="s">
        <v>43</v>
      </c>
      <c r="E678" s="199">
        <v>1</v>
      </c>
      <c r="F678" s="195">
        <v>0</v>
      </c>
      <c r="G678" s="195">
        <v>0</v>
      </c>
      <c r="H678" s="195">
        <v>0</v>
      </c>
      <c r="I678" s="194">
        <f t="shared" si="10"/>
        <v>0</v>
      </c>
      <c r="J678" s="195"/>
    </row>
    <row r="679" spans="1:10">
      <c r="A679" s="1249"/>
      <c r="B679" s="196" t="s">
        <v>1963</v>
      </c>
      <c r="C679" s="197" t="s">
        <v>349</v>
      </c>
      <c r="D679" s="200" t="s">
        <v>39</v>
      </c>
      <c r="E679" s="199">
        <v>1</v>
      </c>
      <c r="F679" s="195">
        <v>0</v>
      </c>
      <c r="G679" s="195">
        <v>0</v>
      </c>
      <c r="H679" s="195">
        <v>0</v>
      </c>
      <c r="I679" s="194">
        <f t="shared" si="10"/>
        <v>0</v>
      </c>
      <c r="J679" s="195"/>
    </row>
    <row r="680" spans="1:10">
      <c r="A680" s="1249"/>
      <c r="B680" s="196"/>
      <c r="D680" s="200" t="s">
        <v>43</v>
      </c>
      <c r="E680" s="199">
        <v>1</v>
      </c>
      <c r="F680" s="195">
        <v>0</v>
      </c>
      <c r="G680" s="195">
        <v>0</v>
      </c>
      <c r="H680" s="195">
        <v>0</v>
      </c>
      <c r="I680" s="194">
        <f t="shared" si="10"/>
        <v>0</v>
      </c>
      <c r="J680" s="195"/>
    </row>
    <row r="681" spans="1:10">
      <c r="A681" s="1249"/>
      <c r="B681" s="196" t="s">
        <v>70</v>
      </c>
      <c r="C681" s="197" t="s">
        <v>349</v>
      </c>
      <c r="D681" s="200" t="s">
        <v>39</v>
      </c>
      <c r="E681" s="199">
        <v>1</v>
      </c>
      <c r="F681" s="195">
        <v>0</v>
      </c>
      <c r="G681" s="195">
        <v>0</v>
      </c>
      <c r="H681" s="195">
        <v>0</v>
      </c>
      <c r="I681" s="194">
        <f t="shared" si="10"/>
        <v>0</v>
      </c>
      <c r="J681" s="195"/>
    </row>
    <row r="682" spans="1:10">
      <c r="A682" s="1249"/>
      <c r="B682" s="196"/>
      <c r="D682" s="200" t="s">
        <v>43</v>
      </c>
      <c r="E682" s="199">
        <v>1</v>
      </c>
      <c r="F682" s="195">
        <v>0</v>
      </c>
      <c r="G682" s="195">
        <v>0</v>
      </c>
      <c r="H682" s="195">
        <v>0</v>
      </c>
      <c r="I682" s="194">
        <f t="shared" si="10"/>
        <v>0</v>
      </c>
      <c r="J682" s="195"/>
    </row>
    <row r="683" spans="1:10">
      <c r="A683" s="1249"/>
      <c r="B683" s="196" t="s">
        <v>115</v>
      </c>
      <c r="C683" s="197" t="s">
        <v>349</v>
      </c>
      <c r="D683" s="200" t="s">
        <v>39</v>
      </c>
      <c r="E683" s="199">
        <v>1</v>
      </c>
      <c r="F683" s="195">
        <v>0</v>
      </c>
      <c r="G683" s="195">
        <v>0</v>
      </c>
      <c r="H683" s="195">
        <v>0</v>
      </c>
      <c r="I683" s="194">
        <f t="shared" si="10"/>
        <v>0</v>
      </c>
      <c r="J683" s="195"/>
    </row>
    <row r="684" spans="1:10">
      <c r="A684" s="1248" t="s">
        <v>363</v>
      </c>
      <c r="B684" s="189" t="s">
        <v>366</v>
      </c>
      <c r="C684" s="190" t="s">
        <v>349</v>
      </c>
      <c r="D684" s="201" t="s">
        <v>1470</v>
      </c>
      <c r="E684" s="192">
        <v>4</v>
      </c>
      <c r="F684" s="195">
        <v>0</v>
      </c>
      <c r="G684" s="195">
        <v>0</v>
      </c>
      <c r="H684" s="195">
        <v>0</v>
      </c>
      <c r="I684" s="194">
        <f t="shared" si="10"/>
        <v>0</v>
      </c>
      <c r="J684" s="195"/>
    </row>
    <row r="685" spans="1:10">
      <c r="A685" s="1249"/>
      <c r="B685" s="196" t="s">
        <v>369</v>
      </c>
      <c r="C685" s="197" t="s">
        <v>349</v>
      </c>
      <c r="D685" s="200" t="s">
        <v>39</v>
      </c>
      <c r="E685" s="199">
        <v>2</v>
      </c>
      <c r="F685" s="195">
        <v>0</v>
      </c>
      <c r="G685" s="195">
        <v>0</v>
      </c>
      <c r="H685" s="195">
        <v>0</v>
      </c>
      <c r="I685" s="194">
        <f t="shared" si="10"/>
        <v>0</v>
      </c>
      <c r="J685" s="195"/>
    </row>
    <row r="686" spans="1:10">
      <c r="A686" s="1249"/>
      <c r="B686" s="196" t="s">
        <v>371</v>
      </c>
      <c r="C686" s="197" t="s">
        <v>349</v>
      </c>
      <c r="D686" s="200" t="s">
        <v>1964</v>
      </c>
      <c r="E686" s="199">
        <v>2</v>
      </c>
      <c r="F686" s="195">
        <v>0</v>
      </c>
      <c r="G686" s="195">
        <v>0</v>
      </c>
      <c r="H686" s="195">
        <v>0</v>
      </c>
      <c r="I686" s="194">
        <f t="shared" si="10"/>
        <v>0</v>
      </c>
      <c r="J686" s="195"/>
    </row>
    <row r="687" spans="1:10">
      <c r="A687" s="1249"/>
      <c r="B687" s="196" t="s">
        <v>373</v>
      </c>
      <c r="C687" s="197" t="s">
        <v>349</v>
      </c>
      <c r="D687" s="200" t="s">
        <v>1400</v>
      </c>
      <c r="E687" s="199">
        <v>5</v>
      </c>
      <c r="F687" s="195">
        <v>0</v>
      </c>
      <c r="G687" s="195">
        <v>0</v>
      </c>
      <c r="H687" s="195">
        <v>0</v>
      </c>
      <c r="I687" s="194">
        <f t="shared" si="10"/>
        <v>0</v>
      </c>
      <c r="J687" s="195"/>
    </row>
    <row r="688" spans="1:10">
      <c r="A688" s="1249"/>
      <c r="B688" s="196"/>
      <c r="D688" s="200" t="s">
        <v>43</v>
      </c>
      <c r="E688" s="199">
        <v>1</v>
      </c>
      <c r="F688" s="195">
        <v>0</v>
      </c>
      <c r="G688" s="195">
        <v>0</v>
      </c>
      <c r="H688" s="195">
        <v>0</v>
      </c>
      <c r="I688" s="194">
        <f t="shared" si="10"/>
        <v>0</v>
      </c>
      <c r="J688" s="195"/>
    </row>
    <row r="689" spans="1:10">
      <c r="A689" s="1249"/>
      <c r="B689" s="196" t="s">
        <v>376</v>
      </c>
      <c r="C689" s="197" t="s">
        <v>349</v>
      </c>
      <c r="D689" s="200" t="s">
        <v>1470</v>
      </c>
      <c r="E689" s="199">
        <v>4</v>
      </c>
      <c r="F689" s="195">
        <v>0</v>
      </c>
      <c r="G689" s="195">
        <v>0</v>
      </c>
      <c r="H689" s="195">
        <v>0</v>
      </c>
      <c r="I689" s="194">
        <f t="shared" si="10"/>
        <v>0</v>
      </c>
      <c r="J689" s="195"/>
    </row>
    <row r="690" spans="1:10">
      <c r="A690" s="1249"/>
      <c r="B690" s="196" t="s">
        <v>377</v>
      </c>
      <c r="C690" s="197" t="s">
        <v>349</v>
      </c>
      <c r="D690" s="200" t="s">
        <v>1400</v>
      </c>
      <c r="E690" s="199">
        <v>3</v>
      </c>
      <c r="F690" s="195">
        <v>0</v>
      </c>
      <c r="G690" s="195">
        <v>0</v>
      </c>
      <c r="H690" s="195">
        <v>0</v>
      </c>
      <c r="I690" s="194">
        <f t="shared" si="10"/>
        <v>0</v>
      </c>
      <c r="J690" s="195"/>
    </row>
    <row r="691" spans="1:10">
      <c r="A691" s="1249"/>
      <c r="B691" s="196"/>
      <c r="D691" s="200" t="s">
        <v>43</v>
      </c>
      <c r="E691" s="199">
        <v>7</v>
      </c>
      <c r="F691" s="195">
        <v>0</v>
      </c>
      <c r="G691" s="195">
        <v>0</v>
      </c>
      <c r="H691" s="195">
        <v>0</v>
      </c>
      <c r="I691" s="194">
        <f t="shared" si="10"/>
        <v>0</v>
      </c>
      <c r="J691" s="195"/>
    </row>
    <row r="692" spans="1:10">
      <c r="A692" s="1249"/>
      <c r="B692" s="196" t="s">
        <v>378</v>
      </c>
      <c r="C692" s="197" t="s">
        <v>349</v>
      </c>
      <c r="D692" s="200" t="s">
        <v>1400</v>
      </c>
      <c r="E692" s="199">
        <v>5</v>
      </c>
      <c r="F692" s="195">
        <v>0</v>
      </c>
      <c r="G692" s="195">
        <v>0</v>
      </c>
      <c r="H692" s="195">
        <v>0</v>
      </c>
      <c r="I692" s="194">
        <f t="shared" si="10"/>
        <v>0</v>
      </c>
      <c r="J692" s="195"/>
    </row>
    <row r="693" spans="1:10">
      <c r="A693" s="1249"/>
      <c r="B693" s="196"/>
      <c r="D693" s="200" t="s">
        <v>39</v>
      </c>
      <c r="E693" s="199">
        <v>2</v>
      </c>
      <c r="F693" s="195">
        <v>0</v>
      </c>
      <c r="G693" s="195">
        <v>0</v>
      </c>
      <c r="H693" s="195">
        <v>0</v>
      </c>
      <c r="I693" s="194">
        <f t="shared" si="10"/>
        <v>0</v>
      </c>
      <c r="J693" s="195"/>
    </row>
    <row r="694" spans="1:10">
      <c r="A694" s="1249"/>
      <c r="B694" s="196"/>
      <c r="D694" s="200" t="s">
        <v>43</v>
      </c>
      <c r="E694" s="199">
        <v>1</v>
      </c>
      <c r="F694" s="195">
        <v>0</v>
      </c>
      <c r="G694" s="195">
        <v>0</v>
      </c>
      <c r="H694" s="195">
        <v>0</v>
      </c>
      <c r="I694" s="194">
        <f t="shared" si="10"/>
        <v>0</v>
      </c>
      <c r="J694" s="195"/>
    </row>
    <row r="695" spans="1:10">
      <c r="A695" s="1249"/>
      <c r="B695" s="196" t="s">
        <v>380</v>
      </c>
      <c r="C695" s="197" t="s">
        <v>349</v>
      </c>
      <c r="D695" s="200" t="s">
        <v>1470</v>
      </c>
      <c r="E695" s="199">
        <v>4</v>
      </c>
      <c r="F695" s="195">
        <v>0</v>
      </c>
      <c r="G695" s="195">
        <v>0</v>
      </c>
      <c r="H695" s="195">
        <v>0</v>
      </c>
      <c r="I695" s="194">
        <f t="shared" si="10"/>
        <v>0</v>
      </c>
      <c r="J695" s="195"/>
    </row>
    <row r="696" spans="1:10">
      <c r="A696" s="1249"/>
      <c r="B696" s="196" t="s">
        <v>381</v>
      </c>
      <c r="C696" s="197" t="s">
        <v>349</v>
      </c>
      <c r="D696" s="200" t="s">
        <v>1400</v>
      </c>
      <c r="E696" s="199">
        <v>1</v>
      </c>
      <c r="F696" s="195">
        <v>0</v>
      </c>
      <c r="G696" s="195">
        <v>0</v>
      </c>
      <c r="H696" s="195">
        <v>0</v>
      </c>
      <c r="I696" s="194">
        <f t="shared" si="10"/>
        <v>0</v>
      </c>
      <c r="J696" s="195"/>
    </row>
    <row r="697" spans="1:10">
      <c r="A697" s="1249"/>
      <c r="B697" s="196"/>
      <c r="D697" s="200" t="s">
        <v>43</v>
      </c>
      <c r="E697" s="199">
        <v>2</v>
      </c>
      <c r="F697" s="195">
        <v>0</v>
      </c>
      <c r="G697" s="195">
        <v>0</v>
      </c>
      <c r="H697" s="195">
        <v>0</v>
      </c>
      <c r="I697" s="194">
        <f t="shared" si="10"/>
        <v>0</v>
      </c>
      <c r="J697" s="195"/>
    </row>
    <row r="698" spans="1:10">
      <c r="A698" s="1249"/>
      <c r="B698" s="196" t="s">
        <v>382</v>
      </c>
      <c r="C698" s="197" t="s">
        <v>349</v>
      </c>
      <c r="D698" s="200" t="s">
        <v>1400</v>
      </c>
      <c r="E698" s="199">
        <v>4</v>
      </c>
      <c r="F698" s="195">
        <v>0</v>
      </c>
      <c r="G698" s="195">
        <v>0</v>
      </c>
      <c r="H698" s="195">
        <v>0</v>
      </c>
      <c r="I698" s="194">
        <f t="shared" si="10"/>
        <v>0</v>
      </c>
      <c r="J698" s="195"/>
    </row>
    <row r="699" spans="1:10">
      <c r="A699" s="1249"/>
      <c r="B699" s="196"/>
      <c r="D699" s="200" t="s">
        <v>43</v>
      </c>
      <c r="E699" s="199">
        <v>1</v>
      </c>
      <c r="F699" s="195">
        <v>0</v>
      </c>
      <c r="G699" s="195">
        <v>0</v>
      </c>
      <c r="H699" s="195">
        <v>0</v>
      </c>
      <c r="I699" s="194">
        <f t="shared" si="10"/>
        <v>0</v>
      </c>
      <c r="J699" s="195"/>
    </row>
    <row r="700" spans="1:10">
      <c r="A700" s="1249"/>
      <c r="B700" s="196" t="s">
        <v>383</v>
      </c>
      <c r="C700" s="197" t="s">
        <v>349</v>
      </c>
      <c r="D700" s="200" t="s">
        <v>1470</v>
      </c>
      <c r="E700" s="199">
        <v>2</v>
      </c>
      <c r="F700" s="195">
        <v>0</v>
      </c>
      <c r="G700" s="195">
        <v>0</v>
      </c>
      <c r="H700" s="195">
        <v>0</v>
      </c>
      <c r="I700" s="194">
        <f t="shared" si="10"/>
        <v>0</v>
      </c>
      <c r="J700" s="195"/>
    </row>
    <row r="701" spans="1:10">
      <c r="A701" s="1249"/>
      <c r="B701" s="196" t="s">
        <v>384</v>
      </c>
      <c r="C701" s="197" t="s">
        <v>349</v>
      </c>
      <c r="D701" s="200" t="s">
        <v>1400</v>
      </c>
      <c r="E701" s="199">
        <v>2</v>
      </c>
      <c r="F701" s="195">
        <v>0</v>
      </c>
      <c r="G701" s="195">
        <v>0</v>
      </c>
      <c r="H701" s="195">
        <v>0</v>
      </c>
      <c r="I701" s="194">
        <f t="shared" si="10"/>
        <v>0</v>
      </c>
      <c r="J701" s="195"/>
    </row>
    <row r="702" spans="1:10">
      <c r="A702" s="1249"/>
      <c r="B702" s="196"/>
      <c r="D702" s="200" t="s">
        <v>43</v>
      </c>
      <c r="E702" s="199">
        <v>4</v>
      </c>
      <c r="F702" s="195">
        <v>0</v>
      </c>
      <c r="G702" s="195">
        <v>0</v>
      </c>
      <c r="H702" s="195">
        <v>0</v>
      </c>
      <c r="I702" s="194">
        <f t="shared" si="10"/>
        <v>0</v>
      </c>
      <c r="J702" s="195"/>
    </row>
    <row r="703" spans="1:10">
      <c r="A703" s="1249"/>
      <c r="B703" s="196" t="s">
        <v>385</v>
      </c>
      <c r="C703" s="197" t="s">
        <v>349</v>
      </c>
      <c r="D703" s="200" t="s">
        <v>1400</v>
      </c>
      <c r="E703" s="199">
        <v>2</v>
      </c>
      <c r="F703" s="195">
        <v>0</v>
      </c>
      <c r="G703" s="195">
        <v>0</v>
      </c>
      <c r="H703" s="195">
        <v>0</v>
      </c>
      <c r="I703" s="194">
        <f t="shared" si="10"/>
        <v>0</v>
      </c>
      <c r="J703" s="195"/>
    </row>
    <row r="704" spans="1:10">
      <c r="A704" s="1249"/>
      <c r="B704" s="196"/>
      <c r="D704" s="200" t="s">
        <v>43</v>
      </c>
      <c r="E704" s="199">
        <v>1</v>
      </c>
      <c r="F704" s="195">
        <v>0</v>
      </c>
      <c r="G704" s="195">
        <v>0</v>
      </c>
      <c r="H704" s="195">
        <v>0</v>
      </c>
      <c r="I704" s="194">
        <f t="shared" si="10"/>
        <v>0</v>
      </c>
      <c r="J704" s="195"/>
    </row>
    <row r="705" spans="1:10">
      <c r="A705" s="1249"/>
      <c r="B705" s="196" t="s">
        <v>386</v>
      </c>
      <c r="C705" s="197" t="s">
        <v>349</v>
      </c>
      <c r="D705" s="200" t="s">
        <v>1400</v>
      </c>
      <c r="E705" s="199">
        <v>4</v>
      </c>
      <c r="F705" s="195">
        <v>0</v>
      </c>
      <c r="G705" s="195">
        <v>0</v>
      </c>
      <c r="H705" s="195">
        <v>0</v>
      </c>
      <c r="I705" s="194">
        <f t="shared" si="10"/>
        <v>0</v>
      </c>
      <c r="J705" s="195"/>
    </row>
    <row r="706" spans="1:10">
      <c r="A706" s="1249"/>
      <c r="B706" s="196"/>
      <c r="D706" s="200" t="s">
        <v>43</v>
      </c>
      <c r="E706" s="199">
        <v>3</v>
      </c>
      <c r="F706" s="195">
        <v>0</v>
      </c>
      <c r="G706" s="195">
        <v>0</v>
      </c>
      <c r="H706" s="195">
        <v>0</v>
      </c>
      <c r="I706" s="194">
        <f t="shared" ref="I706:I728" si="11">ROUNDUP(((F706+G706+H706)/3)/E706*100%,2)</f>
        <v>0</v>
      </c>
      <c r="J706" s="195"/>
    </row>
    <row r="707" spans="1:10">
      <c r="A707" s="1249"/>
      <c r="B707" s="196" t="s">
        <v>387</v>
      </c>
      <c r="C707" s="197" t="s">
        <v>349</v>
      </c>
      <c r="D707" s="200" t="s">
        <v>1470</v>
      </c>
      <c r="E707" s="199">
        <v>3</v>
      </c>
      <c r="F707" s="195">
        <v>0</v>
      </c>
      <c r="G707" s="195">
        <v>0</v>
      </c>
      <c r="H707" s="195">
        <v>0</v>
      </c>
      <c r="I707" s="194">
        <f t="shared" si="11"/>
        <v>0</v>
      </c>
      <c r="J707" s="195"/>
    </row>
    <row r="708" spans="1:10">
      <c r="A708" s="1249"/>
      <c r="B708" s="196" t="s">
        <v>388</v>
      </c>
      <c r="C708" s="197" t="s">
        <v>349</v>
      </c>
      <c r="D708" s="200" t="s">
        <v>1470</v>
      </c>
      <c r="E708" s="199">
        <v>2</v>
      </c>
      <c r="F708" s="195">
        <v>0</v>
      </c>
      <c r="G708" s="195">
        <v>0</v>
      </c>
      <c r="H708" s="195">
        <v>0</v>
      </c>
      <c r="I708" s="194">
        <f t="shared" si="11"/>
        <v>0</v>
      </c>
      <c r="J708" s="195"/>
    </row>
    <row r="709" spans="1:10">
      <c r="A709" s="1249"/>
      <c r="B709" s="196" t="s">
        <v>389</v>
      </c>
      <c r="C709" s="197" t="s">
        <v>349</v>
      </c>
      <c r="D709" s="200" t="s">
        <v>43</v>
      </c>
      <c r="E709" s="199">
        <v>1</v>
      </c>
      <c r="F709" s="195">
        <v>0</v>
      </c>
      <c r="G709" s="195">
        <v>0</v>
      </c>
      <c r="H709" s="195">
        <v>0</v>
      </c>
      <c r="I709" s="194">
        <f t="shared" si="11"/>
        <v>0</v>
      </c>
      <c r="J709" s="195"/>
    </row>
    <row r="710" spans="1:10">
      <c r="A710" s="1249"/>
      <c r="B710" s="196" t="s">
        <v>390</v>
      </c>
      <c r="C710" s="197" t="s">
        <v>349</v>
      </c>
      <c r="D710" s="200" t="s">
        <v>1400</v>
      </c>
      <c r="E710" s="199">
        <v>2</v>
      </c>
      <c r="F710" s="195">
        <v>0</v>
      </c>
      <c r="G710" s="195">
        <v>0</v>
      </c>
      <c r="H710" s="195">
        <v>0</v>
      </c>
      <c r="I710" s="194">
        <f t="shared" si="11"/>
        <v>0</v>
      </c>
      <c r="J710" s="195"/>
    </row>
    <row r="711" spans="1:10">
      <c r="A711" s="1249"/>
      <c r="B711" s="196"/>
      <c r="D711" s="200" t="s">
        <v>1470</v>
      </c>
      <c r="E711" s="199">
        <v>2</v>
      </c>
      <c r="F711" s="195">
        <v>0</v>
      </c>
      <c r="G711" s="195">
        <v>0</v>
      </c>
      <c r="H711" s="195">
        <v>0</v>
      </c>
      <c r="I711" s="194">
        <f t="shared" si="11"/>
        <v>0</v>
      </c>
      <c r="J711" s="195"/>
    </row>
    <row r="712" spans="1:10">
      <c r="A712" s="1249"/>
      <c r="B712" s="196" t="s">
        <v>391</v>
      </c>
      <c r="C712" s="197" t="s">
        <v>349</v>
      </c>
      <c r="D712" s="200" t="s">
        <v>39</v>
      </c>
      <c r="E712" s="199">
        <v>2</v>
      </c>
      <c r="F712" s="195">
        <v>0</v>
      </c>
      <c r="G712" s="195">
        <v>0</v>
      </c>
      <c r="H712" s="195">
        <v>0</v>
      </c>
      <c r="I712" s="194">
        <f t="shared" si="11"/>
        <v>0</v>
      </c>
      <c r="J712" s="195"/>
    </row>
    <row r="713" spans="1:10">
      <c r="A713" s="1249"/>
      <c r="B713" s="196"/>
      <c r="D713" s="200" t="s">
        <v>43</v>
      </c>
      <c r="E713" s="199">
        <v>2</v>
      </c>
      <c r="F713" s="195">
        <v>0</v>
      </c>
      <c r="G713" s="195">
        <v>0</v>
      </c>
      <c r="H713" s="195">
        <v>0</v>
      </c>
      <c r="I713" s="194">
        <f t="shared" si="11"/>
        <v>0</v>
      </c>
      <c r="J713" s="195"/>
    </row>
    <row r="714" spans="1:10">
      <c r="A714" s="1249"/>
      <c r="B714" s="196" t="s">
        <v>392</v>
      </c>
      <c r="C714" s="197" t="s">
        <v>349</v>
      </c>
      <c r="D714" s="200" t="s">
        <v>39</v>
      </c>
      <c r="E714" s="199">
        <v>1</v>
      </c>
      <c r="F714" s="195">
        <v>0</v>
      </c>
      <c r="G714" s="195">
        <v>0</v>
      </c>
      <c r="H714" s="195">
        <v>0</v>
      </c>
      <c r="I714" s="194">
        <f t="shared" si="11"/>
        <v>0</v>
      </c>
      <c r="J714" s="195"/>
    </row>
    <row r="715" spans="1:10">
      <c r="A715" s="1249"/>
      <c r="B715" s="196" t="s">
        <v>528</v>
      </c>
      <c r="C715" s="197" t="s">
        <v>349</v>
      </c>
      <c r="D715" s="200" t="s">
        <v>39</v>
      </c>
      <c r="E715" s="199">
        <v>1</v>
      </c>
      <c r="F715" s="195">
        <v>0</v>
      </c>
      <c r="G715" s="195">
        <v>0</v>
      </c>
      <c r="H715" s="195">
        <v>0</v>
      </c>
      <c r="I715" s="194">
        <f t="shared" si="11"/>
        <v>0</v>
      </c>
      <c r="J715" s="195"/>
    </row>
    <row r="716" spans="1:10">
      <c r="A716" s="1249"/>
      <c r="B716" s="196"/>
      <c r="D716" s="200" t="s">
        <v>43</v>
      </c>
      <c r="E716" s="199">
        <v>1</v>
      </c>
      <c r="F716" s="195">
        <v>0</v>
      </c>
      <c r="G716" s="195">
        <v>0</v>
      </c>
      <c r="H716" s="195">
        <v>0</v>
      </c>
      <c r="I716" s="194">
        <f t="shared" si="11"/>
        <v>0</v>
      </c>
      <c r="J716" s="195"/>
    </row>
    <row r="717" spans="1:10">
      <c r="A717" s="1249"/>
      <c r="B717" s="196" t="s">
        <v>397</v>
      </c>
      <c r="C717" s="197" t="s">
        <v>349</v>
      </c>
      <c r="D717" s="200" t="s">
        <v>39</v>
      </c>
      <c r="E717" s="199">
        <v>1</v>
      </c>
      <c r="F717" s="195">
        <v>0</v>
      </c>
      <c r="G717" s="195">
        <v>0</v>
      </c>
      <c r="H717" s="195">
        <v>0</v>
      </c>
      <c r="I717" s="194">
        <f t="shared" si="11"/>
        <v>0</v>
      </c>
      <c r="J717" s="195"/>
    </row>
    <row r="718" spans="1:10">
      <c r="A718" s="1249"/>
      <c r="B718" s="196"/>
      <c r="D718" s="200" t="s">
        <v>43</v>
      </c>
      <c r="E718" s="199">
        <v>1</v>
      </c>
      <c r="F718" s="195">
        <v>0</v>
      </c>
      <c r="G718" s="195">
        <v>0</v>
      </c>
      <c r="H718" s="195">
        <v>0</v>
      </c>
      <c r="I718" s="194">
        <f t="shared" si="11"/>
        <v>0</v>
      </c>
      <c r="J718" s="195"/>
    </row>
    <row r="719" spans="1:10">
      <c r="A719" s="1249"/>
      <c r="B719" s="196" t="s">
        <v>400</v>
      </c>
      <c r="C719" s="197" t="s">
        <v>349</v>
      </c>
      <c r="D719" s="200" t="s">
        <v>39</v>
      </c>
      <c r="E719" s="199">
        <v>1</v>
      </c>
      <c r="F719" s="195">
        <v>0</v>
      </c>
      <c r="G719" s="195">
        <v>0</v>
      </c>
      <c r="H719" s="195">
        <v>0</v>
      </c>
      <c r="I719" s="194">
        <f t="shared" si="11"/>
        <v>0</v>
      </c>
      <c r="J719" s="195"/>
    </row>
    <row r="720" spans="1:10">
      <c r="A720" s="1249"/>
      <c r="B720" s="196"/>
      <c r="D720" s="200" t="s">
        <v>43</v>
      </c>
      <c r="E720" s="199">
        <v>1</v>
      </c>
      <c r="F720" s="195">
        <v>0</v>
      </c>
      <c r="G720" s="195">
        <v>0</v>
      </c>
      <c r="H720" s="195">
        <v>0</v>
      </c>
      <c r="I720" s="194">
        <f t="shared" si="11"/>
        <v>0</v>
      </c>
      <c r="J720" s="195"/>
    </row>
    <row r="721" spans="1:10">
      <c r="A721" s="1249"/>
      <c r="B721" s="196" t="s">
        <v>1965</v>
      </c>
      <c r="C721" s="197" t="s">
        <v>349</v>
      </c>
      <c r="D721" s="200" t="s">
        <v>39</v>
      </c>
      <c r="E721" s="199">
        <v>1</v>
      </c>
      <c r="F721" s="195">
        <v>0</v>
      </c>
      <c r="G721" s="195">
        <v>0</v>
      </c>
      <c r="H721" s="195">
        <v>0</v>
      </c>
      <c r="I721" s="194">
        <f t="shared" si="11"/>
        <v>0</v>
      </c>
      <c r="J721" s="195"/>
    </row>
    <row r="722" spans="1:10">
      <c r="A722" s="1249"/>
      <c r="B722" s="196"/>
      <c r="D722" s="200" t="s">
        <v>43</v>
      </c>
      <c r="E722" s="199">
        <v>1</v>
      </c>
      <c r="F722" s="195">
        <v>0</v>
      </c>
      <c r="G722" s="195">
        <v>0</v>
      </c>
      <c r="H722" s="195">
        <v>0</v>
      </c>
      <c r="I722" s="194">
        <f t="shared" si="11"/>
        <v>0</v>
      </c>
      <c r="J722" s="195"/>
    </row>
    <row r="723" spans="1:10">
      <c r="A723" s="1249"/>
      <c r="B723" s="196" t="s">
        <v>407</v>
      </c>
      <c r="C723" s="197" t="s">
        <v>349</v>
      </c>
      <c r="D723" s="200" t="s">
        <v>39</v>
      </c>
      <c r="E723" s="199">
        <v>5</v>
      </c>
      <c r="F723" s="195">
        <v>0</v>
      </c>
      <c r="G723" s="195">
        <v>0</v>
      </c>
      <c r="H723" s="195">
        <v>0</v>
      </c>
      <c r="I723" s="194">
        <f t="shared" si="11"/>
        <v>0</v>
      </c>
      <c r="J723" s="195"/>
    </row>
    <row r="724" spans="1:10">
      <c r="A724" s="1249"/>
      <c r="B724" s="196"/>
      <c r="D724" s="200" t="s">
        <v>1470</v>
      </c>
      <c r="E724" s="199">
        <v>1</v>
      </c>
      <c r="F724" s="195">
        <v>0</v>
      </c>
      <c r="G724" s="195">
        <v>0</v>
      </c>
      <c r="H724" s="195">
        <v>0</v>
      </c>
      <c r="I724" s="194">
        <f t="shared" si="11"/>
        <v>0</v>
      </c>
      <c r="J724" s="195"/>
    </row>
    <row r="725" spans="1:10">
      <c r="A725" s="1249"/>
      <c r="B725" s="196"/>
      <c r="D725" s="200" t="s">
        <v>43</v>
      </c>
      <c r="E725" s="199">
        <v>1</v>
      </c>
      <c r="F725" s="195">
        <v>0</v>
      </c>
      <c r="G725" s="195">
        <v>0</v>
      </c>
      <c r="H725" s="195">
        <v>0</v>
      </c>
      <c r="I725" s="194">
        <f t="shared" si="11"/>
        <v>0</v>
      </c>
      <c r="J725" s="195"/>
    </row>
    <row r="726" spans="1:10">
      <c r="A726" s="1249"/>
      <c r="B726" s="196" t="s">
        <v>405</v>
      </c>
      <c r="C726" s="197" t="s">
        <v>349</v>
      </c>
      <c r="D726" s="200" t="s">
        <v>39</v>
      </c>
      <c r="E726" s="199">
        <v>2</v>
      </c>
      <c r="F726" s="195">
        <v>0</v>
      </c>
      <c r="G726" s="195">
        <v>0</v>
      </c>
      <c r="H726" s="195">
        <v>0</v>
      </c>
      <c r="I726" s="194">
        <f t="shared" si="11"/>
        <v>0</v>
      </c>
      <c r="J726" s="195"/>
    </row>
    <row r="727" spans="1:10">
      <c r="A727" s="1249"/>
      <c r="B727" s="196"/>
      <c r="D727" s="200" t="s">
        <v>43</v>
      </c>
      <c r="E727" s="199">
        <v>1</v>
      </c>
      <c r="F727" s="195">
        <v>0</v>
      </c>
      <c r="G727" s="195">
        <v>0</v>
      </c>
      <c r="H727" s="195">
        <v>0</v>
      </c>
      <c r="I727" s="194">
        <f t="shared" si="11"/>
        <v>0</v>
      </c>
      <c r="J727" s="195"/>
    </row>
    <row r="728" spans="1:10" s="214" customFormat="1" ht="18">
      <c r="A728" s="45" t="s">
        <v>1966</v>
      </c>
      <c r="B728" s="212" t="s">
        <v>349</v>
      </c>
      <c r="C728" s="203" t="s">
        <v>349</v>
      </c>
      <c r="D728" s="213" t="s">
        <v>1721</v>
      </c>
      <c r="E728" s="195">
        <v>445</v>
      </c>
      <c r="F728" s="195">
        <v>0</v>
      </c>
      <c r="G728" s="195">
        <v>0</v>
      </c>
      <c r="H728" s="195">
        <v>0</v>
      </c>
      <c r="I728" s="194">
        <f t="shared" si="11"/>
        <v>0</v>
      </c>
      <c r="J728" s="195"/>
    </row>
    <row r="729" spans="1:10">
      <c r="D729" s="216" t="s">
        <v>1642</v>
      </c>
      <c r="E729" s="217" t="s">
        <v>1643</v>
      </c>
      <c r="F729" s="218">
        <f>SUM(F2:F727)/SUM($E$2:$E$727)</f>
        <v>3.3942558746736295E-2</v>
      </c>
      <c r="G729" s="218">
        <f>SUM(G2:G727)/SUM($E$2:$E$727)</f>
        <v>2.959094865100087E-2</v>
      </c>
      <c r="H729" s="218">
        <f>SUM(H2:H727)/SUM($E$2:$E$727)</f>
        <v>1.7406440382941688E-3</v>
      </c>
      <c r="I729" s="219">
        <f>ROUNDUP(AVERAGE(I2:I727),2)</f>
        <v>0.02</v>
      </c>
      <c r="J729" s="219"/>
    </row>
    <row r="730" spans="1:10">
      <c r="D730" s="215"/>
      <c r="E730" s="217" t="s">
        <v>1967</v>
      </c>
      <c r="F730" s="218">
        <f>SUM(F728)/SUM($E$728)</f>
        <v>0</v>
      </c>
      <c r="G730" s="218">
        <f>SUM(G728)/SUM($E$728)</f>
        <v>0</v>
      </c>
      <c r="H730" s="218">
        <f>SUM(H728)/SUM($E$728)</f>
        <v>0</v>
      </c>
      <c r="I730" s="219">
        <f>ROUNDUP(AVERAGE(I728),2)</f>
        <v>0</v>
      </c>
      <c r="J730" s="219"/>
    </row>
    <row r="731" spans="1:10">
      <c r="E731" s="215"/>
      <c r="F731" s="197"/>
    </row>
  </sheetData>
  <autoFilter ref="A1:E730" xr:uid="{F10CC40D-BB92-4BDB-98E9-643C2B5C96F4}"/>
  <mergeCells count="45">
    <mergeCell ref="A671:A676"/>
    <mergeCell ref="A677:A683"/>
    <mergeCell ref="A684:A727"/>
    <mergeCell ref="A505:A507"/>
    <mergeCell ref="A508:A509"/>
    <mergeCell ref="A513:A519"/>
    <mergeCell ref="A529:A533"/>
    <mergeCell ref="A534:A663"/>
    <mergeCell ref="A666:A669"/>
    <mergeCell ref="A501:A504"/>
    <mergeCell ref="A445:A446"/>
    <mergeCell ref="A447:A448"/>
    <mergeCell ref="A449:A450"/>
    <mergeCell ref="A451:A452"/>
    <mergeCell ref="A454:A455"/>
    <mergeCell ref="A456:A457"/>
    <mergeCell ref="A463:A478"/>
    <mergeCell ref="A479:A480"/>
    <mergeCell ref="A482:A493"/>
    <mergeCell ref="A494:A495"/>
    <mergeCell ref="A496:A500"/>
    <mergeCell ref="A441:A444"/>
    <mergeCell ref="A308:A329"/>
    <mergeCell ref="A330:A386"/>
    <mergeCell ref="A387:A388"/>
    <mergeCell ref="A389:A390"/>
    <mergeCell ref="A391:A392"/>
    <mergeCell ref="A393:A394"/>
    <mergeCell ref="A395:A397"/>
    <mergeCell ref="A406:A408"/>
    <mergeCell ref="A409:A422"/>
    <mergeCell ref="A423:A424"/>
    <mergeCell ref="A433:A440"/>
    <mergeCell ref="A275:A307"/>
    <mergeCell ref="A2:A39"/>
    <mergeCell ref="A40:A44"/>
    <mergeCell ref="A45:A46"/>
    <mergeCell ref="A47:A50"/>
    <mergeCell ref="A51:A52"/>
    <mergeCell ref="A58:A64"/>
    <mergeCell ref="A65:A73"/>
    <mergeCell ref="A76:A142"/>
    <mergeCell ref="A143:A165"/>
    <mergeCell ref="A166:A197"/>
    <mergeCell ref="A198:A27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2224-A7CF-4975-A4AE-327D36E0F93E}">
  <sheetPr filterMode="1"/>
  <dimension ref="A1:K97"/>
  <sheetViews>
    <sheetView zoomScale="80" zoomScaleNormal="80" workbookViewId="0">
      <pane ySplit="1" topLeftCell="A50" activePane="bottomLeft" state="frozen"/>
      <selection pane="bottomLeft" activeCell="B102" sqref="B102"/>
    </sheetView>
  </sheetViews>
  <sheetFormatPr defaultColWidth="8.88671875" defaultRowHeight="24" customHeight="1"/>
  <cols>
    <col min="1" max="1" width="40.109375" style="26" customWidth="1"/>
    <col min="2" max="2" width="54.6640625" style="26" customWidth="1"/>
    <col min="3" max="3" width="12.44140625" style="1" bestFit="1" customWidth="1"/>
    <col min="4" max="4" width="59.44140625" style="25" bestFit="1" customWidth="1"/>
    <col min="5" max="5" width="29.6640625" style="25" customWidth="1"/>
    <col min="6" max="6" width="11.6640625" style="1" customWidth="1"/>
    <col min="7" max="7" width="14.109375" style="6" bestFit="1" customWidth="1"/>
    <col min="8" max="8" width="11.6640625" style="6" bestFit="1" customWidth="1"/>
    <col min="9" max="9" width="9.88671875" style="6" bestFit="1" customWidth="1"/>
    <col min="10" max="10" width="6.109375" style="6" bestFit="1" customWidth="1"/>
    <col min="11" max="11" width="34.109375" style="6" customWidth="1"/>
    <col min="12" max="16384" width="8.88671875" style="2"/>
  </cols>
  <sheetData>
    <row r="1" spans="1:11" s="16" customFormat="1" ht="21">
      <c r="A1" s="149" t="s">
        <v>15</v>
      </c>
      <c r="B1" s="149" t="s">
        <v>16</v>
      </c>
      <c r="C1" s="150" t="s">
        <v>1571</v>
      </c>
      <c r="D1" s="151" t="s">
        <v>18</v>
      </c>
      <c r="E1" s="151" t="s">
        <v>19</v>
      </c>
      <c r="F1" s="150" t="s">
        <v>152</v>
      </c>
      <c r="G1" s="3" t="s">
        <v>26</v>
      </c>
      <c r="H1" s="3" t="s">
        <v>27</v>
      </c>
      <c r="I1" s="3" t="s">
        <v>28</v>
      </c>
      <c r="J1" s="4" t="s">
        <v>29</v>
      </c>
      <c r="K1" s="5" t="s">
        <v>30</v>
      </c>
    </row>
    <row r="2" spans="1:11" ht="18" hidden="1">
      <c r="A2" s="223" t="s">
        <v>1380</v>
      </c>
      <c r="B2" s="400" t="s">
        <v>1381</v>
      </c>
      <c r="C2" s="224"/>
      <c r="D2" s="225" t="s">
        <v>43</v>
      </c>
      <c r="E2" s="153"/>
      <c r="F2" s="168">
        <v>1</v>
      </c>
      <c r="G2" s="9">
        <v>0</v>
      </c>
      <c r="H2" s="8">
        <v>0</v>
      </c>
      <c r="I2" s="8">
        <v>0</v>
      </c>
      <c r="J2" s="7">
        <f t="shared" ref="J2:J68" si="0">ROUNDUP(((G2+H2+I2)/3)/F2*100%,2)</f>
        <v>0</v>
      </c>
      <c r="K2" s="8"/>
    </row>
    <row r="3" spans="1:11" ht="18" hidden="1">
      <c r="A3" s="1275" t="s">
        <v>1384</v>
      </c>
      <c r="B3" s="1271" t="s">
        <v>1547</v>
      </c>
      <c r="C3" s="224" t="s">
        <v>349</v>
      </c>
      <c r="D3" s="227" t="s">
        <v>39</v>
      </c>
      <c r="E3" s="227"/>
      <c r="F3" s="169">
        <v>5</v>
      </c>
      <c r="G3" s="9">
        <v>5</v>
      </c>
      <c r="H3" s="8">
        <v>5</v>
      </c>
      <c r="I3" s="8">
        <v>0</v>
      </c>
      <c r="J3" s="7">
        <f t="shared" si="0"/>
        <v>0.67</v>
      </c>
      <c r="K3" s="8"/>
    </row>
    <row r="4" spans="1:11" ht="18" hidden="1" customHeight="1">
      <c r="A4" s="1276"/>
      <c r="B4" s="1272"/>
      <c r="C4" s="226"/>
      <c r="D4" s="228" t="s">
        <v>1387</v>
      </c>
      <c r="E4" s="228"/>
      <c r="F4" s="170">
        <v>2</v>
      </c>
      <c r="G4" s="9">
        <v>2</v>
      </c>
      <c r="H4" s="8">
        <v>2</v>
      </c>
      <c r="I4" s="8">
        <v>0</v>
      </c>
      <c r="J4" s="7">
        <f t="shared" si="0"/>
        <v>0.67</v>
      </c>
      <c r="K4" s="8"/>
    </row>
    <row r="5" spans="1:11" ht="18" hidden="1" customHeight="1">
      <c r="A5" s="1276"/>
      <c r="B5" s="1272"/>
      <c r="C5" s="226"/>
      <c r="D5" s="228" t="s">
        <v>53</v>
      </c>
      <c r="E5" s="228"/>
      <c r="F5" s="170">
        <v>2</v>
      </c>
      <c r="G5" s="9">
        <v>2</v>
      </c>
      <c r="H5" s="8">
        <v>2</v>
      </c>
      <c r="I5" s="8">
        <v>0</v>
      </c>
      <c r="J5" s="7">
        <f t="shared" si="0"/>
        <v>0.67</v>
      </c>
      <c r="K5" s="8"/>
    </row>
    <row r="6" spans="1:11" ht="18" hidden="1" customHeight="1">
      <c r="A6" s="1276"/>
      <c r="B6" s="1272"/>
      <c r="C6" s="226"/>
      <c r="D6" s="228" t="s">
        <v>59</v>
      </c>
      <c r="E6" s="228"/>
      <c r="F6" s="170">
        <v>2</v>
      </c>
      <c r="G6" s="9">
        <v>2</v>
      </c>
      <c r="H6" s="8">
        <v>2</v>
      </c>
      <c r="I6" s="8">
        <v>0</v>
      </c>
      <c r="J6" s="7">
        <f t="shared" si="0"/>
        <v>0.67</v>
      </c>
      <c r="K6" s="8"/>
    </row>
    <row r="7" spans="1:11" ht="18" hidden="1" customHeight="1">
      <c r="A7" s="1276"/>
      <c r="B7" s="1272"/>
      <c r="C7" s="226"/>
      <c r="D7" s="228" t="s">
        <v>1390</v>
      </c>
      <c r="E7" s="228"/>
      <c r="F7" s="170">
        <v>2</v>
      </c>
      <c r="G7" s="9">
        <v>2</v>
      </c>
      <c r="H7" s="8">
        <v>2</v>
      </c>
      <c r="I7" s="8">
        <v>0</v>
      </c>
      <c r="J7" s="7">
        <f t="shared" si="0"/>
        <v>0.67</v>
      </c>
      <c r="K7" s="8"/>
    </row>
    <row r="8" spans="1:11" ht="18" hidden="1" customHeight="1">
      <c r="A8" s="1276"/>
      <c r="B8" s="1272"/>
      <c r="C8" s="226"/>
      <c r="D8" s="228" t="s">
        <v>1392</v>
      </c>
      <c r="E8" s="228"/>
      <c r="F8" s="170">
        <v>2</v>
      </c>
      <c r="G8" s="9">
        <v>2</v>
      </c>
      <c r="H8" s="8">
        <v>2</v>
      </c>
      <c r="I8" s="8">
        <v>0</v>
      </c>
      <c r="J8" s="7">
        <f t="shared" si="0"/>
        <v>0.67</v>
      </c>
      <c r="K8" s="8"/>
    </row>
    <row r="9" spans="1:11" ht="18" hidden="1" customHeight="1">
      <c r="A9" s="1276"/>
      <c r="B9" s="1272"/>
      <c r="C9" s="226"/>
      <c r="D9" s="228" t="s">
        <v>1394</v>
      </c>
      <c r="E9" s="228"/>
      <c r="F9" s="170">
        <v>2</v>
      </c>
      <c r="G9" s="9">
        <v>2</v>
      </c>
      <c r="H9" s="8">
        <v>2</v>
      </c>
      <c r="I9" s="8">
        <v>0</v>
      </c>
      <c r="J9" s="7">
        <f t="shared" si="0"/>
        <v>0.67</v>
      </c>
      <c r="K9" s="8"/>
    </row>
    <row r="10" spans="1:11" ht="18" hidden="1" customHeight="1">
      <c r="A10" s="1276"/>
      <c r="B10" s="1272"/>
      <c r="C10" s="226"/>
      <c r="D10" s="228" t="s">
        <v>1395</v>
      </c>
      <c r="E10" s="228"/>
      <c r="F10" s="170">
        <v>2</v>
      </c>
      <c r="G10" s="9">
        <v>2</v>
      </c>
      <c r="H10" s="8">
        <v>2</v>
      </c>
      <c r="I10" s="8">
        <v>0</v>
      </c>
      <c r="J10" s="7">
        <f t="shared" si="0"/>
        <v>0.67</v>
      </c>
      <c r="K10" s="8"/>
    </row>
    <row r="11" spans="1:11" ht="18" hidden="1" customHeight="1">
      <c r="A11" s="1276"/>
      <c r="B11" s="1272"/>
      <c r="C11" s="226"/>
      <c r="D11" s="228" t="s">
        <v>77</v>
      </c>
      <c r="E11" s="228"/>
      <c r="F11" s="170">
        <v>2</v>
      </c>
      <c r="G11" s="9">
        <v>2</v>
      </c>
      <c r="H11" s="8">
        <v>2</v>
      </c>
      <c r="I11" s="8">
        <v>0</v>
      </c>
      <c r="J11" s="7">
        <f t="shared" si="0"/>
        <v>0.67</v>
      </c>
      <c r="K11" s="8"/>
    </row>
    <row r="12" spans="1:11" ht="18" hidden="1" customHeight="1">
      <c r="A12" s="1276"/>
      <c r="B12" s="1272"/>
      <c r="C12" s="226"/>
      <c r="D12" s="228" t="s">
        <v>1399</v>
      </c>
      <c r="E12" s="228"/>
      <c r="F12" s="170">
        <v>1</v>
      </c>
      <c r="G12" s="9">
        <v>1</v>
      </c>
      <c r="H12" s="8">
        <v>1</v>
      </c>
      <c r="I12" s="8">
        <v>0</v>
      </c>
      <c r="J12" s="7">
        <f t="shared" si="0"/>
        <v>0.67</v>
      </c>
      <c r="K12" s="8"/>
    </row>
    <row r="13" spans="1:11" ht="18" hidden="1" customHeight="1">
      <c r="A13" s="1276"/>
      <c r="B13" s="1272"/>
      <c r="C13" s="226"/>
      <c r="D13" s="228" t="s">
        <v>1400</v>
      </c>
      <c r="E13" s="228"/>
      <c r="F13" s="170">
        <v>1</v>
      </c>
      <c r="G13" s="155">
        <v>1</v>
      </c>
      <c r="H13" s="486">
        <v>1</v>
      </c>
      <c r="I13" s="486">
        <v>0</v>
      </c>
      <c r="J13" s="241">
        <f t="shared" si="0"/>
        <v>0.67</v>
      </c>
      <c r="K13" s="8"/>
    </row>
    <row r="14" spans="1:11" ht="18" hidden="1" customHeight="1">
      <c r="A14" s="1276"/>
      <c r="B14" s="1273" t="s">
        <v>1402</v>
      </c>
      <c r="C14" s="1266" t="s">
        <v>1968</v>
      </c>
      <c r="D14" s="232" t="s">
        <v>39</v>
      </c>
      <c r="E14" s="227"/>
      <c r="F14" s="169">
        <v>4</v>
      </c>
      <c r="G14" s="233">
        <v>0</v>
      </c>
      <c r="H14" s="234">
        <v>0</v>
      </c>
      <c r="I14" s="234">
        <v>0</v>
      </c>
      <c r="J14" s="235">
        <f t="shared" si="0"/>
        <v>0</v>
      </c>
      <c r="K14" s="9"/>
    </row>
    <row r="15" spans="1:11" ht="18" hidden="1" customHeight="1">
      <c r="A15" s="1276"/>
      <c r="B15" s="1274"/>
      <c r="C15" s="1267"/>
      <c r="D15" s="23" t="s">
        <v>43</v>
      </c>
      <c r="E15" s="228"/>
      <c r="F15" s="170">
        <v>1</v>
      </c>
      <c r="G15" s="9">
        <v>0</v>
      </c>
      <c r="H15" s="8">
        <v>0</v>
      </c>
      <c r="I15" s="8">
        <v>0</v>
      </c>
      <c r="J15" s="236">
        <f t="shared" si="0"/>
        <v>0</v>
      </c>
      <c r="K15" s="9"/>
    </row>
    <row r="16" spans="1:11" ht="18" hidden="1" customHeight="1">
      <c r="A16" s="1276"/>
      <c r="B16" s="1274"/>
      <c r="C16" s="1268"/>
      <c r="D16" s="23" t="s">
        <v>1400</v>
      </c>
      <c r="E16" s="228"/>
      <c r="F16" s="170">
        <v>1</v>
      </c>
      <c r="G16" s="238">
        <v>0</v>
      </c>
      <c r="H16" s="239">
        <v>0</v>
      </c>
      <c r="I16" s="239">
        <v>0</v>
      </c>
      <c r="J16" s="240">
        <f t="shared" si="0"/>
        <v>0</v>
      </c>
      <c r="K16" s="9"/>
    </row>
    <row r="17" spans="1:11" ht="18" hidden="1" customHeight="1">
      <c r="A17" s="1276"/>
      <c r="B17" s="245" t="s">
        <v>1403</v>
      </c>
      <c r="C17" s="1269" t="s">
        <v>1969</v>
      </c>
      <c r="D17" s="225" t="s">
        <v>39</v>
      </c>
      <c r="E17" s="232"/>
      <c r="F17" s="169">
        <v>1</v>
      </c>
      <c r="G17" s="156">
        <v>0</v>
      </c>
      <c r="H17" s="906">
        <v>0</v>
      </c>
      <c r="I17" s="906">
        <v>0</v>
      </c>
      <c r="J17" s="242">
        <f t="shared" si="0"/>
        <v>0</v>
      </c>
      <c r="K17" s="8"/>
    </row>
    <row r="18" spans="1:11" ht="18" hidden="1" customHeight="1">
      <c r="A18" s="1276"/>
      <c r="B18" s="249"/>
      <c r="C18" s="1270"/>
      <c r="D18" s="244" t="s">
        <v>1400</v>
      </c>
      <c r="E18" s="23"/>
      <c r="F18" s="170">
        <v>1</v>
      </c>
      <c r="G18" s="9">
        <v>0</v>
      </c>
      <c r="H18" s="8">
        <v>0</v>
      </c>
      <c r="I18" s="8">
        <v>0</v>
      </c>
      <c r="J18" s="7">
        <f t="shared" si="0"/>
        <v>0</v>
      </c>
      <c r="K18" s="8"/>
    </row>
    <row r="19" spans="1:11" ht="18" hidden="1" customHeight="1">
      <c r="A19" s="1276"/>
      <c r="B19" s="245" t="s">
        <v>1404</v>
      </c>
      <c r="C19" s="257" t="s">
        <v>1970</v>
      </c>
      <c r="D19" s="23" t="s">
        <v>39</v>
      </c>
      <c r="E19" s="225"/>
      <c r="F19" s="168">
        <v>5</v>
      </c>
      <c r="G19" s="9">
        <v>0</v>
      </c>
      <c r="H19" s="8">
        <v>0</v>
      </c>
      <c r="I19" s="8">
        <v>0</v>
      </c>
      <c r="J19" s="7">
        <f t="shared" si="0"/>
        <v>0</v>
      </c>
      <c r="K19" s="8"/>
    </row>
    <row r="20" spans="1:11" ht="18" hidden="1" customHeight="1">
      <c r="A20" s="1276"/>
      <c r="B20" s="249" t="s">
        <v>1405</v>
      </c>
      <c r="C20" s="258" t="s">
        <v>1971</v>
      </c>
      <c r="D20" s="23" t="s">
        <v>39</v>
      </c>
      <c r="E20" s="243"/>
      <c r="F20" s="252">
        <v>5</v>
      </c>
      <c r="G20" s="9">
        <v>0</v>
      </c>
      <c r="H20" s="8">
        <v>0</v>
      </c>
      <c r="I20" s="8">
        <v>0</v>
      </c>
      <c r="J20" s="7">
        <f t="shared" si="0"/>
        <v>0</v>
      </c>
      <c r="K20" s="8"/>
    </row>
    <row r="21" spans="1:11" ht="18" hidden="1" customHeight="1">
      <c r="A21" s="1276"/>
      <c r="B21" s="249" t="s">
        <v>1406</v>
      </c>
      <c r="C21" s="258" t="s">
        <v>1972</v>
      </c>
      <c r="D21" s="23" t="s">
        <v>39</v>
      </c>
      <c r="E21" s="243"/>
      <c r="F21" s="252">
        <v>5</v>
      </c>
      <c r="G21" s="9">
        <v>0</v>
      </c>
      <c r="H21" s="8">
        <v>0</v>
      </c>
      <c r="I21" s="8">
        <v>0</v>
      </c>
      <c r="J21" s="7">
        <f t="shared" si="0"/>
        <v>0</v>
      </c>
      <c r="K21" s="8"/>
    </row>
    <row r="22" spans="1:11" ht="18" hidden="1" customHeight="1">
      <c r="A22" s="1276"/>
      <c r="B22" s="249" t="s">
        <v>1407</v>
      </c>
      <c r="C22" s="258" t="s">
        <v>1973</v>
      </c>
      <c r="D22" s="23" t="s">
        <v>39</v>
      </c>
      <c r="E22" s="243"/>
      <c r="F22" s="252">
        <v>4</v>
      </c>
      <c r="G22" s="9">
        <v>0</v>
      </c>
      <c r="H22" s="8">
        <v>0</v>
      </c>
      <c r="I22" s="8">
        <v>0</v>
      </c>
      <c r="J22" s="7">
        <f t="shared" si="0"/>
        <v>0</v>
      </c>
      <c r="K22" s="8"/>
    </row>
    <row r="23" spans="1:11" ht="18" hidden="1" customHeight="1">
      <c r="A23" s="1276"/>
      <c r="B23" s="249" t="s">
        <v>1408</v>
      </c>
      <c r="C23" s="258" t="s">
        <v>1974</v>
      </c>
      <c r="D23" s="23" t="s">
        <v>39</v>
      </c>
      <c r="E23" s="243"/>
      <c r="F23" s="252">
        <v>3</v>
      </c>
      <c r="G23" s="9">
        <v>0</v>
      </c>
      <c r="H23" s="8">
        <v>0</v>
      </c>
      <c r="I23" s="8">
        <v>0</v>
      </c>
      <c r="J23" s="7">
        <f t="shared" si="0"/>
        <v>0</v>
      </c>
      <c r="K23" s="8"/>
    </row>
    <row r="24" spans="1:11" ht="18" hidden="1" customHeight="1">
      <c r="A24" s="1276"/>
      <c r="B24" s="249" t="s">
        <v>1409</v>
      </c>
      <c r="C24" s="258" t="s">
        <v>1975</v>
      </c>
      <c r="D24" s="23" t="s">
        <v>39</v>
      </c>
      <c r="E24" s="243"/>
      <c r="F24" s="252">
        <v>4</v>
      </c>
      <c r="G24" s="9">
        <v>0</v>
      </c>
      <c r="H24" s="8">
        <v>0</v>
      </c>
      <c r="I24" s="8">
        <v>0</v>
      </c>
      <c r="J24" s="7">
        <f t="shared" si="0"/>
        <v>0</v>
      </c>
      <c r="K24" s="8"/>
    </row>
    <row r="25" spans="1:11" ht="18" hidden="1" customHeight="1">
      <c r="A25" s="1276"/>
      <c r="B25" s="249" t="s">
        <v>1410</v>
      </c>
      <c r="C25" s="258" t="s">
        <v>1976</v>
      </c>
      <c r="D25" s="23" t="s">
        <v>39</v>
      </c>
      <c r="E25" s="243"/>
      <c r="F25" s="252">
        <v>2</v>
      </c>
      <c r="G25" s="9">
        <v>0</v>
      </c>
      <c r="H25" s="8">
        <v>0</v>
      </c>
      <c r="I25" s="8">
        <v>0</v>
      </c>
      <c r="J25" s="7">
        <f t="shared" si="0"/>
        <v>0</v>
      </c>
      <c r="K25" s="8"/>
    </row>
    <row r="26" spans="1:11" ht="18" hidden="1" customHeight="1">
      <c r="A26" s="1276"/>
      <c r="B26" s="249" t="s">
        <v>1411</v>
      </c>
      <c r="C26" s="258" t="s">
        <v>1977</v>
      </c>
      <c r="D26" s="23" t="s">
        <v>39</v>
      </c>
      <c r="E26" s="243"/>
      <c r="F26" s="252">
        <v>4</v>
      </c>
      <c r="G26" s="9">
        <v>0</v>
      </c>
      <c r="H26" s="8">
        <v>0</v>
      </c>
      <c r="I26" s="8">
        <v>0</v>
      </c>
      <c r="J26" s="7">
        <f t="shared" si="0"/>
        <v>0</v>
      </c>
      <c r="K26" s="8"/>
    </row>
    <row r="27" spans="1:11" ht="18" hidden="1" customHeight="1">
      <c r="A27" s="1276"/>
      <c r="B27" s="249" t="s">
        <v>1412</v>
      </c>
      <c r="C27" s="258" t="s">
        <v>1978</v>
      </c>
      <c r="D27" s="23" t="s">
        <v>39</v>
      </c>
      <c r="E27" s="243"/>
      <c r="F27" s="252">
        <v>3</v>
      </c>
      <c r="G27" s="9">
        <v>0</v>
      </c>
      <c r="H27" s="8">
        <v>0</v>
      </c>
      <c r="I27" s="8">
        <v>0</v>
      </c>
      <c r="J27" s="7">
        <f t="shared" si="0"/>
        <v>0</v>
      </c>
      <c r="K27" s="8"/>
    </row>
    <row r="28" spans="1:11" ht="18" hidden="1" customHeight="1">
      <c r="A28" s="1276"/>
      <c r="B28" s="249" t="s">
        <v>1413</v>
      </c>
      <c r="C28" s="258" t="s">
        <v>1979</v>
      </c>
      <c r="D28" s="23" t="s">
        <v>39</v>
      </c>
      <c r="E28" s="243"/>
      <c r="F28" s="252">
        <v>4</v>
      </c>
      <c r="G28" s="9">
        <v>0</v>
      </c>
      <c r="H28" s="8">
        <v>0</v>
      </c>
      <c r="I28" s="8">
        <v>0</v>
      </c>
      <c r="J28" s="7">
        <f t="shared" si="0"/>
        <v>0</v>
      </c>
      <c r="K28" s="8"/>
    </row>
    <row r="29" spans="1:11" ht="18" hidden="1" customHeight="1">
      <c r="A29" s="1276"/>
      <c r="B29" s="249" t="s">
        <v>1414</v>
      </c>
      <c r="C29" s="258" t="s">
        <v>1980</v>
      </c>
      <c r="D29" s="23" t="s">
        <v>39</v>
      </c>
      <c r="E29" s="243"/>
      <c r="F29" s="252">
        <v>1</v>
      </c>
      <c r="G29" s="9">
        <v>0</v>
      </c>
      <c r="H29" s="8">
        <v>0</v>
      </c>
      <c r="I29" s="8">
        <v>0</v>
      </c>
      <c r="J29" s="7">
        <f t="shared" si="0"/>
        <v>0</v>
      </c>
      <c r="K29" s="8"/>
    </row>
    <row r="30" spans="1:11" ht="18" hidden="1" customHeight="1">
      <c r="A30" s="1276"/>
      <c r="B30" s="249" t="s">
        <v>1415</v>
      </c>
      <c r="C30" s="258" t="s">
        <v>1981</v>
      </c>
      <c r="D30" s="23" t="s">
        <v>39</v>
      </c>
      <c r="E30" s="243"/>
      <c r="F30" s="252">
        <v>1</v>
      </c>
      <c r="G30" s="9">
        <v>0</v>
      </c>
      <c r="H30" s="8">
        <v>0</v>
      </c>
      <c r="I30" s="8">
        <v>0</v>
      </c>
      <c r="J30" s="7">
        <f t="shared" si="0"/>
        <v>0</v>
      </c>
      <c r="K30" s="8"/>
    </row>
    <row r="31" spans="1:11" ht="18" hidden="1" customHeight="1">
      <c r="A31" s="1276"/>
      <c r="B31" s="249"/>
      <c r="C31" s="258"/>
      <c r="D31" s="23" t="s">
        <v>43</v>
      </c>
      <c r="E31" s="243"/>
      <c r="F31" s="252">
        <v>1</v>
      </c>
      <c r="G31" s="9">
        <v>0</v>
      </c>
      <c r="H31" s="8">
        <v>0</v>
      </c>
      <c r="I31" s="8">
        <v>0</v>
      </c>
      <c r="J31" s="7">
        <f t="shared" si="0"/>
        <v>0</v>
      </c>
      <c r="K31" s="8"/>
    </row>
    <row r="32" spans="1:11" ht="18" hidden="1" customHeight="1">
      <c r="A32" s="1276"/>
      <c r="B32" s="249" t="s">
        <v>1982</v>
      </c>
      <c r="C32" s="258" t="s">
        <v>349</v>
      </c>
      <c r="D32" s="23" t="s">
        <v>39</v>
      </c>
      <c r="E32" s="243"/>
      <c r="F32" s="280">
        <v>4</v>
      </c>
      <c r="G32" s="9">
        <v>0</v>
      </c>
      <c r="H32" s="8">
        <v>0</v>
      </c>
      <c r="I32" s="8">
        <v>0</v>
      </c>
      <c r="J32" s="7">
        <f t="shared" si="0"/>
        <v>0</v>
      </c>
      <c r="K32" s="8"/>
    </row>
    <row r="33" spans="1:11" ht="18" hidden="1" customHeight="1">
      <c r="A33" s="1276"/>
      <c r="B33" s="249" t="s">
        <v>1550</v>
      </c>
      <c r="C33" s="258" t="s">
        <v>349</v>
      </c>
      <c r="D33" s="23" t="s">
        <v>39</v>
      </c>
      <c r="E33" s="243"/>
      <c r="F33" s="280">
        <v>1</v>
      </c>
      <c r="G33" s="9">
        <v>0</v>
      </c>
      <c r="H33" s="8">
        <v>0</v>
      </c>
      <c r="I33" s="8">
        <v>0</v>
      </c>
      <c r="J33" s="7">
        <f t="shared" si="0"/>
        <v>0</v>
      </c>
      <c r="K33" s="8"/>
    </row>
    <row r="34" spans="1:11" ht="18" hidden="1" customHeight="1">
      <c r="A34" s="1276"/>
      <c r="B34" s="249" t="s">
        <v>1551</v>
      </c>
      <c r="C34" s="258" t="s">
        <v>349</v>
      </c>
      <c r="D34" s="23" t="s">
        <v>39</v>
      </c>
      <c r="E34" s="243"/>
      <c r="F34" s="280">
        <v>1</v>
      </c>
      <c r="G34" s="9">
        <v>0</v>
      </c>
      <c r="H34" s="8">
        <v>0</v>
      </c>
      <c r="I34" s="8">
        <v>0</v>
      </c>
      <c r="J34" s="7">
        <f t="shared" si="0"/>
        <v>0</v>
      </c>
      <c r="K34" s="8"/>
    </row>
    <row r="35" spans="1:11" ht="18" hidden="1" customHeight="1">
      <c r="A35" s="1276"/>
      <c r="B35" s="249" t="s">
        <v>1552</v>
      </c>
      <c r="C35" s="258" t="s">
        <v>349</v>
      </c>
      <c r="D35" s="23" t="s">
        <v>39</v>
      </c>
      <c r="E35" s="243"/>
      <c r="F35" s="280">
        <v>1</v>
      </c>
      <c r="G35" s="9">
        <v>0</v>
      </c>
      <c r="H35" s="8">
        <v>0</v>
      </c>
      <c r="I35" s="8">
        <v>0</v>
      </c>
      <c r="J35" s="7">
        <f t="shared" si="0"/>
        <v>0</v>
      </c>
      <c r="K35" s="8"/>
    </row>
    <row r="36" spans="1:11" ht="18" hidden="1">
      <c r="A36" s="1276"/>
      <c r="B36" s="249" t="s">
        <v>1553</v>
      </c>
      <c r="C36" s="258" t="s">
        <v>349</v>
      </c>
      <c r="D36" s="23" t="s">
        <v>39</v>
      </c>
      <c r="E36" s="243"/>
      <c r="F36" s="281">
        <v>1</v>
      </c>
      <c r="G36" s="9">
        <v>0</v>
      </c>
      <c r="H36" s="8">
        <v>0</v>
      </c>
      <c r="I36" s="8">
        <v>0</v>
      </c>
      <c r="J36" s="7">
        <f t="shared" si="0"/>
        <v>0</v>
      </c>
      <c r="K36" s="8"/>
    </row>
    <row r="37" spans="1:11" ht="36" hidden="1">
      <c r="A37" s="1276"/>
      <c r="B37" s="401" t="s">
        <v>1554</v>
      </c>
      <c r="C37" s="258"/>
      <c r="D37" s="23"/>
      <c r="E37" s="243"/>
      <c r="F37" s="253"/>
      <c r="G37" s="9"/>
      <c r="H37" s="8"/>
      <c r="I37" s="8"/>
      <c r="J37" s="7"/>
      <c r="K37" s="8"/>
    </row>
    <row r="38" spans="1:11" ht="36" hidden="1">
      <c r="A38" s="1277"/>
      <c r="B38" s="401" t="s">
        <v>1983</v>
      </c>
      <c r="C38" s="259"/>
      <c r="D38" s="23"/>
      <c r="E38" s="243"/>
      <c r="F38" s="252"/>
      <c r="G38" s="9"/>
      <c r="H38" s="8"/>
      <c r="I38" s="8"/>
      <c r="J38" s="7"/>
      <c r="K38" s="8"/>
    </row>
    <row r="39" spans="1:11" ht="18" hidden="1">
      <c r="A39" s="926" t="s">
        <v>1422</v>
      </c>
      <c r="B39" s="245" t="s">
        <v>1423</v>
      </c>
      <c r="C39" s="258" t="s">
        <v>349</v>
      </c>
      <c r="D39" s="232" t="s">
        <v>1399</v>
      </c>
      <c r="E39" s="225"/>
      <c r="F39" s="168">
        <v>1</v>
      </c>
      <c r="G39" s="9">
        <v>0</v>
      </c>
      <c r="H39" s="8">
        <v>0</v>
      </c>
      <c r="I39" s="8">
        <v>0</v>
      </c>
      <c r="J39" s="7">
        <f t="shared" si="0"/>
        <v>0</v>
      </c>
      <c r="K39" s="8"/>
    </row>
    <row r="40" spans="1:11" ht="18" hidden="1">
      <c r="A40" s="1262" t="s">
        <v>1425</v>
      </c>
      <c r="B40" s="245" t="s">
        <v>1426</v>
      </c>
      <c r="C40" s="257" t="s">
        <v>349</v>
      </c>
      <c r="D40" s="232" t="s">
        <v>1399</v>
      </c>
      <c r="E40" s="225"/>
      <c r="F40" s="168">
        <v>2</v>
      </c>
      <c r="G40" s="9">
        <v>0</v>
      </c>
      <c r="H40" s="8">
        <v>0</v>
      </c>
      <c r="I40" s="8">
        <v>0</v>
      </c>
      <c r="J40" s="7">
        <f t="shared" si="0"/>
        <v>0</v>
      </c>
      <c r="K40" s="8"/>
    </row>
    <row r="41" spans="1:11" ht="18" hidden="1">
      <c r="A41" s="1263"/>
      <c r="B41" s="256" t="s">
        <v>1555</v>
      </c>
      <c r="C41" s="257" t="s">
        <v>349</v>
      </c>
      <c r="D41" s="232" t="s">
        <v>43</v>
      </c>
      <c r="E41" s="225"/>
      <c r="F41" s="168">
        <v>1</v>
      </c>
      <c r="G41" s="9">
        <v>0</v>
      </c>
      <c r="H41" s="8">
        <v>0</v>
      </c>
      <c r="I41" s="8">
        <v>0</v>
      </c>
      <c r="J41" s="7">
        <f t="shared" si="0"/>
        <v>0</v>
      </c>
      <c r="K41" s="8"/>
    </row>
    <row r="42" spans="1:11" ht="18" hidden="1">
      <c r="A42" s="1262" t="s">
        <v>1429</v>
      </c>
      <c r="B42" s="255" t="s">
        <v>1556</v>
      </c>
      <c r="C42" s="247" t="s">
        <v>349</v>
      </c>
      <c r="D42" s="251" t="s">
        <v>43</v>
      </c>
      <c r="E42" s="248"/>
      <c r="F42" s="167">
        <v>1</v>
      </c>
      <c r="G42" s="9">
        <v>0</v>
      </c>
      <c r="H42" s="8">
        <v>0</v>
      </c>
      <c r="I42" s="8">
        <v>0</v>
      </c>
      <c r="J42" s="7">
        <f t="shared" si="0"/>
        <v>0</v>
      </c>
      <c r="K42" s="8"/>
    </row>
    <row r="43" spans="1:11" ht="18" hidden="1">
      <c r="A43" s="1263"/>
      <c r="B43" s="260" t="s">
        <v>1557</v>
      </c>
      <c r="C43" s="258" t="s">
        <v>349</v>
      </c>
      <c r="D43" s="23" t="s">
        <v>1399</v>
      </c>
      <c r="E43" s="243"/>
      <c r="F43" s="158">
        <v>2</v>
      </c>
      <c r="G43" s="8">
        <v>0</v>
      </c>
      <c r="H43" s="8">
        <v>0</v>
      </c>
      <c r="I43" s="8">
        <v>0</v>
      </c>
      <c r="J43" s="7">
        <f t="shared" si="0"/>
        <v>0</v>
      </c>
      <c r="K43" s="8"/>
    </row>
    <row r="44" spans="1:11" ht="18" hidden="1">
      <c r="A44" s="1263"/>
      <c r="B44" s="261" t="s">
        <v>1558</v>
      </c>
      <c r="C44" s="258" t="s">
        <v>349</v>
      </c>
      <c r="D44" s="23" t="s">
        <v>39</v>
      </c>
      <c r="E44" s="243"/>
      <c r="F44" s="158">
        <v>2</v>
      </c>
      <c r="G44" s="8">
        <v>0</v>
      </c>
      <c r="H44" s="8">
        <v>0</v>
      </c>
      <c r="I44" s="8">
        <v>0</v>
      </c>
      <c r="J44" s="7">
        <f t="shared" si="0"/>
        <v>0</v>
      </c>
      <c r="K44" s="8"/>
    </row>
    <row r="45" spans="1:11" ht="18" hidden="1">
      <c r="A45" s="1263"/>
      <c r="B45" s="249"/>
      <c r="C45" s="258"/>
      <c r="D45" s="23" t="s">
        <v>43</v>
      </c>
      <c r="E45" s="243"/>
      <c r="F45" s="158">
        <v>7</v>
      </c>
      <c r="G45" s="8">
        <v>0</v>
      </c>
      <c r="H45" s="8">
        <v>0</v>
      </c>
      <c r="I45" s="8">
        <v>0</v>
      </c>
      <c r="J45" s="7">
        <f t="shared" si="0"/>
        <v>0</v>
      </c>
      <c r="K45" s="8"/>
    </row>
    <row r="46" spans="1:11" ht="18" hidden="1">
      <c r="A46" s="1263"/>
      <c r="B46" s="249" t="s">
        <v>1984</v>
      </c>
      <c r="C46" s="258" t="s">
        <v>349</v>
      </c>
      <c r="D46" s="23" t="s">
        <v>39</v>
      </c>
      <c r="E46" s="243"/>
      <c r="F46" s="158">
        <v>1</v>
      </c>
      <c r="G46" s="8">
        <v>0</v>
      </c>
      <c r="H46" s="8">
        <v>0</v>
      </c>
      <c r="I46" s="8">
        <v>0</v>
      </c>
      <c r="J46" s="7">
        <f t="shared" si="0"/>
        <v>0</v>
      </c>
      <c r="K46" s="8"/>
    </row>
    <row r="47" spans="1:11" ht="18" hidden="1">
      <c r="A47" s="1263"/>
      <c r="B47" s="261" t="s">
        <v>1985</v>
      </c>
      <c r="C47" s="258" t="s">
        <v>349</v>
      </c>
      <c r="D47" s="23" t="s">
        <v>43</v>
      </c>
      <c r="E47" s="243"/>
      <c r="F47" s="158">
        <v>13</v>
      </c>
      <c r="G47" s="8">
        <v>0</v>
      </c>
      <c r="H47" s="8">
        <v>0</v>
      </c>
      <c r="I47" s="8">
        <v>0</v>
      </c>
      <c r="J47" s="7">
        <f t="shared" si="0"/>
        <v>0</v>
      </c>
      <c r="K47" s="8"/>
    </row>
    <row r="48" spans="1:11" ht="18" hidden="1">
      <c r="A48" s="1263"/>
      <c r="B48" s="260" t="s">
        <v>1560</v>
      </c>
      <c r="C48" s="258" t="s">
        <v>349</v>
      </c>
      <c r="D48" s="23" t="s">
        <v>43</v>
      </c>
      <c r="E48" s="243"/>
      <c r="F48" s="158">
        <v>1</v>
      </c>
      <c r="G48" s="8">
        <v>0</v>
      </c>
      <c r="H48" s="8">
        <v>0</v>
      </c>
      <c r="I48" s="8">
        <v>0</v>
      </c>
      <c r="J48" s="7">
        <f t="shared" si="0"/>
        <v>0</v>
      </c>
      <c r="K48" s="8"/>
    </row>
    <row r="49" spans="1:11" ht="18" hidden="1">
      <c r="A49" s="402" t="s">
        <v>1986</v>
      </c>
      <c r="B49" s="327" t="s">
        <v>1562</v>
      </c>
      <c r="C49" s="296"/>
      <c r="D49" s="309"/>
      <c r="E49" s="309"/>
      <c r="F49" s="167"/>
      <c r="G49" s="9"/>
      <c r="H49" s="8"/>
      <c r="I49" s="8"/>
      <c r="J49" s="7"/>
      <c r="K49" s="8"/>
    </row>
    <row r="50" spans="1:11" ht="18">
      <c r="A50" s="262" t="s">
        <v>131</v>
      </c>
      <c r="B50" s="246" t="s">
        <v>1443</v>
      </c>
      <c r="C50" s="328" t="s">
        <v>349</v>
      </c>
      <c r="D50" s="244" t="s">
        <v>1399</v>
      </c>
      <c r="E50" s="24"/>
      <c r="F50" s="906">
        <v>1</v>
      </c>
      <c r="G50" s="8">
        <v>0</v>
      </c>
      <c r="H50" s="8">
        <v>0</v>
      </c>
      <c r="I50" s="8">
        <v>0</v>
      </c>
      <c r="J50" s="7">
        <f t="shared" si="0"/>
        <v>0</v>
      </c>
      <c r="K50" s="8"/>
    </row>
    <row r="51" spans="1:11" ht="18" hidden="1">
      <c r="A51" s="1260" t="s">
        <v>1446</v>
      </c>
      <c r="B51" s="263" t="s">
        <v>1987</v>
      </c>
      <c r="C51" s="226" t="s">
        <v>349</v>
      </c>
      <c r="D51" s="157" t="s">
        <v>77</v>
      </c>
      <c r="E51" s="22"/>
      <c r="F51" s="486">
        <v>2</v>
      </c>
      <c r="G51" s="8">
        <v>2</v>
      </c>
      <c r="H51" s="8">
        <v>2</v>
      </c>
      <c r="I51" s="8">
        <v>0</v>
      </c>
      <c r="J51" s="7">
        <f t="shared" si="0"/>
        <v>0.67</v>
      </c>
      <c r="K51" s="8"/>
    </row>
    <row r="52" spans="1:11" ht="18" hidden="1">
      <c r="A52" s="1260"/>
      <c r="B52" s="249" t="s">
        <v>1449</v>
      </c>
      <c r="C52" s="226" t="s">
        <v>349</v>
      </c>
      <c r="D52" s="157" t="s">
        <v>39</v>
      </c>
      <c r="E52" s="23"/>
      <c r="F52" s="905">
        <v>1</v>
      </c>
      <c r="G52" s="8">
        <v>0</v>
      </c>
      <c r="H52" s="8">
        <v>0</v>
      </c>
      <c r="I52" s="8">
        <v>0</v>
      </c>
      <c r="J52" s="7">
        <f t="shared" si="0"/>
        <v>0</v>
      </c>
      <c r="K52" s="8"/>
    </row>
    <row r="53" spans="1:11" ht="18" hidden="1">
      <c r="A53" s="1260"/>
      <c r="B53" s="249" t="s">
        <v>1450</v>
      </c>
      <c r="C53" s="226" t="s">
        <v>1988</v>
      </c>
      <c r="D53" s="157" t="s">
        <v>39</v>
      </c>
      <c r="E53" s="23"/>
      <c r="F53" s="905">
        <v>3</v>
      </c>
      <c r="G53" s="8">
        <v>0</v>
      </c>
      <c r="H53" s="8">
        <v>0</v>
      </c>
      <c r="I53" s="8">
        <v>0</v>
      </c>
      <c r="J53" s="7">
        <f t="shared" si="0"/>
        <v>0</v>
      </c>
      <c r="K53" s="8"/>
    </row>
    <row r="54" spans="1:11" ht="18" hidden="1">
      <c r="A54" s="1260"/>
      <c r="B54" s="249" t="s">
        <v>1451</v>
      </c>
      <c r="C54" s="226" t="s">
        <v>1989</v>
      </c>
      <c r="D54" s="157" t="s">
        <v>39</v>
      </c>
      <c r="E54" s="23"/>
      <c r="F54" s="905">
        <v>1</v>
      </c>
      <c r="G54" s="8">
        <v>0</v>
      </c>
      <c r="H54" s="8">
        <v>0</v>
      </c>
      <c r="I54" s="8">
        <v>0</v>
      </c>
      <c r="J54" s="7">
        <f t="shared" si="0"/>
        <v>0</v>
      </c>
      <c r="K54" s="8"/>
    </row>
    <row r="55" spans="1:11" ht="18" hidden="1">
      <c r="A55" s="1260"/>
      <c r="B55" s="249"/>
      <c r="C55" s="226"/>
      <c r="D55" s="157" t="s">
        <v>43</v>
      </c>
      <c r="E55" s="23"/>
      <c r="F55" s="905">
        <v>1</v>
      </c>
      <c r="G55" s="8">
        <v>0</v>
      </c>
      <c r="H55" s="8">
        <v>0</v>
      </c>
      <c r="I55" s="8">
        <v>0</v>
      </c>
      <c r="J55" s="7">
        <f t="shared" si="0"/>
        <v>0</v>
      </c>
      <c r="K55" s="8"/>
    </row>
    <row r="56" spans="1:11" ht="18" hidden="1">
      <c r="A56" s="1260"/>
      <c r="B56" s="249" t="s">
        <v>1452</v>
      </c>
      <c r="C56" s="226" t="s">
        <v>1990</v>
      </c>
      <c r="D56" s="157" t="s">
        <v>39</v>
      </c>
      <c r="E56" s="23"/>
      <c r="F56" s="905">
        <v>1</v>
      </c>
      <c r="G56" s="8">
        <v>0</v>
      </c>
      <c r="H56" s="8">
        <v>0</v>
      </c>
      <c r="I56" s="8">
        <v>0</v>
      </c>
      <c r="J56" s="7">
        <f t="shared" si="0"/>
        <v>0</v>
      </c>
      <c r="K56" s="8"/>
    </row>
    <row r="57" spans="1:11" ht="18" hidden="1">
      <c r="A57" s="1260"/>
      <c r="B57" s="249" t="s">
        <v>1453</v>
      </c>
      <c r="C57" s="226" t="s">
        <v>1991</v>
      </c>
      <c r="D57" s="157" t="s">
        <v>39</v>
      </c>
      <c r="E57" s="23"/>
      <c r="F57" s="905">
        <v>1</v>
      </c>
      <c r="G57" s="8">
        <v>0</v>
      </c>
      <c r="H57" s="8">
        <v>0</v>
      </c>
      <c r="I57" s="8">
        <v>0</v>
      </c>
      <c r="J57" s="7">
        <f t="shared" si="0"/>
        <v>0</v>
      </c>
      <c r="K57" s="8"/>
    </row>
    <row r="58" spans="1:11" ht="18" hidden="1">
      <c r="A58" s="1260"/>
      <c r="B58" s="249"/>
      <c r="C58" s="226"/>
      <c r="D58" s="157" t="s">
        <v>43</v>
      </c>
      <c r="E58" s="23"/>
      <c r="F58" s="905">
        <v>1</v>
      </c>
      <c r="G58" s="8">
        <v>0</v>
      </c>
      <c r="H58" s="8">
        <v>0</v>
      </c>
      <c r="I58" s="8">
        <v>0</v>
      </c>
      <c r="J58" s="7">
        <f t="shared" si="0"/>
        <v>0</v>
      </c>
      <c r="K58" s="8"/>
    </row>
    <row r="59" spans="1:11" ht="18" hidden="1">
      <c r="A59" s="1260"/>
      <c r="B59" s="249" t="s">
        <v>1454</v>
      </c>
      <c r="C59" s="226" t="s">
        <v>1992</v>
      </c>
      <c r="D59" s="157" t="s">
        <v>39</v>
      </c>
      <c r="E59" s="23"/>
      <c r="F59" s="905">
        <v>1</v>
      </c>
      <c r="G59" s="8">
        <v>0</v>
      </c>
      <c r="H59" s="8">
        <v>0</v>
      </c>
      <c r="I59" s="8">
        <v>0</v>
      </c>
      <c r="J59" s="7">
        <f t="shared" si="0"/>
        <v>0</v>
      </c>
      <c r="K59" s="8"/>
    </row>
    <row r="60" spans="1:11" ht="18" hidden="1">
      <c r="A60" s="1260"/>
      <c r="B60" s="249" t="s">
        <v>1455</v>
      </c>
      <c r="C60" s="226" t="s">
        <v>1993</v>
      </c>
      <c r="D60" s="157" t="s">
        <v>39</v>
      </c>
      <c r="E60" s="23"/>
      <c r="F60" s="905">
        <v>2</v>
      </c>
      <c r="G60" s="8">
        <v>0</v>
      </c>
      <c r="H60" s="8">
        <v>0</v>
      </c>
      <c r="I60" s="8">
        <v>0</v>
      </c>
      <c r="J60" s="7">
        <f t="shared" si="0"/>
        <v>0</v>
      </c>
      <c r="K60" s="8"/>
    </row>
    <row r="61" spans="1:11" ht="18" hidden="1">
      <c r="A61" s="1260"/>
      <c r="B61" s="249" t="s">
        <v>1456</v>
      </c>
      <c r="C61" s="226" t="s">
        <v>1994</v>
      </c>
      <c r="D61" s="157" t="s">
        <v>39</v>
      </c>
      <c r="E61" s="23"/>
      <c r="F61" s="905">
        <v>1</v>
      </c>
      <c r="G61" s="8">
        <v>0</v>
      </c>
      <c r="H61" s="8">
        <v>0</v>
      </c>
      <c r="I61" s="8">
        <v>0</v>
      </c>
      <c r="J61" s="7">
        <f t="shared" si="0"/>
        <v>0</v>
      </c>
      <c r="K61" s="8"/>
    </row>
    <row r="62" spans="1:11" ht="18" hidden="1">
      <c r="A62" s="1261"/>
      <c r="B62" s="249" t="s">
        <v>1457</v>
      </c>
      <c r="C62" s="226" t="s">
        <v>1995</v>
      </c>
      <c r="D62" s="157" t="s">
        <v>39</v>
      </c>
      <c r="E62" s="24"/>
      <c r="F62" s="906">
        <v>1</v>
      </c>
      <c r="G62" s="8">
        <v>0</v>
      </c>
      <c r="H62" s="8">
        <v>0</v>
      </c>
      <c r="I62" s="8">
        <v>0</v>
      </c>
      <c r="J62" s="7">
        <f t="shared" si="0"/>
        <v>0</v>
      </c>
      <c r="K62" s="8"/>
    </row>
    <row r="63" spans="1:11" ht="18" hidden="1">
      <c r="A63" s="1259" t="s">
        <v>1458</v>
      </c>
      <c r="B63" s="245" t="s">
        <v>1459</v>
      </c>
      <c r="C63" s="224" t="s">
        <v>349</v>
      </c>
      <c r="D63" s="153" t="s">
        <v>39</v>
      </c>
      <c r="E63" s="22"/>
      <c r="F63" s="486">
        <v>3</v>
      </c>
      <c r="G63" s="8">
        <v>0</v>
      </c>
      <c r="H63" s="8">
        <v>0</v>
      </c>
      <c r="I63" s="8">
        <v>0</v>
      </c>
      <c r="J63" s="7">
        <f t="shared" si="0"/>
        <v>0</v>
      </c>
      <c r="K63" s="8"/>
    </row>
    <row r="64" spans="1:11" ht="18" hidden="1">
      <c r="A64" s="1260"/>
      <c r="B64" s="249"/>
      <c r="C64" s="226"/>
      <c r="D64" s="157" t="s">
        <v>43</v>
      </c>
      <c r="E64" s="23"/>
      <c r="F64" s="905">
        <v>3</v>
      </c>
      <c r="G64" s="8">
        <v>0</v>
      </c>
      <c r="H64" s="8">
        <v>0</v>
      </c>
      <c r="I64" s="8">
        <v>0</v>
      </c>
      <c r="J64" s="7">
        <f t="shared" si="0"/>
        <v>0</v>
      </c>
      <c r="K64" s="8"/>
    </row>
    <row r="65" spans="1:11" ht="18" hidden="1">
      <c r="A65" s="1260"/>
      <c r="B65" s="249" t="s">
        <v>1460</v>
      </c>
      <c r="C65" s="226" t="s">
        <v>349</v>
      </c>
      <c r="D65" s="157" t="s">
        <v>39</v>
      </c>
      <c r="E65" s="23"/>
      <c r="F65" s="905">
        <v>5</v>
      </c>
      <c r="G65" s="8">
        <v>0</v>
      </c>
      <c r="H65" s="8">
        <v>0</v>
      </c>
      <c r="I65" s="8">
        <v>0</v>
      </c>
      <c r="J65" s="7">
        <f t="shared" si="0"/>
        <v>0</v>
      </c>
      <c r="K65" s="8"/>
    </row>
    <row r="66" spans="1:11" ht="18" hidden="1">
      <c r="A66" s="1261"/>
      <c r="B66" s="246"/>
      <c r="C66" s="226"/>
      <c r="D66" s="157" t="s">
        <v>43</v>
      </c>
      <c r="E66" s="23"/>
      <c r="F66" s="906">
        <v>2</v>
      </c>
      <c r="G66" s="8">
        <v>0</v>
      </c>
      <c r="H66" s="8">
        <v>0</v>
      </c>
      <c r="I66" s="8">
        <v>0</v>
      </c>
      <c r="J66" s="7">
        <f t="shared" si="0"/>
        <v>0</v>
      </c>
      <c r="K66" s="8"/>
    </row>
    <row r="67" spans="1:11" ht="18" hidden="1">
      <c r="A67" s="44" t="s">
        <v>1463</v>
      </c>
      <c r="B67" s="30" t="s">
        <v>1464</v>
      </c>
      <c r="C67" s="264" t="s">
        <v>349</v>
      </c>
      <c r="D67" s="320" t="s">
        <v>39</v>
      </c>
      <c r="E67" s="321"/>
      <c r="F67" s="9">
        <v>1</v>
      </c>
      <c r="G67" s="8">
        <v>0</v>
      </c>
      <c r="H67" s="8">
        <v>0</v>
      </c>
      <c r="I67" s="8">
        <v>0</v>
      </c>
      <c r="J67" s="7">
        <f t="shared" si="0"/>
        <v>0</v>
      </c>
      <c r="K67" s="8"/>
    </row>
    <row r="68" spans="1:11" ht="18" hidden="1">
      <c r="A68" s="1259" t="s">
        <v>1564</v>
      </c>
      <c r="B68" s="28" t="s">
        <v>1423</v>
      </c>
      <c r="C68" s="265" t="s">
        <v>349</v>
      </c>
      <c r="D68" s="22" t="s">
        <v>39</v>
      </c>
      <c r="E68" s="322"/>
      <c r="F68" s="155">
        <v>2</v>
      </c>
      <c r="G68" s="8">
        <v>0</v>
      </c>
      <c r="H68" s="8">
        <v>0</v>
      </c>
      <c r="I68" s="8">
        <v>0</v>
      </c>
      <c r="J68" s="7">
        <f t="shared" si="0"/>
        <v>0</v>
      </c>
      <c r="K68" s="8"/>
    </row>
    <row r="69" spans="1:11" ht="18" hidden="1">
      <c r="A69" s="1261"/>
      <c r="B69" s="30"/>
      <c r="C69" s="266"/>
      <c r="D69" s="24" t="s">
        <v>43</v>
      </c>
      <c r="E69" s="323"/>
      <c r="F69" s="156">
        <v>5</v>
      </c>
      <c r="G69" s="8">
        <v>0</v>
      </c>
      <c r="H69" s="8">
        <v>0</v>
      </c>
      <c r="I69" s="8">
        <v>0</v>
      </c>
      <c r="J69" s="7">
        <f t="shared" ref="J69:J83" si="1">ROUNDUP(((G69+H69+I69)/3)/F69*100%,2)</f>
        <v>0</v>
      </c>
      <c r="K69" s="8"/>
    </row>
    <row r="70" spans="1:11" ht="18" hidden="1">
      <c r="A70" s="1264" t="s">
        <v>1565</v>
      </c>
      <c r="B70" s="28" t="s">
        <v>1426</v>
      </c>
      <c r="C70" s="265" t="s">
        <v>349</v>
      </c>
      <c r="D70" s="22" t="s">
        <v>39</v>
      </c>
      <c r="E70" s="322"/>
      <c r="F70" s="155">
        <v>2</v>
      </c>
      <c r="G70" s="8">
        <v>0</v>
      </c>
      <c r="H70" s="8">
        <v>0</v>
      </c>
      <c r="I70" s="8">
        <v>0</v>
      </c>
      <c r="J70" s="7">
        <f t="shared" si="1"/>
        <v>0</v>
      </c>
      <c r="K70" s="8"/>
    </row>
    <row r="71" spans="1:11" ht="18" hidden="1">
      <c r="A71" s="1265"/>
      <c r="B71" s="30"/>
      <c r="C71" s="266"/>
      <c r="D71" s="24" t="s">
        <v>43</v>
      </c>
      <c r="E71" s="323"/>
      <c r="F71" s="156">
        <v>4</v>
      </c>
      <c r="G71" s="8">
        <v>0</v>
      </c>
      <c r="H71" s="8">
        <v>0</v>
      </c>
      <c r="I71" s="8">
        <v>0</v>
      </c>
      <c r="J71" s="7">
        <f t="shared" si="1"/>
        <v>0</v>
      </c>
      <c r="K71" s="8"/>
    </row>
    <row r="72" spans="1:11" ht="18" hidden="1">
      <c r="A72" s="1264" t="s">
        <v>1996</v>
      </c>
      <c r="B72" s="28" t="s">
        <v>1426</v>
      </c>
      <c r="C72" s="265" t="s">
        <v>349</v>
      </c>
      <c r="D72" s="22" t="s">
        <v>43</v>
      </c>
      <c r="E72" s="322"/>
      <c r="F72" s="155">
        <v>4</v>
      </c>
      <c r="G72" s="8">
        <v>0</v>
      </c>
      <c r="H72" s="8">
        <v>0</v>
      </c>
      <c r="I72" s="8">
        <v>0</v>
      </c>
      <c r="J72" s="7">
        <f t="shared" si="1"/>
        <v>0</v>
      </c>
      <c r="K72" s="8"/>
    </row>
    <row r="73" spans="1:11" ht="18" hidden="1">
      <c r="A73" s="1265"/>
      <c r="B73" s="30"/>
      <c r="C73" s="266"/>
      <c r="D73" s="24" t="s">
        <v>1470</v>
      </c>
      <c r="E73" s="323"/>
      <c r="F73" s="156">
        <v>1</v>
      </c>
      <c r="G73" s="8">
        <v>0</v>
      </c>
      <c r="H73" s="8">
        <v>0</v>
      </c>
      <c r="I73" s="8">
        <v>0</v>
      </c>
      <c r="J73" s="7">
        <f t="shared" si="1"/>
        <v>0</v>
      </c>
      <c r="K73" s="8"/>
    </row>
    <row r="74" spans="1:11" ht="18" hidden="1">
      <c r="A74" s="44" t="s">
        <v>1472</v>
      </c>
      <c r="B74" s="31" t="s">
        <v>1423</v>
      </c>
      <c r="C74" s="267" t="s">
        <v>349</v>
      </c>
      <c r="D74" s="21" t="s">
        <v>43</v>
      </c>
      <c r="E74" s="324"/>
      <c r="F74" s="9">
        <v>1</v>
      </c>
      <c r="G74" s="8">
        <v>0</v>
      </c>
      <c r="H74" s="8">
        <v>0</v>
      </c>
      <c r="I74" s="8">
        <v>0</v>
      </c>
      <c r="J74" s="7">
        <f t="shared" si="1"/>
        <v>0</v>
      </c>
      <c r="K74" s="8"/>
    </row>
    <row r="75" spans="1:11" ht="18" hidden="1">
      <c r="A75" s="160" t="s">
        <v>1567</v>
      </c>
      <c r="B75" s="31" t="s">
        <v>115</v>
      </c>
      <c r="C75" s="267" t="s">
        <v>349</v>
      </c>
      <c r="D75" s="21" t="s">
        <v>43</v>
      </c>
      <c r="E75" s="324"/>
      <c r="F75" s="9">
        <v>1</v>
      </c>
      <c r="G75" s="8">
        <v>0</v>
      </c>
      <c r="H75" s="8">
        <v>0</v>
      </c>
      <c r="I75" s="8">
        <v>0</v>
      </c>
      <c r="J75" s="7">
        <f t="shared" si="1"/>
        <v>0</v>
      </c>
      <c r="K75" s="8"/>
    </row>
    <row r="76" spans="1:11" ht="18" hidden="1">
      <c r="A76" s="920" t="s">
        <v>1476</v>
      </c>
      <c r="B76" s="282" t="s">
        <v>1477</v>
      </c>
      <c r="C76" s="265" t="s">
        <v>349</v>
      </c>
      <c r="D76" s="22" t="s">
        <v>43</v>
      </c>
      <c r="E76" s="322"/>
      <c r="F76" s="9">
        <v>1</v>
      </c>
      <c r="G76" s="8">
        <v>0</v>
      </c>
      <c r="H76" s="8">
        <v>0</v>
      </c>
      <c r="I76" s="8">
        <v>0</v>
      </c>
      <c r="J76" s="7">
        <f t="shared" si="1"/>
        <v>0</v>
      </c>
      <c r="K76" s="8"/>
    </row>
    <row r="77" spans="1:11" ht="18" hidden="1">
      <c r="A77" s="925" t="s">
        <v>1478</v>
      </c>
      <c r="B77" s="283" t="s">
        <v>70</v>
      </c>
      <c r="C77" s="257" t="s">
        <v>349</v>
      </c>
      <c r="D77" s="232" t="s">
        <v>43</v>
      </c>
      <c r="E77" s="153"/>
      <c r="F77" s="155">
        <v>1</v>
      </c>
      <c r="G77" s="8">
        <v>0</v>
      </c>
      <c r="H77" s="8">
        <v>0</v>
      </c>
      <c r="I77" s="8">
        <v>0</v>
      </c>
      <c r="J77" s="7">
        <f t="shared" si="1"/>
        <v>0</v>
      </c>
      <c r="K77" s="8"/>
    </row>
    <row r="78" spans="1:11" ht="18" hidden="1">
      <c r="A78" s="163" t="s">
        <v>1997</v>
      </c>
      <c r="B78" s="152" t="s">
        <v>1480</v>
      </c>
      <c r="C78" s="257" t="s">
        <v>349</v>
      </c>
      <c r="D78" s="232" t="s">
        <v>39</v>
      </c>
      <c r="E78" s="153"/>
      <c r="F78" s="168">
        <v>1</v>
      </c>
      <c r="G78" s="9">
        <v>0</v>
      </c>
      <c r="H78" s="8">
        <v>0</v>
      </c>
      <c r="I78" s="8">
        <v>0</v>
      </c>
      <c r="J78" s="7">
        <f t="shared" si="1"/>
        <v>0</v>
      </c>
      <c r="K78" s="8"/>
    </row>
    <row r="79" spans="1:11" ht="18" hidden="1">
      <c r="A79" s="161"/>
      <c r="B79" s="162"/>
      <c r="C79" s="259"/>
      <c r="D79" s="237" t="s">
        <v>43</v>
      </c>
      <c r="E79" s="154"/>
      <c r="F79" s="254">
        <v>1</v>
      </c>
      <c r="G79" s="9">
        <v>0</v>
      </c>
      <c r="H79" s="8">
        <v>0</v>
      </c>
      <c r="I79" s="8">
        <v>0</v>
      </c>
      <c r="J79" s="7">
        <f t="shared" si="1"/>
        <v>0</v>
      </c>
      <c r="K79" s="8"/>
    </row>
    <row r="80" spans="1:11" ht="18" hidden="1">
      <c r="A80" s="164" t="s">
        <v>1568</v>
      </c>
      <c r="B80" s="30" t="s">
        <v>1484</v>
      </c>
      <c r="C80" s="266" t="s">
        <v>349</v>
      </c>
      <c r="D80" s="24" t="s">
        <v>43</v>
      </c>
      <c r="E80" s="323"/>
      <c r="F80" s="156">
        <v>1</v>
      </c>
      <c r="G80" s="8">
        <v>0</v>
      </c>
      <c r="H80" s="8">
        <v>0</v>
      </c>
      <c r="I80" s="8">
        <v>0</v>
      </c>
      <c r="J80" s="7">
        <f t="shared" si="1"/>
        <v>0</v>
      </c>
      <c r="K80" s="8"/>
    </row>
    <row r="81" spans="1:11" ht="18" hidden="1">
      <c r="A81" s="1264" t="s">
        <v>1998</v>
      </c>
      <c r="B81" s="28" t="s">
        <v>1426</v>
      </c>
      <c r="C81" s="265" t="s">
        <v>349</v>
      </c>
      <c r="D81" s="22" t="s">
        <v>43</v>
      </c>
      <c r="E81" s="322"/>
      <c r="F81" s="155">
        <v>7</v>
      </c>
      <c r="G81" s="8">
        <v>0</v>
      </c>
      <c r="H81" s="8">
        <v>0</v>
      </c>
      <c r="I81" s="8">
        <v>0</v>
      </c>
      <c r="J81" s="7">
        <f t="shared" si="1"/>
        <v>0</v>
      </c>
      <c r="K81" s="8"/>
    </row>
    <row r="82" spans="1:11" ht="18" hidden="1">
      <c r="A82" s="1265"/>
      <c r="B82" s="30"/>
      <c r="C82" s="266"/>
      <c r="D82" s="24" t="s">
        <v>1470</v>
      </c>
      <c r="E82" s="323"/>
      <c r="F82" s="156">
        <v>1</v>
      </c>
      <c r="G82" s="8">
        <v>0</v>
      </c>
      <c r="H82" s="8">
        <v>0</v>
      </c>
      <c r="I82" s="8">
        <v>0</v>
      </c>
      <c r="J82" s="7">
        <f t="shared" si="1"/>
        <v>0</v>
      </c>
      <c r="K82" s="8"/>
    </row>
    <row r="83" spans="1:11" ht="18" hidden="1">
      <c r="A83" s="1259" t="s">
        <v>1487</v>
      </c>
      <c r="B83" s="28" t="s">
        <v>1488</v>
      </c>
      <c r="C83" s="265" t="s">
        <v>349</v>
      </c>
      <c r="D83" s="22" t="s">
        <v>43</v>
      </c>
      <c r="E83" s="322"/>
      <c r="F83" s="155">
        <v>1</v>
      </c>
      <c r="G83" s="8">
        <v>0</v>
      </c>
      <c r="H83" s="8">
        <v>0</v>
      </c>
      <c r="I83" s="8">
        <v>0</v>
      </c>
      <c r="J83" s="7">
        <f t="shared" si="1"/>
        <v>0</v>
      </c>
      <c r="K83" s="8"/>
    </row>
    <row r="84" spans="1:11" ht="18" hidden="1">
      <c r="A84" s="1260"/>
      <c r="B84" s="29" t="s">
        <v>1489</v>
      </c>
      <c r="C84" s="258" t="s">
        <v>349</v>
      </c>
      <c r="D84" s="23" t="s">
        <v>43</v>
      </c>
      <c r="E84" s="157"/>
      <c r="F84" s="158">
        <v>1</v>
      </c>
      <c r="G84" s="8">
        <v>0</v>
      </c>
      <c r="H84" s="8">
        <v>0</v>
      </c>
      <c r="I84" s="8">
        <v>0</v>
      </c>
      <c r="J84" s="7">
        <f>ROUNDUP(((G84+H84+I84)/3)/F84*100%,2)</f>
        <v>0</v>
      </c>
      <c r="K84" s="8"/>
    </row>
    <row r="85" spans="1:11" ht="18" hidden="1">
      <c r="A85" s="1260"/>
      <c r="B85" s="29" t="s">
        <v>1490</v>
      </c>
      <c r="C85" s="258" t="s">
        <v>349</v>
      </c>
      <c r="D85" s="23" t="s">
        <v>43</v>
      </c>
      <c r="E85" s="157"/>
      <c r="F85" s="158">
        <v>1</v>
      </c>
      <c r="G85" s="8">
        <v>0</v>
      </c>
      <c r="H85" s="8">
        <v>0</v>
      </c>
      <c r="I85" s="8">
        <v>0</v>
      </c>
      <c r="J85" s="7">
        <f>ROUNDUP(((G85+H85+I85)/3)/F85*100%,2)</f>
        <v>0</v>
      </c>
      <c r="K85" s="8"/>
    </row>
    <row r="86" spans="1:11" ht="18" hidden="1">
      <c r="A86" s="1260"/>
      <c r="B86" s="29" t="s">
        <v>1491</v>
      </c>
      <c r="C86" s="258" t="s">
        <v>349</v>
      </c>
      <c r="D86" s="23" t="s">
        <v>43</v>
      </c>
      <c r="E86" s="157"/>
      <c r="F86" s="158">
        <v>1</v>
      </c>
      <c r="G86" s="8">
        <v>0</v>
      </c>
      <c r="H86" s="8">
        <v>0</v>
      </c>
      <c r="I86" s="8">
        <v>0</v>
      </c>
      <c r="J86" s="7">
        <f>ROUNDUP(((G86+H86+I86)/3)/F86*100%,2)</f>
        <v>0</v>
      </c>
      <c r="K86" s="8"/>
    </row>
    <row r="87" spans="1:11" ht="18" hidden="1">
      <c r="A87" s="1260"/>
      <c r="B87" s="29" t="s">
        <v>1492</v>
      </c>
      <c r="C87" s="258" t="s">
        <v>349</v>
      </c>
      <c r="D87" s="23" t="s">
        <v>43</v>
      </c>
      <c r="E87" s="157"/>
      <c r="F87" s="158">
        <v>1</v>
      </c>
      <c r="G87" s="8">
        <v>0</v>
      </c>
      <c r="H87" s="8">
        <v>0</v>
      </c>
      <c r="I87" s="8">
        <v>0</v>
      </c>
      <c r="J87" s="7">
        <f t="shared" ref="J87:J95" si="2">ROUNDUP(((G87+H87+I87)/3)/F87*100%,2)</f>
        <v>0</v>
      </c>
      <c r="K87" s="8"/>
    </row>
    <row r="88" spans="1:11" ht="18" hidden="1">
      <c r="A88" s="1260"/>
      <c r="B88" s="29" t="s">
        <v>1493</v>
      </c>
      <c r="C88" s="258" t="s">
        <v>349</v>
      </c>
      <c r="D88" s="23" t="s">
        <v>43</v>
      </c>
      <c r="E88" s="157"/>
      <c r="F88" s="158">
        <v>1</v>
      </c>
      <c r="G88" s="8">
        <v>0</v>
      </c>
      <c r="H88" s="8">
        <v>0</v>
      </c>
      <c r="I88" s="8">
        <v>0</v>
      </c>
      <c r="J88" s="7">
        <f t="shared" si="2"/>
        <v>0</v>
      </c>
      <c r="K88" s="8"/>
    </row>
    <row r="89" spans="1:11" ht="18" hidden="1">
      <c r="A89" s="1260"/>
      <c r="B89" s="29" t="s">
        <v>1494</v>
      </c>
      <c r="C89" s="258" t="s">
        <v>349</v>
      </c>
      <c r="D89" s="23" t="s">
        <v>43</v>
      </c>
      <c r="E89" s="157"/>
      <c r="F89" s="158">
        <v>1</v>
      </c>
      <c r="G89" s="8">
        <v>0</v>
      </c>
      <c r="H89" s="8">
        <v>0</v>
      </c>
      <c r="I89" s="8">
        <v>0</v>
      </c>
      <c r="J89" s="7">
        <f t="shared" si="2"/>
        <v>0</v>
      </c>
      <c r="K89" s="8"/>
    </row>
    <row r="90" spans="1:11" ht="18" hidden="1">
      <c r="A90" s="1260"/>
      <c r="B90" s="29" t="s">
        <v>1495</v>
      </c>
      <c r="C90" s="258" t="s">
        <v>349</v>
      </c>
      <c r="D90" s="23" t="s">
        <v>43</v>
      </c>
      <c r="E90" s="157"/>
      <c r="F90" s="158">
        <v>1</v>
      </c>
      <c r="G90" s="8">
        <v>0</v>
      </c>
      <c r="H90" s="8">
        <v>0</v>
      </c>
      <c r="I90" s="8">
        <v>0</v>
      </c>
      <c r="J90" s="7">
        <f t="shared" si="2"/>
        <v>0</v>
      </c>
      <c r="K90" s="8"/>
    </row>
    <row r="91" spans="1:11" ht="18" hidden="1">
      <c r="A91" s="1261"/>
      <c r="B91" s="30" t="s">
        <v>1496</v>
      </c>
      <c r="C91" s="266" t="s">
        <v>349</v>
      </c>
      <c r="D91" s="24" t="s">
        <v>43</v>
      </c>
      <c r="E91" s="323"/>
      <c r="F91" s="156">
        <v>1</v>
      </c>
      <c r="G91" s="8">
        <v>0</v>
      </c>
      <c r="H91" s="8">
        <v>0</v>
      </c>
      <c r="I91" s="8">
        <v>0</v>
      </c>
      <c r="J91" s="7">
        <f t="shared" si="2"/>
        <v>0</v>
      </c>
      <c r="K91" s="8"/>
    </row>
    <row r="92" spans="1:11" ht="18" hidden="1">
      <c r="A92" s="1259" t="s">
        <v>1999</v>
      </c>
      <c r="B92" s="28" t="s">
        <v>2000</v>
      </c>
      <c r="C92" s="265" t="s">
        <v>349</v>
      </c>
      <c r="D92" s="22" t="s">
        <v>43</v>
      </c>
      <c r="E92" s="322"/>
      <c r="F92" s="155">
        <v>5</v>
      </c>
      <c r="G92" s="8">
        <v>0</v>
      </c>
      <c r="H92" s="8">
        <v>0</v>
      </c>
      <c r="I92" s="8">
        <v>0</v>
      </c>
      <c r="J92" s="7">
        <f t="shared" si="2"/>
        <v>0</v>
      </c>
      <c r="K92" s="8"/>
    </row>
    <row r="93" spans="1:11" ht="18" hidden="1">
      <c r="A93" s="1260"/>
      <c r="B93" s="29" t="s">
        <v>2001</v>
      </c>
      <c r="C93" s="258" t="s">
        <v>349</v>
      </c>
      <c r="D93" s="23" t="s">
        <v>43</v>
      </c>
      <c r="E93" s="157"/>
      <c r="F93" s="158">
        <v>6</v>
      </c>
      <c r="G93" s="8">
        <v>0</v>
      </c>
      <c r="H93" s="8">
        <v>0</v>
      </c>
      <c r="I93" s="8">
        <v>0</v>
      </c>
      <c r="J93" s="7">
        <f t="shared" si="2"/>
        <v>0</v>
      </c>
      <c r="K93" s="8"/>
    </row>
    <row r="94" spans="1:11" ht="18" hidden="1">
      <c r="A94" s="1261"/>
      <c r="B94" s="30" t="s">
        <v>2002</v>
      </c>
      <c r="C94" s="266" t="s">
        <v>349</v>
      </c>
      <c r="D94" s="24" t="s">
        <v>43</v>
      </c>
      <c r="E94" s="323"/>
      <c r="F94" s="156">
        <v>5</v>
      </c>
      <c r="G94" s="8">
        <v>0</v>
      </c>
      <c r="H94" s="8">
        <v>0</v>
      </c>
      <c r="I94" s="8">
        <v>0</v>
      </c>
      <c r="J94" s="7">
        <f t="shared" si="2"/>
        <v>0</v>
      </c>
      <c r="K94" s="8"/>
    </row>
    <row r="95" spans="1:11" ht="18" hidden="1">
      <c r="A95" s="44" t="s">
        <v>2003</v>
      </c>
      <c r="B95" s="27" t="s">
        <v>349</v>
      </c>
      <c r="C95" s="268" t="s">
        <v>349</v>
      </c>
      <c r="D95" s="325" t="s">
        <v>1721</v>
      </c>
      <c r="E95" s="326"/>
      <c r="F95" s="9">
        <v>50</v>
      </c>
      <c r="G95" s="8">
        <v>0</v>
      </c>
      <c r="H95" s="8">
        <v>0</v>
      </c>
      <c r="I95" s="8">
        <v>0</v>
      </c>
      <c r="J95" s="7">
        <f t="shared" si="2"/>
        <v>0</v>
      </c>
      <c r="K95" s="8"/>
    </row>
    <row r="96" spans="1:11" ht="21" hidden="1">
      <c r="D96" s="12" t="s">
        <v>1642</v>
      </c>
      <c r="E96" s="12"/>
      <c r="F96" s="13" t="s">
        <v>1643</v>
      </c>
      <c r="G96" s="14">
        <f>SUM(G11:G94)/SUM($F$2:$F$94)</f>
        <v>2.9702970297029702E-2</v>
      </c>
      <c r="H96" s="14">
        <f>SUM(H11:H94)/SUM($F$2:$F$94)</f>
        <v>2.9702970297029702E-2</v>
      </c>
      <c r="I96" s="14">
        <f t="shared" ref="I96" si="3">SUM(I11:I94)/SUM($F$2:$F$94)</f>
        <v>0</v>
      </c>
      <c r="J96" s="15">
        <f>ROUNDUP(AVERAGE(J2:J94),2)</f>
        <v>0.09</v>
      </c>
    </row>
    <row r="97" spans="4:10" ht="21" hidden="1">
      <c r="D97" s="10"/>
      <c r="E97" s="10"/>
      <c r="F97" s="13" t="s">
        <v>1967</v>
      </c>
      <c r="G97" s="14">
        <f>SUM(G95)/SUM($F$95)</f>
        <v>0</v>
      </c>
      <c r="H97" s="14">
        <f t="shared" ref="H97:I97" si="4">SUM(H95)/SUM($F$95)</f>
        <v>0</v>
      </c>
      <c r="I97" s="14">
        <f t="shared" si="4"/>
        <v>0</v>
      </c>
      <c r="J97" s="15">
        <f>ROUNDUP(AVERAGE(J95),2)</f>
        <v>0</v>
      </c>
    </row>
  </sheetData>
  <autoFilter ref="A1:F97" xr:uid="{AD772224-A7CF-4975-A4AE-327D36E0F93E}">
    <filterColumn colId="0">
      <filters>
        <filter val="อาคารบำบัดน้ำเสีย"/>
      </filters>
    </filterColumn>
  </autoFilter>
  <mergeCells count="15">
    <mergeCell ref="C14:C16"/>
    <mergeCell ref="C17:C18"/>
    <mergeCell ref="B3:B13"/>
    <mergeCell ref="B14:B16"/>
    <mergeCell ref="A3:A38"/>
    <mergeCell ref="A92:A94"/>
    <mergeCell ref="A51:A62"/>
    <mergeCell ref="A42:A48"/>
    <mergeCell ref="A40:A41"/>
    <mergeCell ref="A63:A66"/>
    <mergeCell ref="A68:A69"/>
    <mergeCell ref="A70:A71"/>
    <mergeCell ref="A72:A73"/>
    <mergeCell ref="A81:A82"/>
    <mergeCell ref="A83:A91"/>
  </mergeCells>
  <pageMargins left="0.7" right="0.7" top="0.75" bottom="0.75" header="0.3" footer="0.3"/>
  <pageSetup paperSize="9" orientation="portrait" horizontalDpi="1200" verticalDpi="1200" r:id="rId1"/>
  <ignoredErrors>
    <ignoredError sqref="I96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90D9-7331-40C1-93A3-D92222BCF89C}">
  <dimension ref="A1:J47"/>
  <sheetViews>
    <sheetView zoomScale="80" zoomScaleNormal="80" workbookViewId="0">
      <pane ySplit="1" topLeftCell="A5" activePane="bottomLeft" state="frozen"/>
      <selection pane="bottomLeft" activeCell="J22" sqref="J22"/>
    </sheetView>
  </sheetViews>
  <sheetFormatPr defaultColWidth="8.88671875" defaultRowHeight="21"/>
  <cols>
    <col min="1" max="1" width="43.88671875" style="33" customWidth="1"/>
    <col min="2" max="2" width="33.44140625" style="33" customWidth="1"/>
    <col min="3" max="3" width="13.6640625" style="11" bestFit="1" customWidth="1"/>
    <col min="4" max="4" width="65.6640625" style="34" customWidth="1"/>
    <col min="5" max="5" width="14.88671875" style="1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25.5546875" style="6" customWidth="1"/>
    <col min="11" max="16384" width="8.88671875" style="32"/>
  </cols>
  <sheetData>
    <row r="1" spans="1:10" s="35" customFormat="1">
      <c r="A1" s="912" t="s">
        <v>15</v>
      </c>
      <c r="B1" s="912" t="s">
        <v>16</v>
      </c>
      <c r="C1" s="895" t="s">
        <v>1571</v>
      </c>
      <c r="D1" s="37" t="s">
        <v>18</v>
      </c>
      <c r="E1" s="895" t="s">
        <v>152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262" t="s">
        <v>1580</v>
      </c>
      <c r="B2" s="245" t="s">
        <v>237</v>
      </c>
      <c r="C2" s="284" t="s">
        <v>349</v>
      </c>
      <c r="D2" s="153" t="s">
        <v>43</v>
      </c>
      <c r="E2" s="9">
        <v>2</v>
      </c>
      <c r="F2" s="906">
        <v>0</v>
      </c>
      <c r="G2" s="906">
        <v>0</v>
      </c>
      <c r="H2" s="906">
        <v>0</v>
      </c>
      <c r="I2" s="7">
        <f t="shared" ref="I2:I45" si="0">ROUNDUP(((F2+G2+H2)/3)/E2*100%,2)</f>
        <v>0</v>
      </c>
      <c r="J2" s="8"/>
    </row>
    <row r="3" spans="1:10" s="148" customFormat="1" ht="18">
      <c r="A3" s="308" t="s">
        <v>2004</v>
      </c>
      <c r="B3" s="923" t="s">
        <v>127</v>
      </c>
      <c r="C3" s="310" t="s">
        <v>349</v>
      </c>
      <c r="D3" s="311" t="s">
        <v>39</v>
      </c>
      <c r="E3" s="9">
        <v>1</v>
      </c>
      <c r="F3" s="906">
        <v>0</v>
      </c>
      <c r="G3" s="906">
        <v>0</v>
      </c>
      <c r="H3" s="906">
        <v>0</v>
      </c>
      <c r="I3" s="8">
        <f t="shared" si="0"/>
        <v>0</v>
      </c>
      <c r="J3" s="147"/>
    </row>
    <row r="4" spans="1:10" ht="18">
      <c r="A4" s="262" t="s">
        <v>2005</v>
      </c>
      <c r="B4" s="250" t="s">
        <v>127</v>
      </c>
      <c r="C4" s="296" t="s">
        <v>349</v>
      </c>
      <c r="D4" s="309" t="s">
        <v>39</v>
      </c>
      <c r="E4" s="9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332" t="s">
        <v>2006</v>
      </c>
      <c r="B5" s="249" t="s">
        <v>1762</v>
      </c>
      <c r="C5" s="18" t="s">
        <v>349</v>
      </c>
      <c r="D5" s="157" t="s">
        <v>43</v>
      </c>
      <c r="E5" s="155">
        <v>1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s="18" customFormat="1" ht="18">
      <c r="A6" s="919" t="s">
        <v>2007</v>
      </c>
      <c r="B6" s="289" t="s">
        <v>2008</v>
      </c>
      <c r="C6" s="18" t="s">
        <v>349</v>
      </c>
      <c r="D6" s="157" t="s">
        <v>43</v>
      </c>
      <c r="E6" s="158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332" t="s">
        <v>2009</v>
      </c>
      <c r="B7" s="260" t="s">
        <v>1850</v>
      </c>
      <c r="C7" s="18" t="s">
        <v>349</v>
      </c>
      <c r="D7" s="157" t="s">
        <v>43</v>
      </c>
      <c r="E7" s="158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332" t="s">
        <v>2010</v>
      </c>
      <c r="B8" s="249" t="s">
        <v>1769</v>
      </c>
      <c r="C8" s="18" t="s">
        <v>349</v>
      </c>
      <c r="D8" s="157" t="s">
        <v>43</v>
      </c>
      <c r="E8" s="158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s="23" customFormat="1" ht="18">
      <c r="A9" s="919" t="s">
        <v>2011</v>
      </c>
      <c r="B9" s="290" t="s">
        <v>1854</v>
      </c>
      <c r="C9" s="23" t="s">
        <v>349</v>
      </c>
      <c r="D9" s="157" t="s">
        <v>43</v>
      </c>
      <c r="E9" s="158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147"/>
    </row>
    <row r="10" spans="1:10" ht="18">
      <c r="A10" s="332" t="s">
        <v>1772</v>
      </c>
      <c r="B10" s="249" t="s">
        <v>1773</v>
      </c>
      <c r="C10" s="18" t="s">
        <v>349</v>
      </c>
      <c r="D10" s="157" t="s">
        <v>43</v>
      </c>
      <c r="E10" s="158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332" t="s">
        <v>1772</v>
      </c>
      <c r="B11" s="285" t="s">
        <v>1774</v>
      </c>
      <c r="C11" s="18">
        <v>2010</v>
      </c>
      <c r="D11" s="286" t="s">
        <v>39</v>
      </c>
      <c r="E11" s="158">
        <v>5</v>
      </c>
      <c r="F11" s="8">
        <v>5</v>
      </c>
      <c r="G11" s="8">
        <v>5</v>
      </c>
      <c r="H11" s="8">
        <v>0</v>
      </c>
      <c r="I11" s="7">
        <f t="shared" si="0"/>
        <v>0.67</v>
      </c>
      <c r="J11" s="8"/>
    </row>
    <row r="12" spans="1:10" ht="18">
      <c r="A12" s="332"/>
      <c r="B12" s="285"/>
      <c r="C12" s="18"/>
      <c r="D12" s="286" t="s">
        <v>43</v>
      </c>
      <c r="E12" s="158">
        <v>5</v>
      </c>
      <c r="F12" s="8">
        <v>5</v>
      </c>
      <c r="G12" s="8">
        <v>5</v>
      </c>
      <c r="H12" s="8">
        <v>0</v>
      </c>
      <c r="I12" s="7">
        <f t="shared" si="0"/>
        <v>0.67</v>
      </c>
      <c r="J12" s="8"/>
    </row>
    <row r="13" spans="1:10" ht="18">
      <c r="A13" s="332"/>
      <c r="B13" s="285"/>
      <c r="C13" s="18"/>
      <c r="D13" s="286" t="s">
        <v>1387</v>
      </c>
      <c r="E13" s="158">
        <v>2</v>
      </c>
      <c r="F13" s="8">
        <v>2</v>
      </c>
      <c r="G13" s="8">
        <v>2</v>
      </c>
      <c r="H13" s="8">
        <v>0</v>
      </c>
      <c r="I13" s="7">
        <f t="shared" si="0"/>
        <v>0.67</v>
      </c>
      <c r="J13" s="8"/>
    </row>
    <row r="14" spans="1:10" ht="18">
      <c r="A14" s="332"/>
      <c r="B14" s="285"/>
      <c r="C14" s="18"/>
      <c r="D14" s="286" t="s">
        <v>53</v>
      </c>
      <c r="E14" s="158">
        <v>2</v>
      </c>
      <c r="F14" s="8">
        <v>2</v>
      </c>
      <c r="G14" s="8">
        <v>2</v>
      </c>
      <c r="H14" s="8">
        <v>0</v>
      </c>
      <c r="I14" s="7">
        <f t="shared" si="0"/>
        <v>0.67</v>
      </c>
      <c r="J14" s="8"/>
    </row>
    <row r="15" spans="1:10" ht="18">
      <c r="A15" s="332"/>
      <c r="B15" s="285"/>
      <c r="C15" s="18"/>
      <c r="D15" s="286" t="s">
        <v>59</v>
      </c>
      <c r="E15" s="158">
        <v>2</v>
      </c>
      <c r="F15" s="8">
        <v>2</v>
      </c>
      <c r="G15" s="8">
        <v>2</v>
      </c>
      <c r="H15" s="8">
        <v>0</v>
      </c>
      <c r="I15" s="7">
        <f t="shared" si="0"/>
        <v>0.67</v>
      </c>
      <c r="J15" s="8"/>
    </row>
    <row r="16" spans="1:10" ht="18">
      <c r="A16" s="332"/>
      <c r="B16" s="285"/>
      <c r="C16" s="18"/>
      <c r="D16" s="286" t="s">
        <v>1390</v>
      </c>
      <c r="E16" s="158">
        <v>2</v>
      </c>
      <c r="F16" s="8">
        <v>2</v>
      </c>
      <c r="G16" s="8">
        <v>2</v>
      </c>
      <c r="H16" s="8">
        <v>0</v>
      </c>
      <c r="I16" s="7">
        <f t="shared" si="0"/>
        <v>0.67</v>
      </c>
      <c r="J16" s="165"/>
    </row>
    <row r="17" spans="1:10" ht="18">
      <c r="A17" s="332"/>
      <c r="B17" s="285"/>
      <c r="C17" s="18"/>
      <c r="D17" s="286" t="s">
        <v>1392</v>
      </c>
      <c r="E17" s="158">
        <v>2</v>
      </c>
      <c r="F17" s="8">
        <v>2</v>
      </c>
      <c r="G17" s="8">
        <v>2</v>
      </c>
      <c r="H17" s="8">
        <v>0</v>
      </c>
      <c r="I17" s="7">
        <f t="shared" si="0"/>
        <v>0.67</v>
      </c>
      <c r="J17" s="8"/>
    </row>
    <row r="18" spans="1:10" ht="18">
      <c r="A18" s="332"/>
      <c r="B18" s="285"/>
      <c r="C18" s="18"/>
      <c r="D18" s="286" t="s">
        <v>1394</v>
      </c>
      <c r="E18" s="158">
        <v>2</v>
      </c>
      <c r="F18" s="8">
        <v>2</v>
      </c>
      <c r="G18" s="8">
        <v>2</v>
      </c>
      <c r="H18" s="8">
        <v>0</v>
      </c>
      <c r="I18" s="7">
        <f t="shared" si="0"/>
        <v>0.67</v>
      </c>
      <c r="J18" s="8"/>
    </row>
    <row r="19" spans="1:10" ht="18">
      <c r="A19" s="332"/>
      <c r="B19" s="285"/>
      <c r="C19" s="18"/>
      <c r="D19" s="286" t="s">
        <v>1395</v>
      </c>
      <c r="E19" s="158">
        <v>2</v>
      </c>
      <c r="F19" s="8">
        <v>2</v>
      </c>
      <c r="G19" s="8">
        <v>2</v>
      </c>
      <c r="H19" s="8">
        <v>0</v>
      </c>
      <c r="I19" s="7">
        <f t="shared" si="0"/>
        <v>0.67</v>
      </c>
      <c r="J19" s="8"/>
    </row>
    <row r="20" spans="1:10" ht="18">
      <c r="A20" s="332"/>
      <c r="B20" s="285"/>
      <c r="C20" s="18"/>
      <c r="D20" s="286" t="s">
        <v>1397</v>
      </c>
      <c r="E20" s="158">
        <v>2</v>
      </c>
      <c r="F20" s="8">
        <v>2</v>
      </c>
      <c r="G20" s="8">
        <v>2</v>
      </c>
      <c r="H20" s="8">
        <v>0</v>
      </c>
      <c r="I20" s="7">
        <f t="shared" si="0"/>
        <v>0.67</v>
      </c>
      <c r="J20" s="8"/>
    </row>
    <row r="21" spans="1:10" ht="18">
      <c r="A21" s="332" t="s">
        <v>1772</v>
      </c>
      <c r="B21" s="285" t="s">
        <v>1775</v>
      </c>
      <c r="C21" s="18" t="s">
        <v>2012</v>
      </c>
      <c r="D21" s="286" t="s">
        <v>39</v>
      </c>
      <c r="E21" s="158">
        <v>1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36">
      <c r="A22" s="332" t="s">
        <v>1772</v>
      </c>
      <c r="B22" s="403" t="s">
        <v>2013</v>
      </c>
      <c r="C22" s="18" t="s">
        <v>349</v>
      </c>
      <c r="D22" s="286" t="s">
        <v>39</v>
      </c>
      <c r="E22" s="158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>
      <c r="A23" s="332" t="s">
        <v>1772</v>
      </c>
      <c r="B23" s="285" t="s">
        <v>2014</v>
      </c>
      <c r="C23" s="18" t="s">
        <v>349</v>
      </c>
      <c r="D23" s="286" t="s">
        <v>39</v>
      </c>
      <c r="E23" s="158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332" t="s">
        <v>1772</v>
      </c>
      <c r="B24" s="285" t="s">
        <v>2015</v>
      </c>
      <c r="C24" s="18" t="s">
        <v>349</v>
      </c>
      <c r="D24" s="286" t="s">
        <v>39</v>
      </c>
      <c r="E24" s="158">
        <v>2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332" t="s">
        <v>1772</v>
      </c>
      <c r="B25" s="285" t="s">
        <v>1781</v>
      </c>
      <c r="C25" s="18" t="s">
        <v>349</v>
      </c>
      <c r="D25" s="286" t="s">
        <v>39</v>
      </c>
      <c r="E25" s="158">
        <v>2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332" t="s">
        <v>1772</v>
      </c>
      <c r="B26" s="285" t="s">
        <v>1782</v>
      </c>
      <c r="C26" s="18" t="s">
        <v>349</v>
      </c>
      <c r="D26" s="286" t="s">
        <v>43</v>
      </c>
      <c r="E26" s="158">
        <v>4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332" t="s">
        <v>1772</v>
      </c>
      <c r="B27" s="285" t="s">
        <v>1783</v>
      </c>
      <c r="C27" s="18" t="s">
        <v>349</v>
      </c>
      <c r="D27" s="286" t="s">
        <v>43</v>
      </c>
      <c r="E27" s="158">
        <v>2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332" t="s">
        <v>1772</v>
      </c>
      <c r="B28" s="285" t="s">
        <v>1784</v>
      </c>
      <c r="C28" s="18" t="s">
        <v>349</v>
      </c>
      <c r="D28" s="286" t="s">
        <v>43</v>
      </c>
      <c r="E28" s="158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332" t="s">
        <v>1772</v>
      </c>
      <c r="B29" s="285" t="s">
        <v>1785</v>
      </c>
      <c r="C29" s="18" t="s">
        <v>349</v>
      </c>
      <c r="D29" s="286" t="s">
        <v>43</v>
      </c>
      <c r="E29" s="158">
        <v>2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332" t="s">
        <v>2016</v>
      </c>
      <c r="B30" s="260" t="s">
        <v>1862</v>
      </c>
      <c r="C30" s="18" t="s">
        <v>349</v>
      </c>
      <c r="D30" s="286" t="s">
        <v>43</v>
      </c>
      <c r="E30" s="158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332" t="s">
        <v>1772</v>
      </c>
      <c r="B31" s="285" t="s">
        <v>1789</v>
      </c>
      <c r="C31" s="18" t="s">
        <v>349</v>
      </c>
      <c r="D31" s="286" t="s">
        <v>43</v>
      </c>
      <c r="E31" s="158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404" t="s">
        <v>1772</v>
      </c>
      <c r="B32" s="291" t="s">
        <v>2017</v>
      </c>
      <c r="C32" s="18" t="s">
        <v>349</v>
      </c>
      <c r="D32" s="286" t="s">
        <v>43</v>
      </c>
      <c r="E32" s="158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404" t="s">
        <v>1772</v>
      </c>
      <c r="B33" s="292" t="s">
        <v>2018</v>
      </c>
      <c r="C33" s="287" t="s">
        <v>349</v>
      </c>
      <c r="D33" s="288" t="s">
        <v>43</v>
      </c>
      <c r="E33" s="156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405" t="s">
        <v>2019</v>
      </c>
      <c r="B34" s="30" t="s">
        <v>2020</v>
      </c>
      <c r="C34" s="19" t="s">
        <v>349</v>
      </c>
      <c r="D34" s="24" t="s">
        <v>43</v>
      </c>
      <c r="E34" s="8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293" t="s">
        <v>1794</v>
      </c>
      <c r="B35" s="31" t="s">
        <v>1477</v>
      </c>
      <c r="C35" s="20" t="s">
        <v>349</v>
      </c>
      <c r="D35" s="21" t="s">
        <v>43</v>
      </c>
      <c r="E35" s="8">
        <v>1</v>
      </c>
      <c r="F35" s="8">
        <v>0</v>
      </c>
      <c r="G35" s="8">
        <v>0</v>
      </c>
      <c r="H35" s="8">
        <v>0</v>
      </c>
      <c r="I35" s="7">
        <f t="shared" si="0"/>
        <v>0</v>
      </c>
      <c r="J35" s="8"/>
    </row>
    <row r="36" spans="1:10" ht="18">
      <c r="A36" s="293" t="s">
        <v>1795</v>
      </c>
      <c r="B36" s="31" t="s">
        <v>1728</v>
      </c>
      <c r="C36" s="20" t="s">
        <v>349</v>
      </c>
      <c r="D36" s="21" t="s">
        <v>43</v>
      </c>
      <c r="E36" s="8">
        <v>1</v>
      </c>
      <c r="F36" s="8">
        <v>0</v>
      </c>
      <c r="G36" s="8">
        <v>0</v>
      </c>
      <c r="H36" s="8">
        <v>0</v>
      </c>
      <c r="I36" s="7">
        <f t="shared" si="0"/>
        <v>0</v>
      </c>
      <c r="J36" s="8"/>
    </row>
    <row r="37" spans="1:10" ht="18">
      <c r="A37" s="294" t="s">
        <v>1796</v>
      </c>
      <c r="B37" s="28" t="s">
        <v>1797</v>
      </c>
      <c r="C37" s="17" t="s">
        <v>349</v>
      </c>
      <c r="D37" s="22" t="s">
        <v>43</v>
      </c>
      <c r="E37" s="486">
        <v>1</v>
      </c>
      <c r="F37" s="486">
        <v>0</v>
      </c>
      <c r="G37" s="486">
        <v>0</v>
      </c>
      <c r="H37" s="486">
        <v>0</v>
      </c>
      <c r="I37" s="241">
        <f t="shared" si="0"/>
        <v>0</v>
      </c>
      <c r="J37" s="486"/>
    </row>
    <row r="38" spans="1:10" ht="18">
      <c r="A38" s="1260" t="s">
        <v>1798</v>
      </c>
      <c r="B38" s="406" t="s">
        <v>1799</v>
      </c>
      <c r="C38" s="284"/>
      <c r="D38" s="232"/>
      <c r="E38" s="229"/>
      <c r="F38" s="302"/>
      <c r="G38" s="303"/>
      <c r="H38" s="303"/>
      <c r="I38" s="304"/>
      <c r="J38" s="167"/>
    </row>
    <row r="39" spans="1:10" ht="18">
      <c r="A39" s="1260"/>
      <c r="B39" s="924" t="s">
        <v>1774</v>
      </c>
      <c r="C39" s="148" t="s">
        <v>349</v>
      </c>
      <c r="D39" s="148" t="s">
        <v>43</v>
      </c>
      <c r="E39" s="297">
        <v>4</v>
      </c>
      <c r="F39" s="906">
        <v>0</v>
      </c>
      <c r="G39" s="906">
        <v>0</v>
      </c>
      <c r="H39" s="906">
        <v>0</v>
      </c>
      <c r="I39" s="242">
        <f t="shared" si="0"/>
        <v>0</v>
      </c>
      <c r="J39" s="298"/>
    </row>
    <row r="40" spans="1:10" ht="18">
      <c r="A40" s="1260"/>
      <c r="B40" s="285" t="s">
        <v>2021</v>
      </c>
      <c r="C40" s="18" t="s">
        <v>349</v>
      </c>
      <c r="D40" s="32" t="s">
        <v>43</v>
      </c>
      <c r="E40" s="297">
        <v>1</v>
      </c>
      <c r="F40" s="8">
        <v>1</v>
      </c>
      <c r="G40" s="8">
        <v>1</v>
      </c>
      <c r="H40" s="8">
        <v>0</v>
      </c>
      <c r="I40" s="7">
        <f t="shared" si="0"/>
        <v>0.67</v>
      </c>
      <c r="J40" s="165"/>
    </row>
    <row r="41" spans="1:10" ht="18">
      <c r="A41" s="1260"/>
      <c r="B41" s="285"/>
      <c r="C41" s="18"/>
      <c r="D41" s="32" t="s">
        <v>1803</v>
      </c>
      <c r="E41" s="297">
        <v>2</v>
      </c>
      <c r="F41" s="8">
        <v>2</v>
      </c>
      <c r="G41" s="8">
        <v>2</v>
      </c>
      <c r="H41" s="8">
        <v>0</v>
      </c>
      <c r="I41" s="7">
        <f t="shared" si="0"/>
        <v>0.67</v>
      </c>
      <c r="J41" s="165"/>
    </row>
    <row r="42" spans="1:10" ht="18">
      <c r="A42" s="1260"/>
      <c r="B42" s="285" t="s">
        <v>1804</v>
      </c>
      <c r="C42" s="18" t="s">
        <v>349</v>
      </c>
      <c r="D42" s="32" t="s">
        <v>43</v>
      </c>
      <c r="E42" s="297">
        <v>7</v>
      </c>
      <c r="F42" s="8">
        <v>0</v>
      </c>
      <c r="G42" s="8">
        <v>0</v>
      </c>
      <c r="H42" s="8">
        <v>0</v>
      </c>
      <c r="I42" s="7">
        <f t="shared" si="0"/>
        <v>0</v>
      </c>
      <c r="J42" s="165"/>
    </row>
    <row r="43" spans="1:10" ht="18">
      <c r="A43" s="1260"/>
      <c r="B43" s="285" t="s">
        <v>1805</v>
      </c>
      <c r="C43" s="18" t="s">
        <v>349</v>
      </c>
      <c r="D43" s="32" t="s">
        <v>43</v>
      </c>
      <c r="E43" s="297">
        <v>6</v>
      </c>
      <c r="F43" s="8">
        <v>0</v>
      </c>
      <c r="G43" s="8">
        <v>0</v>
      </c>
      <c r="H43" s="8">
        <v>0</v>
      </c>
      <c r="I43" s="7">
        <f t="shared" si="0"/>
        <v>0</v>
      </c>
      <c r="J43" s="165"/>
    </row>
    <row r="44" spans="1:10" ht="18">
      <c r="A44" s="1261"/>
      <c r="B44" s="285" t="s">
        <v>1806</v>
      </c>
      <c r="C44" s="18" t="s">
        <v>349</v>
      </c>
      <c r="D44" s="32" t="s">
        <v>43</v>
      </c>
      <c r="E44" s="299">
        <v>4</v>
      </c>
      <c r="F44" s="8">
        <v>0</v>
      </c>
      <c r="G44" s="8">
        <v>0</v>
      </c>
      <c r="H44" s="8">
        <v>0</v>
      </c>
      <c r="I44" s="7">
        <f t="shared" si="0"/>
        <v>0</v>
      </c>
      <c r="J44" s="165"/>
    </row>
    <row r="45" spans="1:10" ht="18">
      <c r="A45" s="44" t="s">
        <v>1807</v>
      </c>
      <c r="B45" s="295" t="s">
        <v>349</v>
      </c>
      <c r="C45" s="296" t="s">
        <v>349</v>
      </c>
      <c r="D45" s="251" t="s">
        <v>1721</v>
      </c>
      <c r="E45" s="300">
        <v>45</v>
      </c>
      <c r="F45" s="239">
        <v>0</v>
      </c>
      <c r="G45" s="239">
        <v>0</v>
      </c>
      <c r="H45" s="239">
        <v>0</v>
      </c>
      <c r="I45" s="301">
        <f t="shared" si="0"/>
        <v>0</v>
      </c>
      <c r="J45" s="166"/>
    </row>
    <row r="46" spans="1:10" ht="18">
      <c r="D46" s="12" t="s">
        <v>1642</v>
      </c>
      <c r="E46" s="13" t="s">
        <v>1643</v>
      </c>
      <c r="F46" s="14">
        <f>SUM(F2:F44)/SUM($E$2:$E$44)</f>
        <v>0.33720930232558138</v>
      </c>
      <c r="G46" s="14">
        <f t="shared" ref="G46:H46" si="1">SUM(G2:G44)/SUM($E$2:$E$44)</f>
        <v>0.33720930232558138</v>
      </c>
      <c r="H46" s="14">
        <f t="shared" si="1"/>
        <v>0</v>
      </c>
      <c r="I46" s="15">
        <f>ROUNDUP(AVERAGE(I2:I44),2)</f>
        <v>0.2</v>
      </c>
      <c r="J46" s="11"/>
    </row>
    <row r="47" spans="1:10" ht="18">
      <c r="D47" s="10"/>
      <c r="E47" s="13" t="s">
        <v>1967</v>
      </c>
      <c r="F47" s="14">
        <f>SUM(F45)/SUM($E$45)</f>
        <v>0</v>
      </c>
      <c r="G47" s="14">
        <f t="shared" ref="G47:H47" si="2">SUM(G45)/SUM($E$45)</f>
        <v>0</v>
      </c>
      <c r="H47" s="14">
        <f t="shared" si="2"/>
        <v>0</v>
      </c>
      <c r="I47" s="15">
        <f>ROUNDUP(AVERAGE(I45),2)</f>
        <v>0</v>
      </c>
      <c r="J47" s="11"/>
    </row>
  </sheetData>
  <autoFilter ref="A1:E47" xr:uid="{54C790D9-7331-40C1-93A3-D92222BCF89C}"/>
  <mergeCells count="1">
    <mergeCell ref="A38:A44"/>
  </mergeCells>
  <pageMargins left="0.7" right="0.7" top="0.75" bottom="0.75" header="0.3" footer="0.3"/>
  <pageSetup paperSize="9" orientation="portrait" horizontalDpi="1200" verticalDpi="1200" r:id="rId1"/>
  <ignoredErrors>
    <ignoredError sqref="C21" numberStoredAsText="1"/>
    <ignoredError sqref="F46:H46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6BA4-6B6E-4C4C-BFA7-6376D304F507}">
  <dimension ref="A1:J36"/>
  <sheetViews>
    <sheetView zoomScale="80" zoomScaleNormal="80" workbookViewId="0">
      <pane ySplit="1" topLeftCell="A2" activePane="bottomLeft" state="frozen"/>
      <selection pane="bottomLeft" activeCell="J16" sqref="J16"/>
    </sheetView>
  </sheetViews>
  <sheetFormatPr defaultColWidth="38.88671875" defaultRowHeight="21"/>
  <cols>
    <col min="1" max="1" width="55.88671875" style="33" customWidth="1"/>
    <col min="2" max="2" width="63.5546875" style="33" customWidth="1"/>
    <col min="3" max="3" width="11.33203125" style="11" customWidth="1"/>
    <col min="4" max="4" width="58.33203125" style="39" bestFit="1" customWidth="1"/>
    <col min="5" max="5" width="11.66406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38.88671875" style="18"/>
  </cols>
  <sheetData>
    <row r="1" spans="1:10" s="38" customFormat="1">
      <c r="A1" s="912" t="s">
        <v>15</v>
      </c>
      <c r="B1" s="912" t="s">
        <v>16</v>
      </c>
      <c r="C1" s="895" t="s">
        <v>1571</v>
      </c>
      <c r="D1" s="36" t="s">
        <v>18</v>
      </c>
      <c r="E1" s="895" t="s">
        <v>152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1259" t="s">
        <v>637</v>
      </c>
      <c r="B2" s="40" t="s">
        <v>1740</v>
      </c>
      <c r="C2" s="17" t="s">
        <v>2022</v>
      </c>
      <c r="D2" s="22" t="s">
        <v>39</v>
      </c>
      <c r="E2" s="486">
        <v>5</v>
      </c>
      <c r="F2" s="906">
        <v>0</v>
      </c>
      <c r="G2" s="906">
        <v>0</v>
      </c>
      <c r="H2" s="906">
        <v>0</v>
      </c>
      <c r="I2" s="7">
        <f t="shared" ref="I2:I34" si="0">ROUNDUP(((F2+G2+H2)/3)/E2*100%,2)</f>
        <v>0</v>
      </c>
      <c r="J2" s="8"/>
    </row>
    <row r="3" spans="1:10" ht="18">
      <c r="A3" s="1260"/>
      <c r="B3" s="41"/>
      <c r="C3" s="18"/>
      <c r="D3" s="23" t="s">
        <v>43</v>
      </c>
      <c r="E3" s="905">
        <v>7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1260"/>
      <c r="B4" s="41"/>
      <c r="C4" s="18"/>
      <c r="D4" s="23" t="s">
        <v>1387</v>
      </c>
      <c r="E4" s="905">
        <v>2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1260"/>
      <c r="B5" s="41"/>
      <c r="C5" s="18"/>
      <c r="D5" s="23" t="s">
        <v>53</v>
      </c>
      <c r="E5" s="905">
        <v>2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1260"/>
      <c r="B6" s="41"/>
      <c r="C6" s="18"/>
      <c r="D6" s="23" t="s">
        <v>59</v>
      </c>
      <c r="E6" s="905">
        <v>2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1260"/>
      <c r="B7" s="41"/>
      <c r="C7" s="18"/>
      <c r="D7" s="23" t="s">
        <v>1390</v>
      </c>
      <c r="E7" s="905">
        <v>2</v>
      </c>
      <c r="F7" s="8">
        <v>2</v>
      </c>
      <c r="G7" s="8">
        <v>0</v>
      </c>
      <c r="H7" s="8">
        <v>0</v>
      </c>
      <c r="I7" s="7">
        <f t="shared" si="0"/>
        <v>0.34</v>
      </c>
      <c r="J7" s="165" t="s">
        <v>2023</v>
      </c>
    </row>
    <row r="8" spans="1:10" ht="18">
      <c r="A8" s="1260"/>
      <c r="B8" s="41"/>
      <c r="C8" s="18"/>
      <c r="D8" s="23" t="s">
        <v>1392</v>
      </c>
      <c r="E8" s="905">
        <v>2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1260"/>
      <c r="B9" s="41"/>
      <c r="C9" s="18"/>
      <c r="D9" s="23" t="s">
        <v>63</v>
      </c>
      <c r="E9" s="905">
        <v>2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1260"/>
      <c r="B10" s="41"/>
      <c r="C10" s="18"/>
      <c r="D10" s="23" t="s">
        <v>1394</v>
      </c>
      <c r="E10" s="905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1260"/>
      <c r="B11" s="41" t="s">
        <v>1692</v>
      </c>
      <c r="C11" s="18" t="s">
        <v>2024</v>
      </c>
      <c r="D11" s="23" t="s">
        <v>39</v>
      </c>
      <c r="E11" s="905">
        <v>2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1260"/>
      <c r="B12" s="41"/>
      <c r="C12" s="18"/>
      <c r="D12" s="23" t="s">
        <v>43</v>
      </c>
      <c r="E12" s="905">
        <v>2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1260"/>
      <c r="B13" s="41" t="s">
        <v>1693</v>
      </c>
      <c r="C13" s="18" t="s">
        <v>349</v>
      </c>
      <c r="D13" s="23" t="s">
        <v>39</v>
      </c>
      <c r="E13" s="905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1260"/>
      <c r="B14" s="41"/>
      <c r="C14" s="18"/>
      <c r="D14" s="23" t="s">
        <v>43</v>
      </c>
      <c r="E14" s="905">
        <v>1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s="32" customFormat="1" ht="18">
      <c r="A15" s="1260"/>
      <c r="B15" s="409" t="s">
        <v>2025</v>
      </c>
      <c r="C15" s="32" t="s">
        <v>349</v>
      </c>
      <c r="D15" s="32" t="s">
        <v>39</v>
      </c>
      <c r="E15" s="905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1260"/>
      <c r="B16" s="41"/>
      <c r="C16" s="18"/>
      <c r="D16" s="23" t="s">
        <v>43</v>
      </c>
      <c r="E16" s="905">
        <v>9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1260"/>
      <c r="B17" s="41" t="s">
        <v>1686</v>
      </c>
      <c r="C17" s="18" t="s">
        <v>349</v>
      </c>
      <c r="D17" s="23" t="s">
        <v>39</v>
      </c>
      <c r="E17" s="905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1260"/>
      <c r="B18" s="41" t="s">
        <v>2026</v>
      </c>
      <c r="C18" s="18" t="s">
        <v>349</v>
      </c>
      <c r="D18" s="23" t="s">
        <v>43</v>
      </c>
      <c r="E18" s="905">
        <v>9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1260"/>
      <c r="B19" s="41" t="s">
        <v>1697</v>
      </c>
      <c r="C19" s="18" t="s">
        <v>2027</v>
      </c>
      <c r="D19" s="23" t="s">
        <v>43</v>
      </c>
      <c r="E19" s="905">
        <v>6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s="11" customFormat="1" ht="18">
      <c r="A20" s="1261"/>
      <c r="B20" s="42" t="s">
        <v>2028</v>
      </c>
      <c r="C20" s="312" t="s">
        <v>349</v>
      </c>
      <c r="D20" s="313" t="s">
        <v>43</v>
      </c>
      <c r="E20" s="906">
        <v>2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 customHeight="1">
      <c r="A21" s="314" t="s">
        <v>1700</v>
      </c>
      <c r="B21" s="40" t="s">
        <v>1701</v>
      </c>
      <c r="C21" s="17" t="s">
        <v>349</v>
      </c>
      <c r="D21" s="22" t="s">
        <v>39</v>
      </c>
      <c r="E21" s="486">
        <v>2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18" customHeight="1">
      <c r="A22" s="315"/>
      <c r="B22" s="41"/>
      <c r="C22" s="18"/>
      <c r="D22" s="23" t="s">
        <v>43</v>
      </c>
      <c r="E22" s="905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 customHeight="1">
      <c r="A23" s="316" t="s">
        <v>2029</v>
      </c>
      <c r="B23" s="30" t="s">
        <v>1703</v>
      </c>
      <c r="C23" s="19" t="s">
        <v>349</v>
      </c>
      <c r="D23" s="24" t="s">
        <v>43</v>
      </c>
      <c r="E23" s="906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45" t="s">
        <v>1705</v>
      </c>
      <c r="B24" s="43" t="s">
        <v>38</v>
      </c>
      <c r="C24" s="20" t="s">
        <v>349</v>
      </c>
      <c r="D24" s="21" t="s">
        <v>43</v>
      </c>
      <c r="E24" s="8">
        <v>1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1278" t="s">
        <v>1706</v>
      </c>
      <c r="B25" s="40" t="s">
        <v>1707</v>
      </c>
      <c r="C25" s="17" t="s">
        <v>349</v>
      </c>
      <c r="D25" s="22" t="s">
        <v>39</v>
      </c>
      <c r="E25" s="486">
        <v>1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1279"/>
      <c r="B26" s="42"/>
      <c r="C26" s="19"/>
      <c r="D26" s="24" t="s">
        <v>43</v>
      </c>
      <c r="E26" s="906">
        <v>1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45" t="s">
        <v>2030</v>
      </c>
      <c r="B27" s="43" t="s">
        <v>237</v>
      </c>
      <c r="C27" s="20" t="s">
        <v>349</v>
      </c>
      <c r="D27" s="21" t="s">
        <v>43</v>
      </c>
      <c r="E27" s="8">
        <v>1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45" t="s">
        <v>1458</v>
      </c>
      <c r="B28" s="43" t="s">
        <v>1710</v>
      </c>
      <c r="C28" s="20" t="s">
        <v>349</v>
      </c>
      <c r="D28" s="21" t="s">
        <v>43</v>
      </c>
      <c r="E28" s="8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45" t="s">
        <v>1711</v>
      </c>
      <c r="B29" s="43" t="s">
        <v>1712</v>
      </c>
      <c r="C29" s="20" t="s">
        <v>349</v>
      </c>
      <c r="D29" s="21" t="s">
        <v>43</v>
      </c>
      <c r="E29" s="8">
        <v>1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s="11" customFormat="1" ht="18">
      <c r="A30" s="410" t="s">
        <v>2031</v>
      </c>
      <c r="B30" s="43" t="s">
        <v>38</v>
      </c>
      <c r="C30" s="318" t="s">
        <v>349</v>
      </c>
      <c r="D30" s="319" t="s">
        <v>43</v>
      </c>
      <c r="E30" s="8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45" t="s">
        <v>1715</v>
      </c>
      <c r="B31" s="43" t="s">
        <v>1381</v>
      </c>
      <c r="C31" s="20" t="s">
        <v>349</v>
      </c>
      <c r="D31" s="21" t="s">
        <v>43</v>
      </c>
      <c r="E31" s="8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45" t="s">
        <v>1716</v>
      </c>
      <c r="B32" s="43" t="s">
        <v>1717</v>
      </c>
      <c r="C32" s="20" t="s">
        <v>349</v>
      </c>
      <c r="D32" s="21" t="s">
        <v>43</v>
      </c>
      <c r="E32" s="8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45" t="s">
        <v>2032</v>
      </c>
      <c r="B33" s="43" t="s">
        <v>1718</v>
      </c>
      <c r="C33" s="20" t="s">
        <v>349</v>
      </c>
      <c r="D33" s="21" t="s">
        <v>43</v>
      </c>
      <c r="E33" s="8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45" t="s">
        <v>1720</v>
      </c>
      <c r="B34" s="43" t="s">
        <v>349</v>
      </c>
      <c r="C34" s="20" t="s">
        <v>349</v>
      </c>
      <c r="D34" s="21" t="s">
        <v>1721</v>
      </c>
      <c r="E34" s="8">
        <v>30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D35" s="12" t="s">
        <v>1642</v>
      </c>
      <c r="E35" s="13" t="s">
        <v>1643</v>
      </c>
      <c r="F35" s="14">
        <f>SUM(F2:F33)/SUM($E$2:$E$33)</f>
        <v>2.6315789473684209E-2</v>
      </c>
      <c r="G35" s="14">
        <f t="shared" ref="G35:H35" si="1">SUM(G2:G33)/SUM($E$2:$E$33)</f>
        <v>0</v>
      </c>
      <c r="H35" s="14">
        <f t="shared" si="1"/>
        <v>0</v>
      </c>
      <c r="I35" s="15">
        <f>ROUNDUP(AVERAGE(I2:I33),2)</f>
        <v>0.02</v>
      </c>
      <c r="J35" s="11"/>
    </row>
    <row r="36" spans="1:10" ht="18">
      <c r="D36" s="10"/>
      <c r="E36" s="13" t="s">
        <v>1967</v>
      </c>
      <c r="F36" s="14">
        <f>SUM(F34)/SUM($E$34)</f>
        <v>0</v>
      </c>
      <c r="G36" s="14">
        <f t="shared" ref="G36:H36" si="2">SUM(G34)/SUM($E$34)</f>
        <v>0</v>
      </c>
      <c r="H36" s="14">
        <f t="shared" si="2"/>
        <v>0</v>
      </c>
      <c r="I36" s="15">
        <f>ROUNDUP(AVERAGE(I34),2)</f>
        <v>0</v>
      </c>
      <c r="J36" s="11"/>
    </row>
  </sheetData>
  <autoFilter ref="A1:E34" xr:uid="{43DF6BA4-6B6E-4C4C-BFA7-6376D304F507}"/>
  <mergeCells count="2">
    <mergeCell ref="A2:A20"/>
    <mergeCell ref="A25:A26"/>
  </mergeCells>
  <pageMargins left="0.7" right="0.7" top="0.75" bottom="0.75" header="0.3" footer="0.3"/>
  <pageSetup paperSize="9" orientation="portrait" horizontalDpi="1200" verticalDpi="1200" r:id="rId1"/>
  <ignoredErrors>
    <ignoredError sqref="C11 C19" numberStoredAsText="1"/>
    <ignoredError sqref="F35:H3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10</vt:i4>
      </vt:variant>
    </vt:vector>
  </HeadingPairs>
  <TitlesOfParts>
    <vt:vector size="48" baseType="lpstr">
      <vt:lpstr>Dashboard-Site Prep.</vt:lpstr>
      <vt:lpstr>Dashboard-LAN</vt:lpstr>
      <vt:lpstr>Dashboard-WL</vt:lpstr>
      <vt:lpstr>HQ</vt:lpstr>
      <vt:lpstr>HQ-WL</vt:lpstr>
      <vt:lpstr>HQ-PW</vt:lpstr>
      <vt:lpstr>HQ-รายสัปดาห์</vt:lpstr>
      <vt:lpstr>HQ-รายวัน</vt:lpstr>
      <vt:lpstr>HQ-กราฟรายสัปดาห์</vt:lpstr>
      <vt:lpstr>HQ-กราฟรายวัน</vt:lpstr>
      <vt:lpstr>SVB</vt:lpstr>
      <vt:lpstr>SVB-รายสัปดาห์</vt:lpstr>
      <vt:lpstr>SVB-รายสัปดาห์ทั้งหมด</vt:lpstr>
      <vt:lpstr>SVB-WL</vt:lpstr>
      <vt:lpstr>SVB-PW</vt:lpstr>
      <vt:lpstr>SVB-กราฟรายสัปดาห์</vt:lpstr>
      <vt:lpstr>SVB-กราฟแยก Fabric</vt:lpstr>
      <vt:lpstr>SVB-กราฟทุก Fabric</vt:lpstr>
      <vt:lpstr>SVB-Coring</vt:lpstr>
      <vt:lpstr>SVB-Coring-รายสัปดาห์</vt:lpstr>
      <vt:lpstr>SVB-Coring-กราฟรายสัปดาห์</vt:lpstr>
      <vt:lpstr>HKT</vt:lpstr>
      <vt:lpstr>HKT-WL</vt:lpstr>
      <vt:lpstr>HKT-PW</vt:lpstr>
      <vt:lpstr>CNX</vt:lpstr>
      <vt:lpstr>CNX-WL</vt:lpstr>
      <vt:lpstr>CNX-PW</vt:lpstr>
      <vt:lpstr>CEI</vt:lpstr>
      <vt:lpstr>CEI-WL</vt:lpstr>
      <vt:lpstr>CEI-PW</vt:lpstr>
      <vt:lpstr>HDY</vt:lpstr>
      <vt:lpstr>HDY-WL</vt:lpstr>
      <vt:lpstr>HDY-PW</vt:lpstr>
      <vt:lpstr>Coring</vt:lpstr>
      <vt:lpstr>SVB (OLD)</vt:lpstr>
      <vt:lpstr>HKT (OLD)</vt:lpstr>
      <vt:lpstr>HDY (OLD)</vt:lpstr>
      <vt:lpstr>CEI (Old)</vt:lpstr>
      <vt:lpstr>'CEI-PW'!Print_Area</vt:lpstr>
      <vt:lpstr>'CNX-PW'!Print_Area</vt:lpstr>
      <vt:lpstr>'Dashboard-LAN'!Print_Area</vt:lpstr>
      <vt:lpstr>'Dashboard-Site Prep.'!Print_Area</vt:lpstr>
      <vt:lpstr>'Dashboard-WL'!Print_Area</vt:lpstr>
      <vt:lpstr>'HDY-PW'!Print_Area</vt:lpstr>
      <vt:lpstr>'HKT-PW'!Print_Area</vt:lpstr>
      <vt:lpstr>'HQ-PW'!Print_Area</vt:lpstr>
      <vt:lpstr>'SVB-PW'!Print_Area</vt:lpstr>
      <vt:lpstr>'SVB-PW'!Print_Titles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Panuwat Benjapathomrong</dc:creator>
  <cp:keywords/>
  <dc:description/>
  <cp:lastModifiedBy>Watanyu A.</cp:lastModifiedBy>
  <cp:revision/>
  <dcterms:created xsi:type="dcterms:W3CDTF">2024-02-06T09:17:39Z</dcterms:created>
  <dcterms:modified xsi:type="dcterms:W3CDTF">2026-06-08T11:57:38Z</dcterms:modified>
  <cp:category/>
  <cp:contentStatus/>
</cp:coreProperties>
</file>